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Ex3.xml" ContentType="application/vnd.ms-office.chartex+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Ex4.xml" ContentType="application/vnd.ms-office.chartex+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ush2\Claude\portfolio-projects\excel-fpa-model\workbook\"/>
    </mc:Choice>
  </mc:AlternateContent>
  <xr:revisionPtr revIDLastSave="0" documentId="8_{FDDFF220-7EFA-4454-9837-6A332A16D008}" xr6:coauthVersionLast="47" xr6:coauthVersionMax="47" xr10:uidLastSave="{00000000-0000-0000-0000-000000000000}"/>
  <bookViews>
    <workbookView xWindow="1480" yWindow="1480" windowWidth="19200" windowHeight="11170" xr2:uid="{FCFACE57-D704-417B-9618-07F04772536A}"/>
  </bookViews>
  <sheets>
    <sheet name="Cover" sheetId="1" r:id="rId1"/>
    <sheet name="Dashboard" sheetId="2" r:id="rId2"/>
    <sheet name="PnL" sheetId="3" r:id="rId3"/>
    <sheet name="PVM" sheetId="4" r:id="rId4"/>
    <sheet name="Monthly" sheetId="5" r:id="rId5"/>
    <sheet name="Weather" sheetId="6" r:id="rId6"/>
    <sheet name="Plan" sheetId="7" r:id="rId7"/>
    <sheet name="Forecast" sheetId="8" r:id="rId8"/>
    <sheet name="Scenarios" sheetId="9" r:id="rId9"/>
    <sheet name="Peers" sheetId="10" r:id="rId10"/>
    <sheet name="Explore" sheetId="11" r:id="rId11"/>
    <sheet name="Checks" sheetId="12" r:id="rId12"/>
    <sheet name="Assumptions" sheetId="13" r:id="rId13"/>
    <sheet name="PQ_Monthly" sheetId="14" r:id="rId14"/>
    <sheet name="PQ_Weather" sheetId="15" r:id="rId15"/>
    <sheet name="Data_EIA" sheetId="16" r:id="rId16"/>
    <sheet name="Data_NOAA" sheetId="17" r:id="rId17"/>
    <sheet name="Data_FERC" sheetId="18" r:id="rId18"/>
    <sheet name="Data_Utilities" sheetId="19" r:id="rId19"/>
  </sheets>
  <definedNames>
    <definedName name="_xlchart.v1.0" hidden="1">Dashboard!$B$86:$B$91</definedName>
    <definedName name="_xlchart.v1.1" hidden="1">Dashboard!$C$86:$C$91</definedName>
    <definedName name="_xlchart.v1.2" hidden="1">Dashboard!$B$94:$B$98</definedName>
    <definedName name="_xlchart.v1.3" hidden="1">Dashboard!$C$94:$C$98</definedName>
    <definedName name="_xlchart.v1.4" hidden="1">PVM!$B$34:$B$38</definedName>
    <definedName name="_xlchart.v1.5" hidden="1">PVM!$C$34:$C$38</definedName>
    <definedName name="_xlchart.v1.6" hidden="1">Plan!$N$79:$N$84</definedName>
    <definedName name="_xlchart.v1.7" hidden="1">Plan!$O$79:$O$84</definedName>
    <definedName name="actual_cdd">Weather!$C$15:$N$15</definedName>
    <definedName name="actual_hdd">Weather!$C$14:$N$14</definedName>
    <definedName name="AsOfMonth">Assumptions!$C$6</definedName>
    <definedName name="backtest">Plan!$B$113:$H$116</definedName>
    <definedName name="BaseYear">Assumptions!$C$13</definedName>
    <definedName name="bridge_long">PVM!$C$34:$C$38</definedName>
    <definedName name="CddOverlay">Scenarios!$C$9</definedName>
    <definedName name="CddScale">INDEX(ScenarioCdd,ScenarioNo)*CddOverlay</definedName>
    <definedName name="checks_status">Checks!$H$6:$H$36</definedName>
    <definedName name="checks_summary">Checks!$B$2</definedName>
    <definedName name="coef_commercial">Weather!$C$7:$G$7</definedName>
    <definedName name="coef_residential">Weather!$C$6:$G$6</definedName>
    <definedName name="CompanyId">Assumptions!$C$12</definedName>
    <definedName name="cover_answers">Cover!$C$13:$C$17</definedName>
    <definedName name="CPK" comment="Revenue ($) and MWh to cents per kWh.">_xlfn.LAMBDA(_xlpm.revenue,_xlpm.mwh,SAFEDIV(_xlpm.revenue,_xlpm.mwh)/10)</definedName>
    <definedName name="ctrl_eia_mwh">Checks!$D$42</definedName>
    <definedName name="ctrl_eia_revenue_k">Checks!$D$43</definedName>
    <definedName name="ctrl_eia_rows">Checks!$D$41</definedName>
    <definedName name="ctrl_ferc_rows">Checks!$D$44</definedName>
    <definedName name="ctrl_noaa_lines">Checks!$D$45</definedName>
    <definedName name="CustOverlay">Scenarios!$C$7</definedName>
    <definedName name="dash_commentary">Dashboard!$B$11:$B$15</definedName>
    <definedName name="dash_outlook_table">Dashboard!$K$57:$S$61</definedName>
    <definedName name="dash_plan_table">Dashboard!$B$57:$J$61</definedName>
    <definedName name="explore_cube">Explore!$C$28:$F$32</definedName>
    <definedName name="explore_yoy">Explore!$G$28:$I$32</definedName>
    <definedName name="ExternalData_1" localSheetId="13" hidden="1">PQ_Monthly!$B$4:$G$460</definedName>
    <definedName name="ExternalData_1" localSheetId="14" hidden="1">PQ_Weather!$B$4:$D$240</definedName>
    <definedName name="ExtraMW">Scenarios!$C$6</definedName>
    <definedName name="fc_degree_days">Forecast!$C$13:$N$14</definedName>
    <definedName name="fc_drivers">Forecast!$D$6:$L$9</definedName>
    <definedName name="fc_long">Forecast!$B$19:$K$66</definedName>
    <definedName name="fc_months">Forecast!$B$80:$H$91</definedName>
    <definedName name="fc_months_total">Forecast!$C$92:$H$92</definedName>
    <definedName name="fc_outlook">Forecast!$D$71:$L$74</definedName>
    <definedName name="fc_outlook_total">Forecast!$D$75:$L$75</definedName>
    <definedName name="FercYear">Assumptions!$C$14</definedName>
    <definedName name="FiscalYear">Assumptions!$C$7</definedName>
    <definedName name="fit_months">Weather!$H$6:$H$7</definedName>
    <definedName name="FitStart">Assumptions!$C$10</definedName>
    <definedName name="fy_mwh">Forecast!$K$75</definedName>
    <definedName name="fy_revenue">Forecast!$F$75</definedName>
    <definedName name="FYStart">Assumptions!$C$8</definedName>
    <definedName name="h2_revenue">Forecast!$E$75</definedName>
    <definedName name="HddOverlay">Scenarios!$C$8</definedName>
    <definedName name="HddScale">INDEX(ScenarioHdd,ScenarioNo)*HddOverlay</definedName>
    <definedName name="ISCLOSED" comment="TRUE for a month with actuals, FALSE for a forecast month.">_xlfn.LAMBDA(_xlpm.month,_xlpm.month&lt;=AsOfMonth)</definedName>
    <definedName name="kpi_fy_revenue">Dashboard!$B$5</definedName>
    <definedName name="kpi_industrial_growth">Dashboard!$K$5</definedName>
    <definedName name="kpi_op_margin">Dashboard!$Q$5</definedName>
    <definedName name="kpi_price">Dashboard!$N$5</definedName>
    <definedName name="kpi_weather_gwh">Dashboard!$H$5</definedName>
    <definedName name="kpi_ytd_vs_plan">Dashboard!$E$5</definedName>
    <definedName name="MONEY" comment="$3.01B / $40.4M / $350K style amounts for written commentary.">_xlfn.LAMBDA(_xlpm.x,IF(ABS(_xlpm.x)&gt;=999500000,TEXT(_xlpm.x/1000000000,"$#,##0.00")&amp;"B",IF(ABS(_xlpm.x)&gt;=999500,TEXT(_xlpm.x/1000000,"$#,##0.0")&amp;"M",TEXT(_xlpm.x/1000,"$#,##0")&amp;"K")))</definedName>
    <definedName name="monthly_ytd">Monthly!$D$6:$Q$9</definedName>
    <definedName name="monthly_ytd_total">Monthly!$D$10:$Q$10</definedName>
    <definedName name="MonthsClosed">Assumptions!$C$9</definedName>
    <definedName name="normal_cdd">Weather!$C$13:$N$13</definedName>
    <definedName name="normal_hdd">Weather!$C$12:$N$12</definedName>
    <definedName name="NormalYears">Assumptions!$C$11</definedName>
    <definedName name="offset_loss">Scenarios!$C$46</definedName>
    <definedName name="offset_rate">Scenarios!$C$47</definedName>
    <definedName name="peers_ids">Peers!$C$5:$G$5</definedName>
    <definedName name="peers_rank">Peers!$H$7:$H$18</definedName>
    <definedName name="peers_table">Peers!$C$7:$G$18</definedName>
    <definedName name="plan_bridge">Plan!$D$80:$L$83</definedName>
    <definedName name="plan_bridge_total">Plan!$D$84:$L$84</definedName>
    <definedName name="plan_chart">Plan!$N$79:$O$84</definedName>
    <definedName name="plan_coef">Plan!$D$16:$I$17</definedName>
    <definedName name="plan_drivers">Plan!$D$9:$L$12</definedName>
    <definedName name="plan_long">Plan!$B$28:$T$75</definedName>
    <definedName name="plan_normals">Plan!$C$21:$N$22</definedName>
    <definedName name="plan_stats">Plan!$C$102:$C$107</definedName>
    <definedName name="PlanClosed">Plan!$C$5</definedName>
    <definedName name="PlanYear">Plan!$C$4</definedName>
    <definedName name="pnl_ag">PnL!$D$27:$O$27</definedName>
    <definedName name="pnl_customer">PnL!$D$26:$O$26</definedName>
    <definedName name="pnl_customers">PnL!$D$39:$O$39</definedName>
    <definedName name="pnl_da">PnL!$D$30:$O$30</definedName>
    <definedName name="pnl_distribution">PnL!$D$25:$O$25</definedName>
    <definedName name="pnl_fuel">PnL!$D$17:$O$17</definedName>
    <definedName name="pnl_gm">PnL!$D$20:$O$20</definedName>
    <definedName name="pnl_gm_pct">PnL!$D$21:$O$21</definedName>
    <definedName name="pnl_industrial_cpk">PnL!$D$42:$O$42</definedName>
    <definedName name="pnl_industrial_mwh">PnL!$D$37:$O$37</definedName>
    <definedName name="pnl_industrial_share">PnL!$D$45:$O$45</definedName>
    <definedName name="pnl_om_per_customer">PnL!$D$44:$O$44</definedName>
    <definedName name="pnl_op_income">PnL!$D$32:$O$32</definedName>
    <definedName name="pnl_op_margin">PnL!$D$33:$O$33</definedName>
    <definedName name="pnl_other_om">PnL!$D$29:$O$29</definedName>
    <definedName name="pnl_other_rev">PnL!$D$14:$O$14</definedName>
    <definedName name="pnl_power">PnL!$D$19:$O$19</definedName>
    <definedName name="pnl_power_per_mwh">PnL!$D$43:$O$43</definedName>
    <definedName name="pnl_production">PnL!$D$23:$O$23</definedName>
    <definedName name="pnl_purchased">PnL!$D$18:$O$18</definedName>
    <definedName name="pnl_refunds">PnL!$D$13:$O$13</definedName>
    <definedName name="pnl_regional">PnL!$D$28:$O$28</definedName>
    <definedName name="pnl_residential_cpk">PnL!$D$41:$O$41</definedName>
    <definedName name="pnl_residential_mwh">PnL!$D$36:$O$36</definedName>
    <definedName name="pnl_retail">PnL!$D$11:$O$11</definedName>
    <definedName name="pnl_retail_cpk">PnL!$D$40:$O$40</definedName>
    <definedName name="pnl_retail_mwh">PnL!$D$35:$O$35</definedName>
    <definedName name="pnl_rev_large_or_industrial">PnL!$D$8:$O$8</definedName>
    <definedName name="pnl_rev_other_sales_to_public_authorities">PnL!$D$10:$O$10</definedName>
    <definedName name="pnl_rev_public_street_and_highway_lighting">PnL!$D$9:$O$9</definedName>
    <definedName name="pnl_rev_residential_sales">PnL!$D$6:$O$6</definedName>
    <definedName name="pnl_rev_small_or_commercial">PnL!$D$7:$O$7</definedName>
    <definedName name="pnl_revenue">PnL!$D$15:$O$15</definedName>
    <definedName name="pnl_summary">PnL!$P$5:$R$45</definedName>
    <definedName name="pnl_taxes">PnL!$D$31:$O$31</definedName>
    <definedName name="pnl_total_mwh">PnL!$D$38:$O$38</definedName>
    <definedName name="pnl_transmission">PnL!$D$24:$O$24</definedName>
    <definedName name="pnl_wholesale">PnL!$D$12:$O$12</definedName>
    <definedName name="pnl_years">PnL!$D$4:$O$4</definedName>
    <definedName name="_xlnm.Print_Area" localSheetId="11">Checks!$B$1:$I$44</definedName>
    <definedName name="_xlnm.Print_Area" localSheetId="0">Cover!$A$1:$D$48</definedName>
    <definedName name="_xlnm.Print_Area" localSheetId="1">Dashboard!$A$1:$T$62</definedName>
    <definedName name="_xlnm.Print_Area" localSheetId="7">Forecast!$B$1:$N$92</definedName>
    <definedName name="_xlnm.Print_Area" localSheetId="4">Monthly!$B$1:$Q$38</definedName>
    <definedName name="_xlnm.Print_Area" localSheetId="9">Peers!$B$1:$J$38</definedName>
    <definedName name="_xlnm.Print_Area" localSheetId="6">Plan!$B$1:$U$117</definedName>
    <definedName name="_xlnm.Print_Area" localSheetId="2">PnL!$B$1:$R$45</definedName>
    <definedName name="_xlnm.Print_Area" localSheetId="3">PVM!$B$1:$O$51</definedName>
    <definedName name="_xlnm.Print_Area" localSheetId="8">Scenarios!$B$1:$T$48</definedName>
    <definedName name="_xlnm.Print_Area" localSheetId="5">Weather!$B$1:$R$53</definedName>
    <definedName name="pvm_long">PVM!$B$6:$O$10</definedName>
    <definedName name="pvm_long_total">PVM!$B$11:$O$11</definedName>
    <definedName name="pvm_short">PVM!$B$16:$O$20</definedName>
    <definedName name="pvm_short_total">PVM!$B$21:$O$21</definedName>
    <definedName name="pvm_ytd">PVM!$B$26:$O$29</definedName>
    <definedName name="pvm_ytd_total">PVM!$B$30:$O$30</definedName>
    <definedName name="RateChange">Scenarios!$C$5</definedName>
    <definedName name="revenue_grid">Monthly!$C$15:$N$24</definedName>
    <definedName name="SAFEDIV" comment="n ÷ d, or 0 when d is 0.">_xlfn.LAMBDA(_xlpm.n,_xlpm.d,IF(_xlpm.d=0,0,_xlpm.n/_xlpm.d))</definedName>
    <definedName name="ScenarioCdd">Assumptions!$D$19:$D$21</definedName>
    <definedName name="ScenarioHdd">Assumptions!$C$19:$C$21</definedName>
    <definedName name="ScenarioList">Assumptions!$B$19:$B$21</definedName>
    <definedName name="ScenarioNo">Scenarios!$D$4</definedName>
    <definedName name="scn_live">Scenarios!$C$12:$C$17</definedName>
    <definedName name="scn_weather">Scenarios!$C$22:$G$24</definedName>
    <definedName name="sens_grid">Scenarios!$C$29:$I$35</definedName>
    <definedName name="sens_mw_axis">Scenarios!$C$28:$I$28</definedName>
    <definedName name="sens_rate_axis">Scenarios!$B$29:$B$35</definedName>
    <definedName name="SIGNMONEY" comment="MONEY with an explicit sign.">_xlfn.LAMBDA(_xlpm.x,IF(_xlpm.x&lt;0,"−","+")&amp;MONEY(ABS(_xlpm.x)))</definedName>
    <definedName name="Slicer_Quarter">#N/A</definedName>
    <definedName name="Slicer_Year">#N/A</definedName>
    <definedName name="tieout">Monthly!$B$29:$I$37</definedName>
    <definedName name="Tol">Assumptions!$C$15</definedName>
    <definedName name="tornado">Scenarios!$F$39:$F$43</definedName>
    <definedName name="TRENDYEARS" comment="Years since the start of the fit window: the weather model's trend term.">_xlfn.LAMBDA(_xlpm.month,YEAR(_xlpm.month)-YEAR(FitStart)+(MONTH(_xlpm.month)-1)/12)</definedName>
    <definedName name="weather_history">Weather!$B$62:$J$181</definedName>
    <definedName name="weather_impact">Weather!$B$19:$N$30</definedName>
    <definedName name="weather_impact_total">Weather!$C$31:$N$31</definedName>
    <definedName name="WeatherScenario">Scenarios!$C$4</definedName>
    <definedName name="wx_actual">Weather!$F$62:INDEX(Weather!$F$62:$F$181,COUNT(Weather!$F$62:$F$181))</definedName>
    <definedName name="wx_fitted">Weather!$H$62:INDEX(Weather!$H$62:$H$181,COUNT(Weather!$F$62:$F$181))</definedName>
    <definedName name="wx_months">Weather!$B$62:INDEX(Weather!$B$62:$B$181,COUNT(Weather!$F$62:$F$181))</definedName>
  </definedNames>
  <calcPr calcId="191029"/>
  <pivotCaches>
    <pivotCache cacheId="65" r:id="rId20"/>
    <pivotCache cacheId="66" r:id="rId21"/>
  </pivotCaches>
  <extLst>
    <ext xmlns:x14="http://schemas.microsoft.com/office/spreadsheetml/2009/9/main" uri="{876F7934-8845-4945-9796-88D515C7AA90}">
      <x14:pivotCaches>
        <pivotCache cacheId="56"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onthly_d48b539b-ac5c-40fa-ac16-4b4b64089fdd" name="Monthly" connection="Query - Monthly"/>
          <x15:modelTable id="Weather_96c18071-e988-456c-9ca1-0d212c6bd686" name="Weather" connection="Query - Weather"/>
          <x15:modelTable id="Calendar_afc4020d-8446-4e80-951b-0456dd2783f0" name="Calendar" connection="Query - Calendar"/>
          <x15:modelTable id="Class_6ec756d6-40aa-4b4f-acef-7b7e07b53cf7" name="Class" connection="Query - Class"/>
        </x15:modelTables>
        <x15:modelRelationships>
          <x15:modelRelationship fromTable="Monthly" fromColumn="month" toTable="Calendar" toColumn="month"/>
          <x15:modelRelationship fromTable="Monthly" fromColumn="class" toTable="Class" toColumn="class"/>
          <x15:modelRelationship fromTable="Weather" fromColumn="month" toTable="Calendar" toColumn="month"/>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61" i="2" l="1"/>
  <c r="B61" i="2"/>
  <c r="K60" i="2"/>
  <c r="B60" i="2"/>
  <c r="K59" i="2"/>
  <c r="B59" i="2"/>
  <c r="K58" i="2"/>
  <c r="B58" i="2"/>
  <c r="K57" i="2"/>
  <c r="B57" i="2"/>
  <c r="B95" i="2"/>
  <c r="B96" i="2"/>
  <c r="B97" i="2"/>
  <c r="B87" i="2"/>
  <c r="B88" i="2"/>
  <c r="B89" i="2"/>
  <c r="B90" i="2"/>
  <c r="B91" i="2"/>
  <c r="Q8" i="2"/>
  <c r="E8" i="2"/>
  <c r="G36" i="12"/>
  <c r="G35" i="12"/>
  <c r="D35" i="12"/>
  <c r="G34" i="12"/>
  <c r="G33" i="12"/>
  <c r="G32" i="12"/>
  <c r="E32" i="12" a="1"/>
  <c r="E32" i="12" s="1"/>
  <c r="G31" i="12"/>
  <c r="E31" i="12"/>
  <c r="G30" i="12"/>
  <c r="G29" i="12"/>
  <c r="G28" i="12"/>
  <c r="G27" i="12"/>
  <c r="D27" i="12"/>
  <c r="G26" i="12"/>
  <c r="D26" i="12"/>
  <c r="G25" i="12"/>
  <c r="D25" i="12"/>
  <c r="G24" i="12"/>
  <c r="D24" i="12"/>
  <c r="G23" i="12"/>
  <c r="D23" i="12"/>
  <c r="G22" i="12"/>
  <c r="G21" i="12"/>
  <c r="D21" i="12"/>
  <c r="G20" i="12"/>
  <c r="D20" i="12"/>
  <c r="G19" i="12"/>
  <c r="D19" i="12"/>
  <c r="G18" i="12"/>
  <c r="D18" i="12"/>
  <c r="G17" i="12"/>
  <c r="D17" i="12"/>
  <c r="G16" i="12"/>
  <c r="E16" i="12"/>
  <c r="D16" i="12" a="1"/>
  <c r="D16" i="12" s="1"/>
  <c r="G15" i="12"/>
  <c r="E15" i="12"/>
  <c r="D15" i="12"/>
  <c r="G14" i="12"/>
  <c r="E14" i="12"/>
  <c r="D14" i="12" a="1"/>
  <c r="D14" i="12" s="1"/>
  <c r="G13" i="12"/>
  <c r="E13" i="12"/>
  <c r="D13" i="12"/>
  <c r="G12" i="12"/>
  <c r="E12" i="12"/>
  <c r="F12" i="12" s="1"/>
  <c r="H12" i="12" s="1"/>
  <c r="D12" i="12"/>
  <c r="G11" i="12"/>
  <c r="E11" i="12" a="1"/>
  <c r="E11" i="12" s="1"/>
  <c r="F11" i="12" s="1"/>
  <c r="H11" i="12" s="1"/>
  <c r="D11" i="12"/>
  <c r="G10" i="12"/>
  <c r="E10" i="12" a="1"/>
  <c r="E10" i="12" s="1"/>
  <c r="F10" i="12" s="1"/>
  <c r="H10" i="12" s="1"/>
  <c r="D10" i="12"/>
  <c r="G9" i="12"/>
  <c r="E9" i="12"/>
  <c r="G8" i="12"/>
  <c r="E8" i="12"/>
  <c r="F8" i="12" s="1"/>
  <c r="H8" i="12" s="1"/>
  <c r="D8" i="12" a="1"/>
  <c r="D8" i="12" s="1"/>
  <c r="G7" i="12"/>
  <c r="E7" i="12"/>
  <c r="D7" i="12" a="1"/>
  <c r="D7" i="12" s="1"/>
  <c r="G6" i="12"/>
  <c r="E6" i="12"/>
  <c r="D6" i="12" a="1"/>
  <c r="D6" i="12" s="1"/>
  <c r="F6" i="12" s="1"/>
  <c r="H6" i="12" s="1"/>
  <c r="C5" i="10" a="1"/>
  <c r="C5" i="10"/>
  <c r="D5" i="10" a="1"/>
  <c r="D5" i="10" s="1"/>
  <c r="E5" i="10" a="1"/>
  <c r="E5" i="10" s="1"/>
  <c r="F5" i="10" a="1"/>
  <c r="F5" i="10" s="1"/>
  <c r="G5" i="10" a="1"/>
  <c r="G5" i="10"/>
  <c r="C4" i="10" a="1"/>
  <c r="C4" i="10" s="1"/>
  <c r="D4" i="10" a="1"/>
  <c r="D4" i="10" s="1"/>
  <c r="E4" i="10" a="1"/>
  <c r="E4" i="10" s="1"/>
  <c r="F4" i="10" a="1"/>
  <c r="F4" i="10" s="1"/>
  <c r="G4" i="10" a="1"/>
  <c r="G4" i="10" s="1"/>
  <c r="C46" i="9"/>
  <c r="C47" i="9" s="1" a="1"/>
  <c r="C47" i="9" s="1"/>
  <c r="E43" i="9"/>
  <c r="D43" i="9"/>
  <c r="E42" i="9"/>
  <c r="D42" i="9"/>
  <c r="E41" i="9"/>
  <c r="D41" i="9"/>
  <c r="E40" i="9"/>
  <c r="D40" i="9"/>
  <c r="E39" i="9"/>
  <c r="D39" i="9"/>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N79" i="7"/>
  <c r="B86" i="2" s="1"/>
  <c r="B89" i="7"/>
  <c r="B90" i="7"/>
  <c r="B91" i="7"/>
  <c r="B92" i="7"/>
  <c r="B93" i="7"/>
  <c r="B94" i="7"/>
  <c r="B95" i="7"/>
  <c r="B96" i="7"/>
  <c r="B97" i="7"/>
  <c r="B98" i="7"/>
  <c r="B99" i="7"/>
  <c r="B100" i="7"/>
  <c r="F52" i="7" a="1"/>
  <c r="F52" i="7" s="1"/>
  <c r="F53" i="7" a="1"/>
  <c r="F53" i="7" s="1"/>
  <c r="F54" i="7" a="1"/>
  <c r="F54" i="7" s="1"/>
  <c r="F55" i="7" a="1"/>
  <c r="F55" i="7" s="1"/>
  <c r="F56" i="7" a="1"/>
  <c r="F56" i="7" s="1"/>
  <c r="F57" i="7" a="1"/>
  <c r="F57" i="7" s="1"/>
  <c r="F58" i="7" a="1"/>
  <c r="F58" i="7" s="1"/>
  <c r="F59" i="7" a="1"/>
  <c r="F59" i="7" s="1"/>
  <c r="F60" i="7" a="1"/>
  <c r="F60" i="7" s="1"/>
  <c r="F61" i="7" a="1"/>
  <c r="F61" i="7" s="1"/>
  <c r="F62" i="7" a="1"/>
  <c r="F62" i="7" s="1"/>
  <c r="F63" i="7" a="1"/>
  <c r="F63" i="7" s="1"/>
  <c r="F64" i="7" a="1"/>
  <c r="F64" i="7" s="1"/>
  <c r="F65" i="7" a="1"/>
  <c r="F65" i="7" s="1"/>
  <c r="F66" i="7" a="1"/>
  <c r="F66" i="7" s="1"/>
  <c r="F67" i="7" a="1"/>
  <c r="F67" i="7" s="1"/>
  <c r="F68" i="7" a="1"/>
  <c r="F68" i="7" s="1"/>
  <c r="F69" i="7" a="1"/>
  <c r="F69" i="7" s="1"/>
  <c r="F70" i="7" a="1"/>
  <c r="F70" i="7" s="1"/>
  <c r="F71" i="7" a="1"/>
  <c r="F71" i="7" s="1"/>
  <c r="F72" i="7" a="1"/>
  <c r="F72" i="7" s="1"/>
  <c r="F73" i="7" a="1"/>
  <c r="F73" i="7" s="1"/>
  <c r="F74" i="7" a="1"/>
  <c r="F74" i="7" s="1"/>
  <c r="F75" i="7" a="1"/>
  <c r="F75" i="7" s="1"/>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C24" i="7"/>
  <c r="D24" i="7"/>
  <c r="E24" i="7"/>
  <c r="F24" i="7"/>
  <c r="G24" i="7"/>
  <c r="H24" i="7"/>
  <c r="I24" i="7"/>
  <c r="J24" i="7"/>
  <c r="K24" i="7"/>
  <c r="L24" i="7"/>
  <c r="M24" i="7"/>
  <c r="N24" i="7"/>
  <c r="C23" i="7"/>
  <c r="D23" i="7"/>
  <c r="E23" i="7"/>
  <c r="F23" i="7"/>
  <c r="G23" i="7"/>
  <c r="H23" i="7"/>
  <c r="I23" i="7"/>
  <c r="J23" i="7"/>
  <c r="K23" i="7"/>
  <c r="L23" i="7"/>
  <c r="M23" i="7"/>
  <c r="N23" i="7"/>
  <c r="C22" i="7" a="1"/>
  <c r="C22" i="7" s="1"/>
  <c r="D22" i="7" a="1"/>
  <c r="D22" i="7" s="1"/>
  <c r="E22" i="7" a="1"/>
  <c r="E22" i="7" s="1"/>
  <c r="F22" i="7" a="1"/>
  <c r="F22" i="7" s="1"/>
  <c r="G22" i="7" a="1"/>
  <c r="G22" i="7" s="1"/>
  <c r="H22" i="7" a="1"/>
  <c r="H22" i="7" s="1"/>
  <c r="I22" i="7" a="1"/>
  <c r="I22" i="7" s="1"/>
  <c r="J22" i="7" a="1"/>
  <c r="J22" i="7" s="1"/>
  <c r="K22" i="7" a="1"/>
  <c r="K22" i="7" s="1"/>
  <c r="L22" i="7" a="1"/>
  <c r="L22" i="7" s="1"/>
  <c r="M22" i="7" a="1"/>
  <c r="M22" i="7" s="1"/>
  <c r="N22" i="7" a="1"/>
  <c r="N22" i="7" s="1"/>
  <c r="C21" i="7" a="1"/>
  <c r="C21" i="7" s="1"/>
  <c r="D21" i="7" a="1"/>
  <c r="D21" i="7" s="1"/>
  <c r="E21" i="7" a="1"/>
  <c r="E21" i="7" s="1"/>
  <c r="F21" i="7" a="1"/>
  <c r="F21" i="7" s="1"/>
  <c r="G21" i="7" a="1"/>
  <c r="G21" i="7" s="1"/>
  <c r="H21" i="7" a="1"/>
  <c r="H21" i="7" s="1"/>
  <c r="I21" i="7" a="1"/>
  <c r="I21" i="7" s="1"/>
  <c r="J21" i="7" a="1"/>
  <c r="J21" i="7" s="1"/>
  <c r="K21" i="7" a="1"/>
  <c r="K21" i="7" s="1"/>
  <c r="L21" i="7" a="1"/>
  <c r="L21" i="7" s="1"/>
  <c r="M21" i="7" a="1"/>
  <c r="M21" i="7" s="1"/>
  <c r="N21" i="7" a="1"/>
  <c r="N21" i="7" s="1"/>
  <c r="C20" i="7"/>
  <c r="D20" i="7"/>
  <c r="E20" i="7"/>
  <c r="F20" i="7"/>
  <c r="G20" i="7"/>
  <c r="H20" i="7"/>
  <c r="I20" i="7"/>
  <c r="J20" i="7"/>
  <c r="K20" i="7"/>
  <c r="L20" i="7"/>
  <c r="M20" i="7"/>
  <c r="N20" i="7"/>
  <c r="B19" i="7"/>
  <c r="B14" i="7"/>
  <c r="H9" i="7"/>
  <c r="K9" i="7" s="1" a="1"/>
  <c r="K9" i="7" s="1"/>
  <c r="H10" i="7"/>
  <c r="K10" i="7" s="1" a="1"/>
  <c r="K10" i="7" s="1"/>
  <c r="H11" i="7"/>
  <c r="K11" i="7" s="1" a="1"/>
  <c r="K11" i="7" s="1"/>
  <c r="H12" i="7"/>
  <c r="K12" i="7" s="1" a="1"/>
  <c r="K12" i="7" s="1"/>
  <c r="G9" i="7"/>
  <c r="J9" i="7" s="1" a="1"/>
  <c r="J9" i="7" s="1"/>
  <c r="G10" i="7"/>
  <c r="J10" i="7" s="1" a="1"/>
  <c r="J10" i="7" s="1"/>
  <c r="G11" i="7"/>
  <c r="G12" i="7"/>
  <c r="E9" i="7"/>
  <c r="E10" i="7"/>
  <c r="E11" i="7"/>
  <c r="E12" i="7"/>
  <c r="D9" i="7"/>
  <c r="D10" i="7"/>
  <c r="D11" i="7"/>
  <c r="D12" i="7"/>
  <c r="B7" i="7"/>
  <c r="B1" i="7" a="1"/>
  <c r="B1" i="7" s="1"/>
  <c r="C11" i="6"/>
  <c r="D11" i="6"/>
  <c r="E11" i="6"/>
  <c r="F11" i="6"/>
  <c r="G11" i="6"/>
  <c r="H11" i="6"/>
  <c r="I11" i="6"/>
  <c r="J11" i="6"/>
  <c r="K11" i="6"/>
  <c r="L11" i="6"/>
  <c r="M11" i="6"/>
  <c r="N11" i="6"/>
  <c r="C14" i="5"/>
  <c r="D14" i="5"/>
  <c r="E14" i="5"/>
  <c r="F14" i="5"/>
  <c r="G14" i="5"/>
  <c r="H14" i="5"/>
  <c r="I14" i="5"/>
  <c r="J14" i="5"/>
  <c r="K14" i="5"/>
  <c r="L14" i="5"/>
  <c r="M14" i="5"/>
  <c r="N14" i="5"/>
  <c r="B34" i="4"/>
  <c r="B94" i="2" s="1"/>
  <c r="E10" i="4"/>
  <c r="D10" i="4"/>
  <c r="H10" i="4" s="1" a="1"/>
  <c r="H10" i="4" s="1"/>
  <c r="E9" i="4"/>
  <c r="D9" i="4"/>
  <c r="H9" i="4" s="1" a="1"/>
  <c r="H9" i="4" s="1"/>
  <c r="E8" i="4"/>
  <c r="D8" i="4"/>
  <c r="H8" i="4" s="1" a="1"/>
  <c r="H8" i="4" s="1"/>
  <c r="E7" i="4"/>
  <c r="D7" i="4"/>
  <c r="H7" i="4" s="1" a="1"/>
  <c r="H7" i="4" s="1"/>
  <c r="E6" i="4"/>
  <c r="E11" i="4" s="1"/>
  <c r="C34" i="4" s="1"/>
  <c r="C94" i="2" s="1"/>
  <c r="D6" i="4"/>
  <c r="D4" i="9"/>
  <c r="C14" i="13"/>
  <c r="Q4" i="2" s="1"/>
  <c r="C10" i="13"/>
  <c r="B62" i="6" s="1"/>
  <c r="C6" i="13"/>
  <c r="N7" i="5" s="1"/>
  <c r="B14" i="4" l="1"/>
  <c r="D16" i="4"/>
  <c r="E16" i="4"/>
  <c r="F16" i="4"/>
  <c r="D4" i="3"/>
  <c r="D25" i="3" s="1"/>
  <c r="D17" i="4"/>
  <c r="H17" i="4" s="1" a="1"/>
  <c r="H17" i="4" s="1"/>
  <c r="E17" i="4"/>
  <c r="F17" i="4"/>
  <c r="N6" i="5"/>
  <c r="G16" i="4"/>
  <c r="N16" i="4" s="1"/>
  <c r="F7" i="12"/>
  <c r="H7" i="12" s="1"/>
  <c r="M9" i="5"/>
  <c r="H6" i="4" a="1"/>
  <c r="H6" i="4" s="1"/>
  <c r="F10" i="7" a="1"/>
  <c r="F10" i="7" s="1"/>
  <c r="E41" i="7" s="1"/>
  <c r="F14" i="12"/>
  <c r="H14" i="12" s="1"/>
  <c r="F12" i="7" a="1"/>
  <c r="F12" i="7" s="1"/>
  <c r="E73" i="7" s="1"/>
  <c r="F43" i="9"/>
  <c r="F41" i="9"/>
  <c r="L10" i="7" a="1"/>
  <c r="L10" i="7" s="1"/>
  <c r="I41" i="7" s="1" a="1"/>
  <c r="I41" i="7" s="1"/>
  <c r="D11" i="4"/>
  <c r="H11" i="4" s="1" a="1"/>
  <c r="H11" i="4" s="1"/>
  <c r="F15" i="12"/>
  <c r="H15" i="12" s="1"/>
  <c r="F13" i="12"/>
  <c r="H13" i="12" s="1"/>
  <c r="F39" i="9"/>
  <c r="E33" i="12" s="1"/>
  <c r="F40" i="9"/>
  <c r="B48" i="9" a="1"/>
  <c r="B48" i="9" s="1"/>
  <c r="F42" i="9"/>
  <c r="I46" i="7" a="1"/>
  <c r="I46" i="7" s="1"/>
  <c r="I42" i="7" a="1"/>
  <c r="I42" i="7" s="1"/>
  <c r="I10" i="7" a="1"/>
  <c r="I10" i="7" s="1"/>
  <c r="F11" i="7" a="1"/>
  <c r="F11" i="7" s="1"/>
  <c r="E61" i="7" s="1"/>
  <c r="F9" i="7" a="1"/>
  <c r="F9" i="7" s="1"/>
  <c r="E32" i="7" s="1"/>
  <c r="L9" i="7" a="1"/>
  <c r="L9" i="7" s="1"/>
  <c r="I31" i="7" s="1" a="1"/>
  <c r="I31" i="7" s="1"/>
  <c r="D38" i="3"/>
  <c r="D36" i="3"/>
  <c r="D26" i="3" a="1"/>
  <c r="D26" i="3" s="1"/>
  <c r="D37" i="3"/>
  <c r="D17" i="3" a="1"/>
  <c r="D17" i="3" s="1"/>
  <c r="D30" i="3" a="1"/>
  <c r="D30" i="3" s="1"/>
  <c r="D24" i="3"/>
  <c r="D7" i="3"/>
  <c r="D18" i="3" a="1"/>
  <c r="D18" i="3" s="1"/>
  <c r="D10" i="3"/>
  <c r="E4" i="3"/>
  <c r="D12" i="3"/>
  <c r="D35" i="3"/>
  <c r="D14" i="3"/>
  <c r="D31" i="3"/>
  <c r="D6" i="3"/>
  <c r="D8" i="3"/>
  <c r="D27" i="3"/>
  <c r="D39" i="3"/>
  <c r="D13" i="3"/>
  <c r="D9" i="3"/>
  <c r="G62" i="6" a="1"/>
  <c r="G62" i="6" s="1"/>
  <c r="F62" i="6" a="1"/>
  <c r="F62" i="6" s="1"/>
  <c r="C62" i="6" a="1"/>
  <c r="C62" i="6" s="1"/>
  <c r="E62" i="6"/>
  <c r="I51" i="7" a="1"/>
  <c r="I51" i="7" s="1"/>
  <c r="I50" i="7" a="1"/>
  <c r="I50" i="7" s="1"/>
  <c r="E50" i="7"/>
  <c r="I49" i="7" a="1"/>
  <c r="I49" i="7" s="1"/>
  <c r="E49" i="7"/>
  <c r="E46" i="7"/>
  <c r="I44" i="7" a="1"/>
  <c r="I44" i="7" s="1"/>
  <c r="I48" i="7" a="1"/>
  <c r="I48" i="7" s="1"/>
  <c r="I47" i="7" a="1"/>
  <c r="I47" i="7" s="1"/>
  <c r="I43" i="7" a="1"/>
  <c r="I43" i="7" s="1"/>
  <c r="D62" i="6"/>
  <c r="E7" i="8"/>
  <c r="D7" i="8"/>
  <c r="E6" i="8"/>
  <c r="E8" i="8"/>
  <c r="D9" i="12"/>
  <c r="E9" i="8"/>
  <c r="D6" i="8"/>
  <c r="D8" i="8"/>
  <c r="D9" i="8"/>
  <c r="N8" i="5"/>
  <c r="N9" i="5"/>
  <c r="O9" i="5" s="1" a="1"/>
  <c r="O9" i="5" s="1"/>
  <c r="M6" i="5"/>
  <c r="M7" i="5"/>
  <c r="M8" i="5"/>
  <c r="E45" i="7"/>
  <c r="I45" i="7" a="1"/>
  <c r="I45" i="7" s="1"/>
  <c r="C7" i="13"/>
  <c r="J12" i="7" a="1"/>
  <c r="J12" i="7" s="1"/>
  <c r="L12" i="7" s="1" a="1"/>
  <c r="L12" i="7" s="1"/>
  <c r="I12" i="7" a="1"/>
  <c r="I12" i="7" s="1"/>
  <c r="G65" i="7" s="1"/>
  <c r="J11" i="7" a="1"/>
  <c r="J11" i="7" s="1"/>
  <c r="L11" i="7" s="1" a="1"/>
  <c r="L11" i="7" s="1"/>
  <c r="I53" i="7" s="1" a="1"/>
  <c r="I53" i="7" s="1"/>
  <c r="I11" i="7" a="1"/>
  <c r="I11" i="7" s="1"/>
  <c r="G62" i="7" s="1"/>
  <c r="H16" i="4" a="1"/>
  <c r="H16" i="4" s="1"/>
  <c r="C9" i="13"/>
  <c r="B1" i="8" s="1"/>
  <c r="B97" i="8"/>
  <c r="B24" i="5"/>
  <c r="B29" i="5"/>
  <c r="B19" i="5"/>
  <c r="B20" i="5"/>
  <c r="B21" i="5"/>
  <c r="B22" i="5"/>
  <c r="B18" i="5"/>
  <c r="B4" i="6"/>
  <c r="B2" i="5"/>
  <c r="B15" i="5"/>
  <c r="B16" i="5"/>
  <c r="B17" i="5"/>
  <c r="B23" i="5"/>
  <c r="B63" i="6"/>
  <c r="B2" i="10"/>
  <c r="G18" i="10" a="1"/>
  <c r="G18" i="10" s="1"/>
  <c r="G12" i="10" a="1"/>
  <c r="G12" i="10" s="1"/>
  <c r="C17" i="10" a="1"/>
  <c r="C17" i="10" s="1"/>
  <c r="C11" i="10" a="1"/>
  <c r="C11" i="10" s="1"/>
  <c r="G17" i="10" a="1"/>
  <c r="G17" i="10" s="1"/>
  <c r="G11" i="10" a="1"/>
  <c r="G11" i="10" s="1"/>
  <c r="G14" i="10"/>
  <c r="C10" i="10" a="1"/>
  <c r="C10" i="10" s="1"/>
  <c r="C9" i="10"/>
  <c r="C18" i="10" a="1"/>
  <c r="C18" i="10" s="1"/>
  <c r="G8" i="10"/>
  <c r="C15" i="10" a="1"/>
  <c r="C15" i="10" s="1"/>
  <c r="G15" i="10" a="1"/>
  <c r="G15" i="10" s="1"/>
  <c r="C7" i="10"/>
  <c r="G10" i="4"/>
  <c r="N10" i="4" s="1"/>
  <c r="F16" i="10" a="1"/>
  <c r="F16" i="10" s="1"/>
  <c r="F7" i="10"/>
  <c r="G8" i="4"/>
  <c r="N8" i="4" s="1"/>
  <c r="F8" i="4"/>
  <c r="C14" i="10"/>
  <c r="F7" i="4"/>
  <c r="G20" i="4"/>
  <c r="F20" i="4"/>
  <c r="E20" i="4"/>
  <c r="G6" i="4"/>
  <c r="D20" i="4"/>
  <c r="H20" i="4" s="1" a="1"/>
  <c r="H20" i="4" s="1"/>
  <c r="F6" i="4"/>
  <c r="E19" i="4"/>
  <c r="B4" i="4"/>
  <c r="F10" i="4"/>
  <c r="P4" i="3"/>
  <c r="Q4" i="3"/>
  <c r="D18" i="4"/>
  <c r="H18" i="4" s="1" a="1"/>
  <c r="H18" i="4" s="1"/>
  <c r="G9" i="4"/>
  <c r="N9" i="4" s="1"/>
  <c r="F9" i="4"/>
  <c r="G19" i="4"/>
  <c r="N19" i="4" s="1"/>
  <c r="F19" i="4"/>
  <c r="D19" i="4"/>
  <c r="G18" i="4"/>
  <c r="G7" i="4"/>
  <c r="N7" i="4" s="1"/>
  <c r="B38" i="4"/>
  <c r="B98" i="2" s="1"/>
  <c r="F18" i="4"/>
  <c r="E18" i="4"/>
  <c r="G17" i="4"/>
  <c r="N17" i="4" s="1"/>
  <c r="I16" i="4" a="1"/>
  <c r="I16" i="4" s="1"/>
  <c r="I9" i="7" a="1"/>
  <c r="I9" i="7" s="1"/>
  <c r="G53" i="7"/>
  <c r="E64" i="7"/>
  <c r="F10" i="10" a="1"/>
  <c r="F10" i="10" s="1"/>
  <c r="F13" i="10"/>
  <c r="F12" i="10" a="1"/>
  <c r="F12" i="10" s="1"/>
  <c r="F8" i="10"/>
  <c r="F18" i="10" a="1"/>
  <c r="F18" i="10" s="1"/>
  <c r="F17" i="10" a="1"/>
  <c r="F17" i="10" s="1"/>
  <c r="F11" i="10" a="1"/>
  <c r="F11" i="10" s="1"/>
  <c r="F14" i="10"/>
  <c r="F9" i="10"/>
  <c r="F16" i="12"/>
  <c r="H16" i="12" s="1"/>
  <c r="E10" i="10" a="1"/>
  <c r="E10" i="10" s="1"/>
  <c r="E13" i="10"/>
  <c r="E16" i="10" a="1"/>
  <c r="E16" i="10" s="1"/>
  <c r="E9" i="10"/>
  <c r="E12" i="10" a="1"/>
  <c r="E12" i="10" s="1"/>
  <c r="E17" i="10" a="1"/>
  <c r="E17" i="10" s="1"/>
  <c r="E11" i="10" a="1"/>
  <c r="E11" i="10" s="1"/>
  <c r="E14" i="10"/>
  <c r="E8" i="10"/>
  <c r="E18" i="10" a="1"/>
  <c r="E18" i="10" s="1"/>
  <c r="D16" i="10" a="1"/>
  <c r="D16" i="10" s="1"/>
  <c r="D12" i="10" a="1"/>
  <c r="D12" i="10" s="1"/>
  <c r="D9" i="10"/>
  <c r="D18" i="10" a="1"/>
  <c r="D18" i="10" s="1"/>
  <c r="D13" i="10"/>
  <c r="D17" i="10" a="1"/>
  <c r="D17" i="10" s="1"/>
  <c r="D11" i="10" a="1"/>
  <c r="D11" i="10" s="1"/>
  <c r="D10" i="10" a="1"/>
  <c r="D10" i="10" s="1"/>
  <c r="D8" i="10"/>
  <c r="D7" i="10"/>
  <c r="E7" i="10"/>
  <c r="D14" i="10"/>
  <c r="F15" i="10" a="1"/>
  <c r="F15" i="10" s="1"/>
  <c r="E15" i="10" a="1"/>
  <c r="E15" i="10" s="1"/>
  <c r="D15" i="10" a="1"/>
  <c r="D15" i="10" s="1"/>
  <c r="F9" i="12"/>
  <c r="H9" i="12" s="1"/>
  <c r="I54" i="7" a="1"/>
  <c r="I54" i="7" s="1"/>
  <c r="G54" i="7"/>
  <c r="G13" i="10"/>
  <c r="G10" i="10" a="1"/>
  <c r="G10" i="10" s="1"/>
  <c r="G9" i="10"/>
  <c r="G16" i="10" a="1"/>
  <c r="G16" i="10" s="1"/>
  <c r="C13" i="10"/>
  <c r="C16" i="10" a="1"/>
  <c r="C16" i="10" s="1"/>
  <c r="C12" i="10" a="1"/>
  <c r="C12" i="10" s="1"/>
  <c r="C8" i="10"/>
  <c r="G7" i="10"/>
  <c r="S39" i="9" l="1" a="1"/>
  <c r="S39" i="9" s="1"/>
  <c r="E51" i="7"/>
  <c r="E69" i="7"/>
  <c r="E42" i="7"/>
  <c r="E65" i="7"/>
  <c r="E40" i="7"/>
  <c r="E62" i="7"/>
  <c r="E60" i="7"/>
  <c r="E43" i="7"/>
  <c r="E66" i="7"/>
  <c r="E47" i="7"/>
  <c r="E48" i="7"/>
  <c r="E44" i="7"/>
  <c r="I34" i="7" a="1"/>
  <c r="I34" i="7" s="1"/>
  <c r="I35" i="7" a="1"/>
  <c r="I35" i="7" s="1"/>
  <c r="I40" i="7" a="1"/>
  <c r="I40" i="7" s="1"/>
  <c r="I36" i="7" a="1"/>
  <c r="I36" i="7" s="1"/>
  <c r="I32" i="7" a="1"/>
  <c r="I32" i="7" s="1"/>
  <c r="I39" i="7" a="1"/>
  <c r="I39" i="7" s="1"/>
  <c r="N10" i="5"/>
  <c r="E75" i="7"/>
  <c r="I33" i="7" a="1"/>
  <c r="I33" i="7" s="1"/>
  <c r="L16" i="4"/>
  <c r="E35" i="7"/>
  <c r="E74" i="7"/>
  <c r="E70" i="7"/>
  <c r="E68" i="7"/>
  <c r="E71" i="7"/>
  <c r="E67" i="7"/>
  <c r="E72" i="7"/>
  <c r="I30" i="7" a="1"/>
  <c r="I30" i="7" s="1"/>
  <c r="I37" i="7" a="1"/>
  <c r="I37" i="7" s="1"/>
  <c r="F6" i="8" a="1"/>
  <c r="F6" i="8" s="1"/>
  <c r="E37" i="7"/>
  <c r="H13" i="10"/>
  <c r="E33" i="7"/>
  <c r="E34" i="7"/>
  <c r="E53" i="7"/>
  <c r="H53" i="7" s="1" a="1"/>
  <c r="H53" i="7" s="1"/>
  <c r="E36" i="7"/>
  <c r="E30" i="7"/>
  <c r="I38" i="7" a="1"/>
  <c r="I38" i="7" s="1"/>
  <c r="H7" i="10"/>
  <c r="E29" i="7"/>
  <c r="E28" i="7"/>
  <c r="E55" i="7"/>
  <c r="E56" i="7"/>
  <c r="E39" i="7"/>
  <c r="E57" i="7"/>
  <c r="E21" i="4"/>
  <c r="H16" i="10"/>
  <c r="E38" i="7"/>
  <c r="I28" i="7" a="1"/>
  <c r="I28" i="7" s="1"/>
  <c r="I29" i="7" a="1"/>
  <c r="I29" i="7" s="1"/>
  <c r="E31" i="7"/>
  <c r="E52" i="7"/>
  <c r="E59" i="7"/>
  <c r="E63" i="7"/>
  <c r="E58" i="7"/>
  <c r="G74" i="7"/>
  <c r="H74" i="7" s="1" a="1"/>
  <c r="H74" i="7" s="1"/>
  <c r="E54" i="7"/>
  <c r="H54" i="7" s="1" a="1"/>
  <c r="H54" i="7" s="1"/>
  <c r="G58" i="7"/>
  <c r="G60" i="7"/>
  <c r="H60" i="7" s="1" a="1"/>
  <c r="H60" i="7" s="1"/>
  <c r="G61" i="7"/>
  <c r="H61" i="7" s="1" a="1"/>
  <c r="H61" i="7" s="1"/>
  <c r="J54" i="7"/>
  <c r="I67" i="7" a="1"/>
  <c r="I67" i="7" s="1"/>
  <c r="I68" i="7" a="1"/>
  <c r="I68" i="7" s="1"/>
  <c r="I64" i="7" a="1"/>
  <c r="I64" i="7" s="1"/>
  <c r="I65" i="7" a="1"/>
  <c r="I65" i="7" s="1"/>
  <c r="J65" i="7" s="1"/>
  <c r="I71" i="7" a="1"/>
  <c r="I71" i="7" s="1"/>
  <c r="I70" i="7" a="1"/>
  <c r="I70" i="7" s="1"/>
  <c r="I75" i="7" a="1"/>
  <c r="I75" i="7" s="1"/>
  <c r="I74" i="7" a="1"/>
  <c r="I74" i="7" s="1"/>
  <c r="I73" i="7" a="1"/>
  <c r="I73" i="7" s="1"/>
  <c r="I72" i="7" a="1"/>
  <c r="I72" i="7" s="1"/>
  <c r="I69" i="7" a="1"/>
  <c r="I69" i="7" s="1"/>
  <c r="I66" i="7" a="1"/>
  <c r="I66" i="7" s="1"/>
  <c r="F7" i="8" a="1"/>
  <c r="F7" i="8" s="1"/>
  <c r="J22" i="5"/>
  <c r="K22" i="5"/>
  <c r="M22" i="5"/>
  <c r="L22" i="5"/>
  <c r="I22" i="5"/>
  <c r="D22" i="5"/>
  <c r="C22" i="5"/>
  <c r="G22" i="5"/>
  <c r="E22" i="5"/>
  <c r="F22" i="5"/>
  <c r="H22" i="5"/>
  <c r="N22" i="5"/>
  <c r="I19" i="4" a="1"/>
  <c r="I19" i="4" s="1"/>
  <c r="B98" i="8"/>
  <c r="D97" i="8" a="1"/>
  <c r="D97" i="8" s="1"/>
  <c r="G67" i="7"/>
  <c r="H67" i="7" s="1" a="1"/>
  <c r="H67" i="7" s="1"/>
  <c r="G64" i="7"/>
  <c r="L19" i="5"/>
  <c r="M19" i="5"/>
  <c r="N19" i="5"/>
  <c r="K19" i="5"/>
  <c r="C19" i="5"/>
  <c r="E19" i="5"/>
  <c r="H19" i="5"/>
  <c r="F19" i="5"/>
  <c r="D19" i="5"/>
  <c r="I19" i="5"/>
  <c r="J19" i="5"/>
  <c r="G19" i="5"/>
  <c r="K6" i="4"/>
  <c r="J6" i="4"/>
  <c r="I6" i="4" a="1"/>
  <c r="I6" i="4" s="1"/>
  <c r="L6" i="4" s="1"/>
  <c r="F11" i="4"/>
  <c r="D19" i="3"/>
  <c r="D11" i="3"/>
  <c r="I10" i="4" a="1"/>
  <c r="I10" i="4" s="1"/>
  <c r="L10" i="4" s="1"/>
  <c r="K10" i="4"/>
  <c r="J10" i="4"/>
  <c r="F24" i="5"/>
  <c r="G24" i="5"/>
  <c r="H24" i="5"/>
  <c r="I24" i="5"/>
  <c r="J24" i="5"/>
  <c r="K24" i="5"/>
  <c r="L24" i="5"/>
  <c r="M24" i="5"/>
  <c r="N24" i="5"/>
  <c r="D24" i="5"/>
  <c r="E24" i="5"/>
  <c r="C24" i="5"/>
  <c r="G68" i="7"/>
  <c r="I17" i="4" a="1"/>
  <c r="I17" i="4" s="1"/>
  <c r="L17" i="4" s="1"/>
  <c r="D42" i="3" a="1"/>
  <c r="D42" i="3" s="1"/>
  <c r="G20" i="5"/>
  <c r="C20" i="5"/>
  <c r="F20" i="5"/>
  <c r="H20" i="5"/>
  <c r="I20" i="5"/>
  <c r="J20" i="5"/>
  <c r="K20" i="5"/>
  <c r="N20" i="5"/>
  <c r="D20" i="5"/>
  <c r="E20" i="5"/>
  <c r="L20" i="5"/>
  <c r="M20" i="5"/>
  <c r="G72" i="7"/>
  <c r="G69" i="7"/>
  <c r="N20" i="4"/>
  <c r="O8" i="5" a="1"/>
  <c r="O8" i="5" s="1"/>
  <c r="J7" i="4"/>
  <c r="I7" i="4" a="1"/>
  <c r="I7" i="4" s="1"/>
  <c r="L7" i="4" s="1"/>
  <c r="K7" i="4"/>
  <c r="O7" i="5" a="1"/>
  <c r="O7" i="5" s="1"/>
  <c r="D41" i="3" a="1"/>
  <c r="D41" i="3" s="1"/>
  <c r="G66" i="7"/>
  <c r="H10" i="10"/>
  <c r="E30" i="3" a="1"/>
  <c r="E30" i="3" s="1"/>
  <c r="E25" i="3"/>
  <c r="E38" i="3"/>
  <c r="E26" i="3" a="1"/>
  <c r="E26" i="3" s="1"/>
  <c r="E10" i="3"/>
  <c r="E14" i="3"/>
  <c r="E24" i="3"/>
  <c r="E17" i="3" a="1"/>
  <c r="E17" i="3" s="1"/>
  <c r="E35" i="3"/>
  <c r="E12" i="3"/>
  <c r="F4" i="3"/>
  <c r="E8" i="3"/>
  <c r="E36" i="3"/>
  <c r="E31" i="3"/>
  <c r="E27" i="3"/>
  <c r="E7" i="3"/>
  <c r="E18" i="3" a="1"/>
  <c r="E18" i="3" s="1"/>
  <c r="E9" i="3"/>
  <c r="E39" i="3"/>
  <c r="E37" i="3"/>
  <c r="E13" i="3"/>
  <c r="E6" i="3"/>
  <c r="H14" i="10"/>
  <c r="G63" i="6" a="1"/>
  <c r="G63" i="6" s="1"/>
  <c r="E63" i="6"/>
  <c r="B64" i="6"/>
  <c r="C63" i="6" a="1"/>
  <c r="C63" i="6" s="1"/>
  <c r="J63" i="6"/>
  <c r="F63" i="6" a="1"/>
  <c r="F63" i="6" s="1"/>
  <c r="D63" i="6"/>
  <c r="M10" i="5"/>
  <c r="O6" i="5" a="1"/>
  <c r="O6" i="5" s="1"/>
  <c r="D43" i="3" a="1"/>
  <c r="D43" i="3" s="1"/>
  <c r="M18" i="5"/>
  <c r="D18" i="5"/>
  <c r="F18" i="5"/>
  <c r="G18" i="5"/>
  <c r="H18" i="5"/>
  <c r="I18" i="5"/>
  <c r="J18" i="5"/>
  <c r="K18" i="5"/>
  <c r="L18" i="5"/>
  <c r="N18" i="5"/>
  <c r="C18" i="5"/>
  <c r="E18" i="5"/>
  <c r="J53" i="7"/>
  <c r="D29" i="5"/>
  <c r="C29" i="5"/>
  <c r="E29" i="5" s="1"/>
  <c r="G29" i="5"/>
  <c r="F29" i="5"/>
  <c r="H29" i="5" s="1"/>
  <c r="B30" i="5"/>
  <c r="B90" i="8"/>
  <c r="B23" i="8"/>
  <c r="D23" i="8" s="1"/>
  <c r="B55" i="8"/>
  <c r="D55" i="8" s="1"/>
  <c r="B25" i="8"/>
  <c r="D25" i="8" s="1"/>
  <c r="B57" i="8"/>
  <c r="D57" i="8" s="1"/>
  <c r="D22" i="12"/>
  <c r="B28" i="8"/>
  <c r="D28" i="8" s="1"/>
  <c r="B60" i="8"/>
  <c r="D60" i="8" s="1"/>
  <c r="F27" i="11"/>
  <c r="G71" i="8"/>
  <c r="B32" i="8"/>
  <c r="D32" i="8" s="1"/>
  <c r="B64" i="8"/>
  <c r="D64" i="8" s="1"/>
  <c r="D12" i="8"/>
  <c r="D27" i="11"/>
  <c r="C27" i="11"/>
  <c r="B26" i="8"/>
  <c r="D26" i="8" s="1"/>
  <c r="B63" i="8"/>
  <c r="D63" i="8" s="1"/>
  <c r="L12" i="8"/>
  <c r="B27" i="8"/>
  <c r="D27" i="8" s="1"/>
  <c r="B65" i="8"/>
  <c r="D65" i="8" s="1"/>
  <c r="M12" i="8"/>
  <c r="K55" i="2"/>
  <c r="B29" i="8"/>
  <c r="D29" i="8" s="1"/>
  <c r="B66" i="8"/>
  <c r="D66" i="8" s="1"/>
  <c r="N12" i="8"/>
  <c r="B4" i="2"/>
  <c r="B30" i="8"/>
  <c r="D30" i="8" s="1"/>
  <c r="B1" i="2"/>
  <c r="B31" i="8"/>
  <c r="D31" i="8" s="1"/>
  <c r="B80" i="8"/>
  <c r="B33" i="8"/>
  <c r="D33" i="8" s="1"/>
  <c r="B81" i="8"/>
  <c r="B34" i="8"/>
  <c r="D34" i="8" s="1"/>
  <c r="B82" i="8"/>
  <c r="B35" i="8"/>
  <c r="D35" i="8" s="1"/>
  <c r="B83" i="8"/>
  <c r="B36" i="8"/>
  <c r="D36" i="8" s="1"/>
  <c r="B84" i="8"/>
  <c r="B37" i="8"/>
  <c r="D37" i="8" s="1"/>
  <c r="B85" i="8"/>
  <c r="B38" i="8"/>
  <c r="D38" i="8" s="1"/>
  <c r="B15" i="9"/>
  <c r="B86" i="8"/>
  <c r="G72" i="8"/>
  <c r="B39" i="8"/>
  <c r="D39" i="8" s="1"/>
  <c r="B87" i="8"/>
  <c r="G73" i="8"/>
  <c r="B40" i="8"/>
  <c r="D40" i="8" s="1"/>
  <c r="B88" i="8"/>
  <c r="G74" i="8"/>
  <c r="B41" i="8"/>
  <c r="D41" i="8" s="1"/>
  <c r="B89" i="8"/>
  <c r="B42" i="8"/>
  <c r="D42" i="8" s="1"/>
  <c r="B61" i="8"/>
  <c r="D61" i="8" s="1"/>
  <c r="H12" i="8"/>
  <c r="B62" i="8"/>
  <c r="D62" i="8" s="1"/>
  <c r="I12" i="8"/>
  <c r="J12" i="8"/>
  <c r="K12" i="8"/>
  <c r="C15" i="6"/>
  <c r="G13" i="6" a="1"/>
  <c r="G13" i="6" s="1"/>
  <c r="K12" i="6" a="1"/>
  <c r="K12" i="6" s="1"/>
  <c r="E15" i="6"/>
  <c r="H13" i="6" a="1"/>
  <c r="H13" i="6" s="1"/>
  <c r="L12" i="6" a="1"/>
  <c r="L12" i="6" s="1"/>
  <c r="G15" i="6"/>
  <c r="I13" i="6" a="1"/>
  <c r="I13" i="6" s="1"/>
  <c r="M12" i="6" a="1"/>
  <c r="M12" i="6" s="1"/>
  <c r="I15" i="6"/>
  <c r="J13" i="6" a="1"/>
  <c r="J13" i="6" s="1"/>
  <c r="I70" i="8"/>
  <c r="K15" i="6"/>
  <c r="K13" i="6" a="1"/>
  <c r="K13" i="6" s="1"/>
  <c r="B15" i="6"/>
  <c r="G70" i="8"/>
  <c r="B19" i="8"/>
  <c r="D19" i="8" s="1"/>
  <c r="E27" i="11"/>
  <c r="B69" i="8"/>
  <c r="B20" i="8"/>
  <c r="D20" i="8" s="1"/>
  <c r="M15" i="6"/>
  <c r="L13" i="6" a="1"/>
  <c r="L13" i="6" s="1"/>
  <c r="B21" i="8"/>
  <c r="D21" i="8" s="1"/>
  <c r="B43" i="8"/>
  <c r="D43" i="8" s="1"/>
  <c r="E14" i="6"/>
  <c r="N13" i="6" a="1"/>
  <c r="N13" i="6" s="1"/>
  <c r="B91" i="8"/>
  <c r="B22" i="6"/>
  <c r="B23" i="6"/>
  <c r="D13" i="6" a="1"/>
  <c r="D13" i="6" s="1"/>
  <c r="C12" i="8"/>
  <c r="B1" i="9"/>
  <c r="E12" i="8"/>
  <c r="B24" i="8"/>
  <c r="D24" i="8" s="1"/>
  <c r="B44" i="8"/>
  <c r="D44" i="8" s="1"/>
  <c r="B45" i="8"/>
  <c r="D45" i="8" s="1"/>
  <c r="B46" i="8"/>
  <c r="D46" i="8" s="1"/>
  <c r="B58" i="8"/>
  <c r="D58" i="8" s="1"/>
  <c r="L14" i="6"/>
  <c r="J12" i="6" a="1"/>
  <c r="J12" i="6" s="1"/>
  <c r="B59" i="8"/>
  <c r="D59" i="8" s="1"/>
  <c r="M14" i="6"/>
  <c r="N14" i="6"/>
  <c r="F12" i="8"/>
  <c r="B20" i="6"/>
  <c r="N12" i="6" a="1"/>
  <c r="N12" i="6" s="1"/>
  <c r="G12" i="8"/>
  <c r="B24" i="6"/>
  <c r="B14" i="6"/>
  <c r="B27" i="6"/>
  <c r="B30" i="6"/>
  <c r="B51" i="8"/>
  <c r="D51" i="8" s="1"/>
  <c r="I14" i="6"/>
  <c r="B52" i="8"/>
  <c r="D52" i="8" s="1"/>
  <c r="J14" i="6"/>
  <c r="B53" i="8"/>
  <c r="D53" i="8" s="1"/>
  <c r="K14" i="6"/>
  <c r="B54" i="8"/>
  <c r="D54" i="8" s="1"/>
  <c r="C13" i="6" a="1"/>
  <c r="C13" i="6" s="1"/>
  <c r="B56" i="8"/>
  <c r="D56" i="8" s="1"/>
  <c r="C5" i="7"/>
  <c r="E13" i="6" a="1"/>
  <c r="E13" i="6" s="1"/>
  <c r="B19" i="6"/>
  <c r="B10" i="6"/>
  <c r="B21" i="6"/>
  <c r="M13" i="6" a="1"/>
  <c r="M13" i="6" s="1"/>
  <c r="B26" i="6"/>
  <c r="B28" i="6"/>
  <c r="C12" i="6" a="1"/>
  <c r="C12" i="6" s="1"/>
  <c r="B25" i="6"/>
  <c r="B29" i="6"/>
  <c r="N15" i="6"/>
  <c r="D15" i="6"/>
  <c r="F15" i="6"/>
  <c r="H15" i="6"/>
  <c r="J15" i="6"/>
  <c r="L15" i="6"/>
  <c r="C14" i="6"/>
  <c r="C8" i="13"/>
  <c r="G14" i="6"/>
  <c r="D12" i="6" a="1"/>
  <c r="D12" i="6" s="1"/>
  <c r="F14" i="6"/>
  <c r="B22" i="8"/>
  <c r="D22" i="8" s="1"/>
  <c r="B47" i="8"/>
  <c r="D47" i="8" s="1"/>
  <c r="D14" i="6"/>
  <c r="B48" i="8"/>
  <c r="D48" i="8" s="1"/>
  <c r="B49" i="8"/>
  <c r="D49" i="8" s="1"/>
  <c r="B50" i="8"/>
  <c r="D50" i="8" s="1"/>
  <c r="H14" i="6"/>
  <c r="F13" i="6" a="1"/>
  <c r="F13" i="6" s="1"/>
  <c r="E12" i="6" a="1"/>
  <c r="E12" i="6" s="1"/>
  <c r="F12" i="6" a="1"/>
  <c r="F12" i="6" s="1"/>
  <c r="G12" i="6" a="1"/>
  <c r="G12" i="6" s="1"/>
  <c r="H12" i="6" a="1"/>
  <c r="H12" i="6" s="1"/>
  <c r="I12" i="6" a="1"/>
  <c r="I12" i="6" s="1"/>
  <c r="H62" i="7" a="1"/>
  <c r="H62" i="7" s="1"/>
  <c r="H17" i="10"/>
  <c r="I18" i="4" a="1"/>
  <c r="I18" i="4" s="1"/>
  <c r="L18" i="4" s="1"/>
  <c r="I55" i="7" a="1"/>
  <c r="I55" i="7" s="1"/>
  <c r="I56" i="7" a="1"/>
  <c r="I56" i="7" s="1"/>
  <c r="I57" i="7" a="1"/>
  <c r="I57" i="7" s="1"/>
  <c r="I58" i="7" a="1"/>
  <c r="I58" i="7" s="1"/>
  <c r="I59" i="7" a="1"/>
  <c r="I59" i="7" s="1"/>
  <c r="I60" i="7" a="1"/>
  <c r="I60" i="7" s="1"/>
  <c r="I61" i="7" a="1"/>
  <c r="I61" i="7" s="1"/>
  <c r="I63" i="7" a="1"/>
  <c r="I63" i="7" s="1"/>
  <c r="I62" i="7" a="1"/>
  <c r="I62" i="7" s="1"/>
  <c r="J62" i="7" s="1"/>
  <c r="K8" i="2"/>
  <c r="G55" i="7"/>
  <c r="G56" i="7"/>
  <c r="G57" i="7"/>
  <c r="G59" i="7"/>
  <c r="H59" i="7" s="1" a="1"/>
  <c r="H59" i="7" s="1"/>
  <c r="G63" i="7"/>
  <c r="H63" i="7" s="1" a="1"/>
  <c r="H63" i="7" s="1"/>
  <c r="G73" i="7"/>
  <c r="G52" i="7"/>
  <c r="H15" i="10"/>
  <c r="I52" i="7" a="1"/>
  <c r="I52" i="7" s="1"/>
  <c r="H18" i="10"/>
  <c r="I20" i="4" a="1"/>
  <c r="I20" i="4" s="1"/>
  <c r="L20" i="4" s="1"/>
  <c r="I8" i="4" a="1"/>
  <c r="I8" i="4" s="1"/>
  <c r="L8" i="4"/>
  <c r="K8" i="4"/>
  <c r="J8" i="4"/>
  <c r="H65" i="7" a="1"/>
  <c r="H65" i="7" s="1"/>
  <c r="I21" i="5"/>
  <c r="K21" i="5"/>
  <c r="C21" i="5"/>
  <c r="D21" i="5"/>
  <c r="E21" i="5"/>
  <c r="F21" i="5"/>
  <c r="G21" i="5"/>
  <c r="H21" i="5"/>
  <c r="J21" i="5"/>
  <c r="L21" i="5"/>
  <c r="M21" i="5"/>
  <c r="N21" i="5"/>
  <c r="H9" i="10"/>
  <c r="H11" i="10"/>
  <c r="G71" i="7"/>
  <c r="D23" i="5"/>
  <c r="E23" i="5"/>
  <c r="F23" i="5"/>
  <c r="G23" i="5"/>
  <c r="H23" i="5"/>
  <c r="I23" i="5"/>
  <c r="L23" i="5"/>
  <c r="C23" i="5"/>
  <c r="J23" i="5"/>
  <c r="K23" i="5"/>
  <c r="M23" i="5"/>
  <c r="N23" i="5"/>
  <c r="J62" i="6"/>
  <c r="J9" i="4"/>
  <c r="K9" i="4"/>
  <c r="I9" i="4" a="1"/>
  <c r="I9" i="4" s="1"/>
  <c r="L9" i="4" s="1"/>
  <c r="G70" i="7"/>
  <c r="J17" i="5"/>
  <c r="C17" i="5"/>
  <c r="D17" i="5"/>
  <c r="E17" i="5"/>
  <c r="H17" i="5"/>
  <c r="I17" i="5"/>
  <c r="K17" i="5"/>
  <c r="L17" i="5"/>
  <c r="M17" i="5"/>
  <c r="G17" i="5"/>
  <c r="F17" i="5"/>
  <c r="N17" i="5"/>
  <c r="F9" i="8" a="1"/>
  <c r="F9" i="8" s="1"/>
  <c r="D40" i="3" a="1"/>
  <c r="D40" i="3" s="1"/>
  <c r="D45" i="3" a="1"/>
  <c r="D45" i="3" s="1"/>
  <c r="H8" i="10"/>
  <c r="N18" i="4"/>
  <c r="E16" i="5"/>
  <c r="N16" i="5"/>
  <c r="C16" i="5"/>
  <c r="D16" i="5"/>
  <c r="F16" i="5"/>
  <c r="G16" i="5"/>
  <c r="H16" i="5"/>
  <c r="I16" i="5"/>
  <c r="J16" i="5"/>
  <c r="K16" i="5"/>
  <c r="L16" i="5"/>
  <c r="M16" i="5"/>
  <c r="D21" i="4"/>
  <c r="N6" i="4"/>
  <c r="G11" i="4"/>
  <c r="G21" i="4"/>
  <c r="H12" i="10"/>
  <c r="H19" i="4" a="1"/>
  <c r="H19" i="4" s="1"/>
  <c r="C15" i="5"/>
  <c r="F15" i="5"/>
  <c r="N15" i="5"/>
  <c r="H15" i="5"/>
  <c r="E15" i="5"/>
  <c r="D15" i="5"/>
  <c r="G15" i="5"/>
  <c r="K15" i="5"/>
  <c r="L15" i="5"/>
  <c r="J15" i="5"/>
  <c r="I15" i="5"/>
  <c r="M15" i="5"/>
  <c r="F21" i="4"/>
  <c r="F8" i="8" a="1"/>
  <c r="F8" i="8" s="1"/>
  <c r="G75" i="7"/>
  <c r="G28" i="11"/>
  <c r="G32" i="11"/>
  <c r="G29" i="11"/>
  <c r="G31" i="11"/>
  <c r="G30" i="11"/>
  <c r="J61" i="7" l="1"/>
  <c r="J58" i="7"/>
  <c r="H71" i="7" a="1"/>
  <c r="H71" i="7" s="1"/>
  <c r="E19" i="3"/>
  <c r="E29" i="3" s="1"/>
  <c r="L19" i="4"/>
  <c r="I21" i="4" a="1"/>
  <c r="I21" i="4" s="1"/>
  <c r="J69" i="7"/>
  <c r="H72" i="7" a="1"/>
  <c r="H72" i="7" s="1"/>
  <c r="E42" i="3" a="1"/>
  <c r="E42" i="3" s="1"/>
  <c r="H57" i="7" a="1"/>
  <c r="H57" i="7" s="1"/>
  <c r="J60" i="7"/>
  <c r="C17" i="1"/>
  <c r="K11" i="4"/>
  <c r="C36" i="4" s="1"/>
  <c r="C96" i="2" s="1"/>
  <c r="H21" i="4" a="1"/>
  <c r="H21" i="4" s="1"/>
  <c r="J19" i="4" s="1"/>
  <c r="J74" i="7"/>
  <c r="O13" i="6"/>
  <c r="N21" i="4"/>
  <c r="H58" i="7" a="1"/>
  <c r="H58" i="7" s="1"/>
  <c r="J70" i="7"/>
  <c r="H69" i="7" a="1"/>
  <c r="H69" i="7" s="1"/>
  <c r="J68" i="7"/>
  <c r="J64" i="7"/>
  <c r="J67" i="7"/>
  <c r="H64" i="7" a="1"/>
  <c r="H64" i="7" s="1"/>
  <c r="J66" i="7"/>
  <c r="J75" i="7"/>
  <c r="J73" i="7"/>
  <c r="J71" i="7"/>
  <c r="L11" i="4"/>
  <c r="L21" i="4"/>
  <c r="N11" i="4"/>
  <c r="C38" i="4"/>
  <c r="C98" i="2" s="1"/>
  <c r="E45" i="3" a="1"/>
  <c r="E45" i="3" s="1"/>
  <c r="M6" i="4"/>
  <c r="O6" i="4" s="1"/>
  <c r="J11" i="4"/>
  <c r="K33" i="8"/>
  <c r="H33" i="8" a="1"/>
  <c r="H33" i="8" s="1"/>
  <c r="F33" i="8" a="1"/>
  <c r="F33" i="8" s="1"/>
  <c r="E33" i="8"/>
  <c r="J33" i="8" a="1"/>
  <c r="J33" i="8" s="1"/>
  <c r="I33" i="8"/>
  <c r="G33" i="8" a="1"/>
  <c r="G33" i="8" s="1"/>
  <c r="E43" i="3" a="1"/>
  <c r="E43" i="3" s="1"/>
  <c r="I11" i="4" a="1"/>
  <c r="I11" i="4" s="1"/>
  <c r="O17" i="5"/>
  <c r="E61" i="8"/>
  <c r="H61" i="8" a="1"/>
  <c r="H61" i="8" s="1"/>
  <c r="O22" i="5"/>
  <c r="E51" i="8"/>
  <c r="H51" i="8" a="1"/>
  <c r="H51" i="8" s="1"/>
  <c r="K23" i="8"/>
  <c r="E23" i="8"/>
  <c r="H23" i="8" a="1"/>
  <c r="H23" i="8" s="1"/>
  <c r="G23" i="8" a="1"/>
  <c r="G23" i="8" s="1"/>
  <c r="F23" i="8" a="1"/>
  <c r="F23" i="8" s="1"/>
  <c r="J23" i="8" a="1"/>
  <c r="J23" i="8" s="1"/>
  <c r="I23" i="8"/>
  <c r="O21" i="5"/>
  <c r="J16" i="4"/>
  <c r="K17" i="4"/>
  <c r="J17" i="4"/>
  <c r="M17" i="4" s="1"/>
  <c r="O17" i="4" s="1"/>
  <c r="K16" i="4"/>
  <c r="H53" i="8" a="1"/>
  <c r="H53" i="8" s="1"/>
  <c r="E53" i="8"/>
  <c r="J31" i="8" a="1"/>
  <c r="J31" i="8" s="1"/>
  <c r="K31" i="8"/>
  <c r="H31" i="8" a="1"/>
  <c r="H31" i="8" s="1"/>
  <c r="F31" i="8" a="1"/>
  <c r="F31" i="8" s="1"/>
  <c r="I31" i="8"/>
  <c r="G31" i="8" a="1"/>
  <c r="G31" i="8" s="1"/>
  <c r="E31" i="8"/>
  <c r="B81" i="2"/>
  <c r="C89" i="8" a="1"/>
  <c r="C89" i="8" s="1"/>
  <c r="C81" i="2" s="1"/>
  <c r="F89" i="8"/>
  <c r="F81" i="2" s="1"/>
  <c r="G64" i="6" a="1"/>
  <c r="G64" i="6" s="1"/>
  <c r="B65" i="6"/>
  <c r="E64" i="6"/>
  <c r="F64" i="6" a="1"/>
  <c r="F64" i="6" s="1"/>
  <c r="J64" i="6"/>
  <c r="D64" i="6"/>
  <c r="C64" i="6" a="1"/>
  <c r="C64" i="6" s="1"/>
  <c r="I43" i="8"/>
  <c r="J43" i="8" a="1"/>
  <c r="J43" i="8" s="1"/>
  <c r="G43" i="8" a="1"/>
  <c r="G43" i="8" s="1"/>
  <c r="K43" i="8"/>
  <c r="F43" i="8" a="1"/>
  <c r="F43" i="8" s="1"/>
  <c r="E43" i="8"/>
  <c r="H43" i="8" a="1"/>
  <c r="H43" i="8" s="1"/>
  <c r="E23" i="3"/>
  <c r="E28" i="3" s="1"/>
  <c r="J52" i="7"/>
  <c r="B72" i="2"/>
  <c r="D80" i="8" a="1"/>
  <c r="D80" i="8" s="1"/>
  <c r="H80" i="8" a="1"/>
  <c r="H80" i="8" s="1"/>
  <c r="F80" i="8"/>
  <c r="C80" i="8" a="1"/>
  <c r="C80" i="8" s="1"/>
  <c r="G80" i="8" a="1"/>
  <c r="G80" i="8" s="1"/>
  <c r="E50" i="8"/>
  <c r="H50" i="8" a="1"/>
  <c r="H50" i="8" s="1"/>
  <c r="E62" i="8"/>
  <c r="H62" i="8" a="1"/>
  <c r="H62" i="8" s="1"/>
  <c r="K57" i="8"/>
  <c r="E57" i="8"/>
  <c r="G57" i="8" a="1"/>
  <c r="G57" i="8" s="1"/>
  <c r="I57" i="8"/>
  <c r="J57" i="8" a="1"/>
  <c r="J57" i="8" s="1"/>
  <c r="H57" i="8" a="1"/>
  <c r="H57" i="8" s="1"/>
  <c r="F57" i="8" a="1"/>
  <c r="F57" i="8" s="1"/>
  <c r="H75" i="7" a="1"/>
  <c r="H75" i="7" s="1"/>
  <c r="E49" i="8"/>
  <c r="H49" i="8" a="1"/>
  <c r="H49" i="8" s="1"/>
  <c r="D22" i="6" a="1"/>
  <c r="D22" i="6" s="1"/>
  <c r="C22" i="6" a="1"/>
  <c r="C22" i="6" s="1"/>
  <c r="J22" i="6" a="1"/>
  <c r="J22" i="6" s="1"/>
  <c r="F22" i="6" a="1"/>
  <c r="F22" i="6" s="1"/>
  <c r="I48" i="8"/>
  <c r="E48" i="8"/>
  <c r="H48" i="8" a="1"/>
  <c r="H48" i="8" s="1"/>
  <c r="F48" i="8" a="1"/>
  <c r="F48" i="8" s="1"/>
  <c r="J48" i="8" a="1"/>
  <c r="J48" i="8" s="1"/>
  <c r="G48" i="8" a="1"/>
  <c r="G48" i="8" s="1"/>
  <c r="K48" i="8"/>
  <c r="C91" i="8" a="1"/>
  <c r="C91" i="8" s="1"/>
  <c r="C83" i="2" s="1"/>
  <c r="F91" i="8"/>
  <c r="F83" i="2" s="1"/>
  <c r="B83" i="2"/>
  <c r="K55" i="8"/>
  <c r="E55" i="8"/>
  <c r="H55" i="8" a="1"/>
  <c r="H55" i="8" s="1"/>
  <c r="G55" i="8" a="1"/>
  <c r="G55" i="8" s="1"/>
  <c r="F55" i="8" a="1"/>
  <c r="F55" i="8" s="1"/>
  <c r="I55" i="8"/>
  <c r="J55" i="8" a="1"/>
  <c r="J55" i="8" s="1"/>
  <c r="H21" i="8" a="1"/>
  <c r="H21" i="8" s="1"/>
  <c r="G21" i="8" a="1"/>
  <c r="G21" i="8" s="1"/>
  <c r="F21" i="8" a="1"/>
  <c r="F21" i="8" s="1"/>
  <c r="J21" i="8" a="1"/>
  <c r="J21" i="8" s="1"/>
  <c r="E21" i="8"/>
  <c r="I21" i="8"/>
  <c r="K21" i="8"/>
  <c r="N14" i="8" a="1"/>
  <c r="N14" i="8" s="1"/>
  <c r="G54" i="8" s="1" a="1"/>
  <c r="G54" i="8" s="1"/>
  <c r="N15" i="8"/>
  <c r="N13" i="8" a="1"/>
  <c r="N13" i="8" s="1"/>
  <c r="F66" i="8" s="1" a="1"/>
  <c r="F66" i="8" s="1"/>
  <c r="E30" i="6" a="1"/>
  <c r="E30" i="6" s="1"/>
  <c r="C30" i="6" a="1"/>
  <c r="C30" i="6" s="1"/>
  <c r="N30" i="6" a="1"/>
  <c r="N30" i="6" s="1"/>
  <c r="L30" i="6" a="1"/>
  <c r="L30" i="6" s="1"/>
  <c r="M30" i="6" a="1"/>
  <c r="M30" i="6" s="1"/>
  <c r="J30" i="6" a="1"/>
  <c r="J30" i="6" s="1"/>
  <c r="G30" i="6" a="1"/>
  <c r="G30" i="6" s="1"/>
  <c r="K30" i="6" a="1"/>
  <c r="K30" i="6" s="1"/>
  <c r="F30" i="6" a="1"/>
  <c r="F30" i="6" s="1"/>
  <c r="I30" i="6" a="1"/>
  <c r="I30" i="6" s="1"/>
  <c r="H30" i="6" a="1"/>
  <c r="H30" i="6" s="1"/>
  <c r="D30" i="6" a="1"/>
  <c r="D30" i="6" s="1"/>
  <c r="E29" i="8"/>
  <c r="J72" i="7"/>
  <c r="O16" i="5"/>
  <c r="M8" i="4"/>
  <c r="O8" i="4" s="1"/>
  <c r="N27" i="6" a="1"/>
  <c r="N27" i="6" s="1"/>
  <c r="H27" i="6" a="1"/>
  <c r="H27" i="6" s="1"/>
  <c r="M27" i="6" a="1"/>
  <c r="M27" i="6" s="1"/>
  <c r="C27" i="6" a="1"/>
  <c r="C27" i="6" s="1"/>
  <c r="J27" i="6" a="1"/>
  <c r="J27" i="6" s="1"/>
  <c r="L27" i="6" a="1"/>
  <c r="L27" i="6" s="1"/>
  <c r="K27" i="6" a="1"/>
  <c r="K27" i="6" s="1"/>
  <c r="F27" i="6" a="1"/>
  <c r="F27" i="6" s="1"/>
  <c r="E27" i="6" a="1"/>
  <c r="E27" i="6" s="1"/>
  <c r="I27" i="6" a="1"/>
  <c r="I27" i="6" s="1"/>
  <c r="G27" i="6" a="1"/>
  <c r="G27" i="6" s="1"/>
  <c r="D27" i="6" a="1"/>
  <c r="D27" i="6" s="1"/>
  <c r="B79" i="2"/>
  <c r="C87" i="8" a="1"/>
  <c r="C87" i="8" s="1"/>
  <c r="C79" i="2" s="1"/>
  <c r="F87" i="8"/>
  <c r="F79" i="2" s="1"/>
  <c r="M15" i="8"/>
  <c r="M14" i="8" a="1"/>
  <c r="M14" i="8" s="1"/>
  <c r="G53" i="8" s="1" a="1"/>
  <c r="G53" i="8" s="1"/>
  <c r="M13" i="8" a="1"/>
  <c r="M13" i="8" s="1"/>
  <c r="F29" i="8" s="1" a="1"/>
  <c r="F29" i="8" s="1"/>
  <c r="O19" i="5"/>
  <c r="B80" i="2"/>
  <c r="C88" i="8" a="1"/>
  <c r="C88" i="8" s="1"/>
  <c r="C80" i="2" s="1"/>
  <c r="F88" i="8"/>
  <c r="F80" i="2" s="1"/>
  <c r="H66" i="8" a="1"/>
  <c r="H66" i="8" s="1"/>
  <c r="E66" i="8"/>
  <c r="I29" i="5" a="1"/>
  <c r="I29" i="5" s="1"/>
  <c r="E25" i="8"/>
  <c r="B31" i="5"/>
  <c r="D30" i="5"/>
  <c r="C30" i="5"/>
  <c r="E30" i="5" s="1"/>
  <c r="F30" i="5"/>
  <c r="H30" i="5" s="1"/>
  <c r="G30" i="5"/>
  <c r="H32" i="11" a="1"/>
  <c r="H32" i="11" s="1"/>
  <c r="I32" i="11" s="1"/>
  <c r="H28" i="11" a="1"/>
  <c r="H28" i="11" s="1"/>
  <c r="I28" i="11" s="1"/>
  <c r="H30" i="11" a="1"/>
  <c r="H30" i="11" s="1"/>
  <c r="I30" i="11" s="1"/>
  <c r="H7" i="8"/>
  <c r="K7" i="8" s="1" a="1"/>
  <c r="K7" i="8" s="1"/>
  <c r="H8" i="8"/>
  <c r="K8" i="8" s="1" a="1"/>
  <c r="K8" i="8" s="1"/>
  <c r="L8" i="8" s="1" a="1"/>
  <c r="L8" i="8" s="1"/>
  <c r="H9" i="8"/>
  <c r="B55" i="2"/>
  <c r="G6" i="8"/>
  <c r="J6" i="8" s="1" a="1"/>
  <c r="J6" i="8" s="1"/>
  <c r="G7" i="8"/>
  <c r="J7" i="8" s="1" a="1"/>
  <c r="J7" i="8" s="1"/>
  <c r="G8" i="8"/>
  <c r="G9" i="8"/>
  <c r="H29" i="11" a="1"/>
  <c r="H29" i="11" s="1"/>
  <c r="I29" i="11" s="1"/>
  <c r="H31" i="11" a="1"/>
  <c r="H31" i="11" s="1"/>
  <c r="I31" i="11" s="1"/>
  <c r="D71" i="8"/>
  <c r="D72" i="8"/>
  <c r="D73" i="8"/>
  <c r="J8" i="8" a="1"/>
  <c r="J8" i="8" s="1"/>
  <c r="D74" i="8"/>
  <c r="J9" i="8" a="1"/>
  <c r="J9" i="8" s="1"/>
  <c r="E28" i="4"/>
  <c r="H6" i="8"/>
  <c r="G27" i="4"/>
  <c r="F27" i="4"/>
  <c r="E27" i="4"/>
  <c r="D27" i="4"/>
  <c r="E26" i="4"/>
  <c r="D26" i="4"/>
  <c r="B24" i="4"/>
  <c r="H7" i="5"/>
  <c r="E7" i="5"/>
  <c r="E8" i="5"/>
  <c r="B17" i="6"/>
  <c r="E9" i="5"/>
  <c r="D6" i="5"/>
  <c r="D7" i="5"/>
  <c r="F7" i="5" s="1" a="1"/>
  <c r="F7" i="5" s="1"/>
  <c r="D8" i="5"/>
  <c r="D9" i="5"/>
  <c r="B4" i="5"/>
  <c r="E29" i="4"/>
  <c r="F29" i="4"/>
  <c r="G29" i="4"/>
  <c r="F26" i="4"/>
  <c r="H6" i="5"/>
  <c r="H8" i="5"/>
  <c r="G6" i="5"/>
  <c r="D29" i="4"/>
  <c r="F28" i="4"/>
  <c r="H9" i="5"/>
  <c r="G28" i="4"/>
  <c r="G9" i="5"/>
  <c r="G7" i="5"/>
  <c r="D28" i="4"/>
  <c r="G8" i="5"/>
  <c r="G26" i="4"/>
  <c r="E6" i="5"/>
  <c r="E40" i="8"/>
  <c r="H68" i="7" a="1"/>
  <c r="H68" i="7" s="1"/>
  <c r="M9" i="4"/>
  <c r="O9" i="4" s="1"/>
  <c r="D24" i="6" a="1"/>
  <c r="D24" i="6" s="1"/>
  <c r="J24" i="6" a="1"/>
  <c r="J24" i="6" s="1"/>
  <c r="F24" i="6" a="1"/>
  <c r="F24" i="6" s="1"/>
  <c r="C24" i="6" a="1"/>
  <c r="C24" i="6" s="1"/>
  <c r="E39" i="8"/>
  <c r="E27" i="8"/>
  <c r="H66" i="7" a="1"/>
  <c r="H66" i="7" s="1"/>
  <c r="J63" i="7"/>
  <c r="G14" i="8" a="1"/>
  <c r="G14" i="8" s="1"/>
  <c r="G15" i="8"/>
  <c r="G13" i="8" a="1"/>
  <c r="G13" i="8" s="1"/>
  <c r="L13" i="8" a="1"/>
  <c r="L13" i="8" s="1"/>
  <c r="F40" i="8" s="1" a="1"/>
  <c r="F40" i="8" s="1"/>
  <c r="L15" i="8"/>
  <c r="L14" i="8" a="1"/>
  <c r="L14" i="8" s="1"/>
  <c r="G40" i="8" s="1" a="1"/>
  <c r="G40" i="8" s="1"/>
  <c r="O18" i="5"/>
  <c r="J20" i="8" a="1"/>
  <c r="J20" i="8" s="1"/>
  <c r="G20" i="8" a="1"/>
  <c r="G20" i="8" s="1"/>
  <c r="E20" i="8"/>
  <c r="I20" i="8"/>
  <c r="F20" i="8" a="1"/>
  <c r="F20" i="8" s="1"/>
  <c r="H20" i="8" a="1"/>
  <c r="H20" i="8" s="1"/>
  <c r="K20" i="8"/>
  <c r="O24" i="5"/>
  <c r="B78" i="2"/>
  <c r="C86" i="8" a="1"/>
  <c r="C86" i="8" s="1"/>
  <c r="C78" i="2" s="1"/>
  <c r="F86" i="8"/>
  <c r="F78" i="2" s="1"/>
  <c r="E63" i="8"/>
  <c r="H63" i="8" a="1"/>
  <c r="H63" i="8" s="1"/>
  <c r="J23" i="6" a="1"/>
  <c r="J23" i="6" s="1"/>
  <c r="C23" i="6" a="1"/>
  <c r="C23" i="6" s="1"/>
  <c r="F23" i="6" a="1"/>
  <c r="F23" i="6" s="1"/>
  <c r="D23" i="6" a="1"/>
  <c r="D23" i="6" s="1"/>
  <c r="E52" i="8"/>
  <c r="H52" i="8" a="1"/>
  <c r="H52" i="8" s="1"/>
  <c r="E30" i="8"/>
  <c r="H70" i="7" a="1"/>
  <c r="H70" i="7" s="1"/>
  <c r="J57" i="7"/>
  <c r="J18" i="4"/>
  <c r="M18" i="4" s="1"/>
  <c r="O18" i="4" s="1"/>
  <c r="D20" i="6" a="1"/>
  <c r="D20" i="6" s="1"/>
  <c r="J20" i="6" a="1"/>
  <c r="J20" i="6" s="1"/>
  <c r="F20" i="6" a="1"/>
  <c r="F20" i="6" s="1"/>
  <c r="C20" i="6" a="1"/>
  <c r="C20" i="6" s="1"/>
  <c r="E26" i="8"/>
  <c r="H54" i="8" a="1"/>
  <c r="H54" i="8" s="1"/>
  <c r="E54" i="8"/>
  <c r="J15" i="8"/>
  <c r="J14" i="8" a="1"/>
  <c r="J14" i="8" s="1"/>
  <c r="G26" i="8" s="1" a="1"/>
  <c r="G26" i="8" s="1"/>
  <c r="J13" i="8" a="1"/>
  <c r="J13" i="8" s="1"/>
  <c r="F62" i="8" s="1" a="1"/>
  <c r="F62" i="8" s="1"/>
  <c r="J47" i="8" a="1"/>
  <c r="J47" i="8" s="1"/>
  <c r="H47" i="8" a="1"/>
  <c r="H47" i="8" s="1"/>
  <c r="I47" i="8"/>
  <c r="F47" i="8" a="1"/>
  <c r="F47" i="8" s="1"/>
  <c r="E47" i="8"/>
  <c r="K47" i="8"/>
  <c r="G47" i="8" a="1"/>
  <c r="G47" i="8" s="1"/>
  <c r="H22" i="8" a="1"/>
  <c r="H22" i="8" s="1"/>
  <c r="G22" i="8" a="1"/>
  <c r="G22" i="8" s="1"/>
  <c r="F22" i="8" a="1"/>
  <c r="F22" i="8" s="1"/>
  <c r="J22" i="8" a="1"/>
  <c r="J22" i="8" s="1"/>
  <c r="E22" i="8"/>
  <c r="I22" i="8"/>
  <c r="K22" i="8"/>
  <c r="E41" i="8"/>
  <c r="C90" i="8" a="1"/>
  <c r="C90" i="8" s="1"/>
  <c r="C82" i="2" s="1"/>
  <c r="B82" i="2"/>
  <c r="F90" i="8"/>
  <c r="F82" i="2" s="1"/>
  <c r="O14" i="6"/>
  <c r="G19" i="8" a="1"/>
  <c r="G19" i="8" s="1"/>
  <c r="E19" i="8"/>
  <c r="I19" i="8"/>
  <c r="J19" i="8" a="1"/>
  <c r="J19" i="8" s="1"/>
  <c r="K19" i="8"/>
  <c r="F19" i="8" a="1"/>
  <c r="F19" i="8" s="1"/>
  <c r="H19" i="8" a="1"/>
  <c r="H19" i="8" s="1"/>
  <c r="H65" i="8" a="1"/>
  <c r="H65" i="8" s="1"/>
  <c r="E65" i="8"/>
  <c r="K18" i="4"/>
  <c r="J59" i="7"/>
  <c r="J56" i="7"/>
  <c r="H56" i="7" a="1"/>
  <c r="H56" i="7" s="1"/>
  <c r="C29" i="6" a="1"/>
  <c r="C29" i="6" s="1"/>
  <c r="N29" i="6" a="1"/>
  <c r="N29" i="6" s="1"/>
  <c r="M29" i="6" a="1"/>
  <c r="M29" i="6" s="1"/>
  <c r="H29" i="6" a="1"/>
  <c r="H29" i="6" s="1"/>
  <c r="J29" i="6" a="1"/>
  <c r="J29" i="6" s="1"/>
  <c r="K29" i="6" a="1"/>
  <c r="K29" i="6" s="1"/>
  <c r="F29" i="6" a="1"/>
  <c r="F29" i="6" s="1"/>
  <c r="D29" i="6" a="1"/>
  <c r="D29" i="6" s="1"/>
  <c r="I29" i="6" a="1"/>
  <c r="I29" i="6" s="1"/>
  <c r="G29" i="6" a="1"/>
  <c r="G29" i="6" s="1"/>
  <c r="E29" i="6" a="1"/>
  <c r="E29" i="6" s="1"/>
  <c r="L29" i="6" a="1"/>
  <c r="L29" i="6" s="1"/>
  <c r="F15" i="8"/>
  <c r="F13" i="8" a="1"/>
  <c r="F13" i="8" s="1"/>
  <c r="F14" i="8" a="1"/>
  <c r="F14" i="8" s="1"/>
  <c r="E11" i="3"/>
  <c r="E15" i="3" s="1"/>
  <c r="J55" i="7"/>
  <c r="K25" i="6" a="1"/>
  <c r="K25" i="6" s="1"/>
  <c r="D25" i="6" a="1"/>
  <c r="D25" i="6" s="1"/>
  <c r="G25" i="6" a="1"/>
  <c r="G25" i="6" s="1"/>
  <c r="L25" i="6" a="1"/>
  <c r="L25" i="6" s="1"/>
  <c r="N25" i="6" a="1"/>
  <c r="N25" i="6" s="1"/>
  <c r="J25" i="6" a="1"/>
  <c r="J25" i="6" s="1"/>
  <c r="H25" i="6" a="1"/>
  <c r="H25" i="6" s="1"/>
  <c r="F25" i="6" a="1"/>
  <c r="F25" i="6" s="1"/>
  <c r="C25" i="6" a="1"/>
  <c r="C25" i="6" s="1"/>
  <c r="E25" i="6" a="1"/>
  <c r="E25" i="6" s="1"/>
  <c r="I25" i="6" a="1"/>
  <c r="I25" i="6" s="1"/>
  <c r="M25" i="6" a="1"/>
  <c r="M25" i="6" s="1"/>
  <c r="E38" i="8"/>
  <c r="K13" i="8" a="1"/>
  <c r="K13" i="8" s="1"/>
  <c r="F51" i="8" s="1" a="1"/>
  <c r="F51" i="8" s="1"/>
  <c r="K15" i="8"/>
  <c r="K14" i="8" a="1"/>
  <c r="K14" i="8" s="1"/>
  <c r="G27" i="8" s="1" a="1"/>
  <c r="G27" i="8" s="1"/>
  <c r="I15" i="8"/>
  <c r="I14" i="8" a="1"/>
  <c r="I14" i="8" s="1"/>
  <c r="G49" i="8" s="1" a="1"/>
  <c r="G49" i="8" s="1"/>
  <c r="I13" i="8" a="1"/>
  <c r="I13" i="8" s="1"/>
  <c r="F61" i="8" s="1" a="1"/>
  <c r="F61" i="8" s="1"/>
  <c r="O10" i="5" a="1"/>
  <c r="O10" i="5" s="1"/>
  <c r="E42" i="8"/>
  <c r="C15" i="8"/>
  <c r="C13" i="8" a="1"/>
  <c r="C13" i="8" s="1"/>
  <c r="C14" i="8" a="1"/>
  <c r="C14" i="8" s="1"/>
  <c r="H14" i="8" a="1"/>
  <c r="H14" i="8" s="1"/>
  <c r="H15" i="8"/>
  <c r="H13" i="8" a="1"/>
  <c r="H13" i="8" s="1"/>
  <c r="J20" i="4"/>
  <c r="O15" i="5"/>
  <c r="M28" i="6" a="1"/>
  <c r="M28" i="6" s="1"/>
  <c r="J28" i="6" a="1"/>
  <c r="J28" i="6" s="1"/>
  <c r="H28" i="6" a="1"/>
  <c r="H28" i="6" s="1"/>
  <c r="F28" i="6" a="1"/>
  <c r="F28" i="6" s="1"/>
  <c r="D28" i="6" a="1"/>
  <c r="D28" i="6" s="1"/>
  <c r="C28" i="6" a="1"/>
  <c r="C28" i="6" s="1"/>
  <c r="L28" i="6" a="1"/>
  <c r="L28" i="6" s="1"/>
  <c r="E28" i="6" a="1"/>
  <c r="E28" i="6" s="1"/>
  <c r="K28" i="6" a="1"/>
  <c r="K28" i="6" s="1"/>
  <c r="N28" i="6" a="1"/>
  <c r="N28" i="6" s="1"/>
  <c r="I28" i="6" a="1"/>
  <c r="I28" i="6" s="1"/>
  <c r="G28" i="6" a="1"/>
  <c r="G28" i="6" s="1"/>
  <c r="K59" i="8"/>
  <c r="J59" i="8" a="1"/>
  <c r="J59" i="8" s="1"/>
  <c r="G59" i="8" a="1"/>
  <c r="G59" i="8" s="1"/>
  <c r="E59" i="8"/>
  <c r="I59" i="8"/>
  <c r="F59" i="8" a="1"/>
  <c r="F59" i="8" s="1"/>
  <c r="H59" i="8" a="1"/>
  <c r="H59" i="8" s="1"/>
  <c r="E44" i="3" a="1"/>
  <c r="E44" i="3" s="1"/>
  <c r="E37" i="8"/>
  <c r="D15" i="8"/>
  <c r="D13" i="8" a="1"/>
  <c r="D13" i="8" s="1"/>
  <c r="D14" i="8" a="1"/>
  <c r="D14" i="8" s="1"/>
  <c r="M10" i="4"/>
  <c r="O10" i="4" s="1"/>
  <c r="K20" i="4"/>
  <c r="L26" i="6" a="1"/>
  <c r="L26" i="6" s="1"/>
  <c r="F26" i="6" a="1"/>
  <c r="F26" i="6" s="1"/>
  <c r="K26" i="6" a="1"/>
  <c r="K26" i="6" s="1"/>
  <c r="J26" i="6" a="1"/>
  <c r="J26" i="6" s="1"/>
  <c r="H26" i="6" a="1"/>
  <c r="H26" i="6" s="1"/>
  <c r="D26" i="6" a="1"/>
  <c r="D26" i="6" s="1"/>
  <c r="M26" i="6" a="1"/>
  <c r="M26" i="6" s="1"/>
  <c r="C26" i="6" a="1"/>
  <c r="C26" i="6" s="1"/>
  <c r="E26" i="6" a="1"/>
  <c r="E26" i="6" s="1"/>
  <c r="N26" i="6" a="1"/>
  <c r="N26" i="6" s="1"/>
  <c r="I26" i="6" a="1"/>
  <c r="I26" i="6" s="1"/>
  <c r="G26" i="6" a="1"/>
  <c r="G26" i="6" s="1"/>
  <c r="B76" i="2"/>
  <c r="G84" i="8" a="1"/>
  <c r="G84" i="8" s="1"/>
  <c r="D84" i="8" a="1"/>
  <c r="D84" i="8" s="1"/>
  <c r="D76" i="2" s="1"/>
  <c r="C84" i="8" a="1"/>
  <c r="C84" i="8" s="1"/>
  <c r="C76" i="2" s="1"/>
  <c r="H84" i="8" a="1"/>
  <c r="H84" i="8" s="1"/>
  <c r="F84" i="8"/>
  <c r="F76" i="2" s="1"/>
  <c r="E64" i="8"/>
  <c r="H64" i="8" a="1"/>
  <c r="H64" i="8" s="1"/>
  <c r="J21" i="6" a="1"/>
  <c r="J21" i="6" s="1"/>
  <c r="F21" i="6" a="1"/>
  <c r="F21" i="6" s="1"/>
  <c r="C21" i="6" a="1"/>
  <c r="C21" i="6" s="1"/>
  <c r="D21" i="6" a="1"/>
  <c r="D21" i="6" s="1"/>
  <c r="K58" i="8"/>
  <c r="J58" i="8" a="1"/>
  <c r="J58" i="8" s="1"/>
  <c r="G58" i="8" a="1"/>
  <c r="G58" i="8" s="1"/>
  <c r="E58" i="8"/>
  <c r="I58" i="8"/>
  <c r="H58" i="8" a="1"/>
  <c r="H58" i="8" s="1"/>
  <c r="F58" i="8" a="1"/>
  <c r="F58" i="8" s="1"/>
  <c r="G36" i="8" a="1"/>
  <c r="G36" i="8" s="1"/>
  <c r="K36" i="8"/>
  <c r="F36" i="8" a="1"/>
  <c r="F36" i="8" s="1"/>
  <c r="E36" i="8"/>
  <c r="H36" i="8" a="1"/>
  <c r="H36" i="8" s="1"/>
  <c r="J36" i="8" a="1"/>
  <c r="J36" i="8" s="1"/>
  <c r="I36" i="8"/>
  <c r="K32" i="8"/>
  <c r="E32" i="8"/>
  <c r="H32" i="8" a="1"/>
  <c r="H32" i="8" s="1"/>
  <c r="F32" i="8" a="1"/>
  <c r="F32" i="8" s="1"/>
  <c r="J32" i="8" a="1"/>
  <c r="J32" i="8" s="1"/>
  <c r="G32" i="8" a="1"/>
  <c r="G32" i="8" s="1"/>
  <c r="I32" i="8"/>
  <c r="M7" i="4"/>
  <c r="O7" i="4" s="1"/>
  <c r="O20" i="5"/>
  <c r="H52" i="7" a="1"/>
  <c r="H52" i="7" s="1"/>
  <c r="J46" i="8" a="1"/>
  <c r="J46" i="8" s="1"/>
  <c r="H46" i="8" a="1"/>
  <c r="H46" i="8" s="1"/>
  <c r="I46" i="8"/>
  <c r="F46" i="8" a="1"/>
  <c r="F46" i="8" s="1"/>
  <c r="E46" i="8"/>
  <c r="K46" i="8"/>
  <c r="G46" i="8" a="1"/>
  <c r="G46" i="8" s="1"/>
  <c r="H83" i="8" a="1"/>
  <c r="H83" i="8" s="1"/>
  <c r="C83" i="8" a="1"/>
  <c r="C83" i="8" s="1"/>
  <c r="C75" i="2" s="1"/>
  <c r="B75" i="2"/>
  <c r="G83" i="8" a="1"/>
  <c r="G83" i="8" s="1"/>
  <c r="D83" i="8" a="1"/>
  <c r="D83" i="8" s="1"/>
  <c r="D75" i="2" s="1"/>
  <c r="F83" i="8"/>
  <c r="F75" i="2" s="1"/>
  <c r="G75" i="8"/>
  <c r="O12" i="6"/>
  <c r="G85" i="8" a="1"/>
  <c r="G85" i="8" s="1"/>
  <c r="H85" i="8" a="1"/>
  <c r="H85" i="8" s="1"/>
  <c r="C85" i="8" a="1"/>
  <c r="C85" i="8" s="1"/>
  <c r="C77" i="2" s="1"/>
  <c r="B77" i="2"/>
  <c r="D85" i="8" a="1"/>
  <c r="D85" i="8" s="1"/>
  <c r="D77" i="2" s="1"/>
  <c r="F85" i="8"/>
  <c r="F77" i="2" s="1"/>
  <c r="O23" i="5"/>
  <c r="F19" i="6" a="1"/>
  <c r="F19" i="6" s="1"/>
  <c r="J19" i="6" a="1"/>
  <c r="J19" i="6" s="1"/>
  <c r="C19" i="6" a="1"/>
  <c r="C19" i="6" s="1"/>
  <c r="D19" i="6" a="1"/>
  <c r="D19" i="6" s="1"/>
  <c r="J45" i="8" a="1"/>
  <c r="J45" i="8" s="1"/>
  <c r="F45" i="8" a="1"/>
  <c r="F45" i="8" s="1"/>
  <c r="I45" i="8"/>
  <c r="E45" i="8"/>
  <c r="H45" i="8" a="1"/>
  <c r="H45" i="8" s="1"/>
  <c r="K45" i="8"/>
  <c r="G45" i="8" a="1"/>
  <c r="G45" i="8" s="1"/>
  <c r="G35" i="8" a="1"/>
  <c r="G35" i="8" s="1"/>
  <c r="K35" i="8"/>
  <c r="E35" i="8"/>
  <c r="H35" i="8" a="1"/>
  <c r="H35" i="8" s="1"/>
  <c r="J35" i="8" a="1"/>
  <c r="J35" i="8" s="1"/>
  <c r="I35" i="8"/>
  <c r="F35" i="8" a="1"/>
  <c r="F35" i="8" s="1"/>
  <c r="D15" i="3"/>
  <c r="I44" i="8"/>
  <c r="J44" i="8" a="1"/>
  <c r="J44" i="8" s="1"/>
  <c r="G44" i="8" a="1"/>
  <c r="G44" i="8" s="1"/>
  <c r="K44" i="8"/>
  <c r="F44" i="8" a="1"/>
  <c r="F44" i="8" s="1"/>
  <c r="E44" i="8"/>
  <c r="H44" i="8" a="1"/>
  <c r="H44" i="8" s="1"/>
  <c r="H82" i="8" a="1"/>
  <c r="H82" i="8" s="1"/>
  <c r="C82" i="8" a="1"/>
  <c r="C82" i="8" s="1"/>
  <c r="C74" i="2" s="1"/>
  <c r="B74" i="2"/>
  <c r="F82" i="8"/>
  <c r="F74" i="2" s="1"/>
  <c r="G82" i="8" a="1"/>
  <c r="G82" i="8" s="1"/>
  <c r="D82" i="8" a="1"/>
  <c r="D82" i="8" s="1"/>
  <c r="D74" i="2" s="1"/>
  <c r="K60" i="8"/>
  <c r="E60" i="8"/>
  <c r="J60" i="8" a="1"/>
  <c r="J60" i="8" s="1"/>
  <c r="G60" i="8" a="1"/>
  <c r="G60" i="8" s="1"/>
  <c r="H60" i="8" a="1"/>
  <c r="H60" i="8" s="1"/>
  <c r="I60" i="8"/>
  <c r="F60" i="8" a="1"/>
  <c r="F60" i="8" s="1"/>
  <c r="E41" i="3" a="1"/>
  <c r="E41" i="3" s="1"/>
  <c r="D23" i="3"/>
  <c r="D29" i="3"/>
  <c r="B99" i="8"/>
  <c r="D98" i="8" a="1"/>
  <c r="D98" i="8" s="1"/>
  <c r="C102" i="7"/>
  <c r="C112" i="7" s="1"/>
  <c r="B78" i="7"/>
  <c r="D30" i="7"/>
  <c r="D31" i="7"/>
  <c r="D33" i="7"/>
  <c r="C98" i="7"/>
  <c r="D36" i="7"/>
  <c r="C100" i="7"/>
  <c r="D37" i="7"/>
  <c r="D61" i="7"/>
  <c r="D62" i="7"/>
  <c r="D63" i="7"/>
  <c r="D64" i="7"/>
  <c r="D56" i="7"/>
  <c r="D57" i="7"/>
  <c r="D58" i="7"/>
  <c r="D60" i="7"/>
  <c r="D54" i="7"/>
  <c r="D55" i="7"/>
  <c r="D59" i="7"/>
  <c r="D65" i="7"/>
  <c r="D42" i="7"/>
  <c r="D75" i="7"/>
  <c r="D70" i="7"/>
  <c r="D35" i="7"/>
  <c r="C90" i="7"/>
  <c r="D48" i="7"/>
  <c r="D43" i="7"/>
  <c r="D34" i="7"/>
  <c r="C95" i="7"/>
  <c r="C94" i="7"/>
  <c r="D46" i="7"/>
  <c r="D40" i="7"/>
  <c r="C91" i="7"/>
  <c r="D47" i="7"/>
  <c r="D29" i="7"/>
  <c r="C89" i="7"/>
  <c r="D71" i="7"/>
  <c r="D39" i="7"/>
  <c r="D38" i="7"/>
  <c r="C92" i="7"/>
  <c r="D28" i="7"/>
  <c r="D67" i="7"/>
  <c r="D73" i="7"/>
  <c r="D44" i="7"/>
  <c r="D32" i="7"/>
  <c r="D52" i="7"/>
  <c r="D68" i="7"/>
  <c r="D74" i="7"/>
  <c r="D41" i="7"/>
  <c r="C99" i="7"/>
  <c r="D50" i="7"/>
  <c r="D49" i="7"/>
  <c r="D72" i="7"/>
  <c r="D45" i="7"/>
  <c r="D53" i="7"/>
  <c r="D51" i="7"/>
  <c r="C97" i="7"/>
  <c r="C96" i="7"/>
  <c r="C93" i="7"/>
  <c r="D69" i="7"/>
  <c r="D66" i="7"/>
  <c r="K24" i="8"/>
  <c r="J24" i="8" a="1"/>
  <c r="J24" i="8" s="1"/>
  <c r="G24" i="8" a="1"/>
  <c r="G24" i="8" s="1"/>
  <c r="E24" i="8"/>
  <c r="H24" i="8" a="1"/>
  <c r="H24" i="8" s="1"/>
  <c r="I24" i="8"/>
  <c r="F24" i="8" a="1"/>
  <c r="F24" i="8" s="1"/>
  <c r="K34" i="8"/>
  <c r="H34" i="8" a="1"/>
  <c r="H34" i="8" s="1"/>
  <c r="E34" i="8"/>
  <c r="J34" i="8" a="1"/>
  <c r="J34" i="8" s="1"/>
  <c r="I34" i="8"/>
  <c r="F34" i="8" a="1"/>
  <c r="F34" i="8" s="1"/>
  <c r="G34" i="8" a="1"/>
  <c r="G34" i="8" s="1"/>
  <c r="E28" i="8"/>
  <c r="H55" i="7" a="1"/>
  <c r="H55" i="7" s="1"/>
  <c r="G56" i="8" a="1"/>
  <c r="G56" i="8" s="1"/>
  <c r="E56" i="8"/>
  <c r="I56" i="8"/>
  <c r="J56" i="8" a="1"/>
  <c r="J56" i="8" s="1"/>
  <c r="H56" i="8" a="1"/>
  <c r="H56" i="8" s="1"/>
  <c r="F56" i="8" a="1"/>
  <c r="F56" i="8" s="1"/>
  <c r="K56" i="8"/>
  <c r="E15" i="8"/>
  <c r="E13" i="8" a="1"/>
  <c r="E13" i="8" s="1"/>
  <c r="E14" i="8" a="1"/>
  <c r="E14" i="8" s="1"/>
  <c r="O15" i="6"/>
  <c r="H81" i="8" a="1"/>
  <c r="H81" i="8" s="1"/>
  <c r="C81" i="8" a="1"/>
  <c r="C81" i="8" s="1"/>
  <c r="C73" i="2" s="1"/>
  <c r="B73" i="2"/>
  <c r="D81" i="8" a="1"/>
  <c r="D81" i="8" s="1"/>
  <c r="D73" i="2" s="1"/>
  <c r="G81" i="8" a="1"/>
  <c r="G81" i="8" s="1"/>
  <c r="F81" i="8"/>
  <c r="F73" i="2" s="1"/>
  <c r="H73" i="7" a="1"/>
  <c r="H73" i="7" s="1"/>
  <c r="F38" i="3"/>
  <c r="F8" i="3"/>
  <c r="G4" i="3"/>
  <c r="F10" i="3"/>
  <c r="F26" i="3" a="1"/>
  <c r="F26" i="3" s="1"/>
  <c r="F14" i="3"/>
  <c r="F30" i="3" a="1"/>
  <c r="F30" i="3" s="1"/>
  <c r="F17" i="3" a="1"/>
  <c r="F17" i="3" s="1"/>
  <c r="F24" i="3"/>
  <c r="F35" i="3"/>
  <c r="F12" i="3"/>
  <c r="F36" i="3"/>
  <c r="F31" i="3"/>
  <c r="F27" i="3"/>
  <c r="F18" i="3" a="1"/>
  <c r="F18" i="3" s="1"/>
  <c r="F37" i="3"/>
  <c r="F6" i="3"/>
  <c r="F7" i="3"/>
  <c r="F39" i="3"/>
  <c r="F13" i="3"/>
  <c r="F9" i="3"/>
  <c r="F25" i="3"/>
  <c r="D31" i="11"/>
  <c r="D32" i="11"/>
  <c r="E30" i="11"/>
  <c r="D28" i="11"/>
  <c r="D29" i="11"/>
  <c r="E31" i="11"/>
  <c r="C31" i="11"/>
  <c r="F29" i="11"/>
  <c r="E29" i="11"/>
  <c r="C32" i="11"/>
  <c r="F30" i="11"/>
  <c r="C28" i="11"/>
  <c r="F31" i="11"/>
  <c r="F32" i="11"/>
  <c r="E32" i="11"/>
  <c r="C29" i="11"/>
  <c r="E28" i="11"/>
  <c r="C30" i="11"/>
  <c r="F28" i="11"/>
  <c r="D30" i="11"/>
  <c r="F41" i="8" l="1" a="1"/>
  <c r="F41" i="8" s="1"/>
  <c r="F42" i="3" a="1"/>
  <c r="F42" i="3" s="1"/>
  <c r="H29" i="4" a="1"/>
  <c r="H29" i="4" s="1"/>
  <c r="F27" i="8" a="1"/>
  <c r="F27" i="8" s="1"/>
  <c r="G39" i="8" a="1"/>
  <c r="G39" i="8" s="1"/>
  <c r="I74" i="8"/>
  <c r="L7" i="8" a="1"/>
  <c r="L7" i="8" s="1"/>
  <c r="J37" i="8" s="1" a="1"/>
  <c r="J37" i="8" s="1"/>
  <c r="J49" i="8" a="1"/>
  <c r="J49" i="8" s="1"/>
  <c r="J53" i="8" a="1"/>
  <c r="J53" i="8" s="1"/>
  <c r="F9" i="5" a="1"/>
  <c r="F9" i="5" s="1"/>
  <c r="F8" i="5" a="1"/>
  <c r="F8" i="5" s="1"/>
  <c r="F11" i="3"/>
  <c r="F15" i="3" s="1"/>
  <c r="K19" i="4"/>
  <c r="M19" i="4" s="1"/>
  <c r="O19" i="4" s="1"/>
  <c r="I6" i="8" a="1"/>
  <c r="I6" i="8" s="1"/>
  <c r="G61" i="8" a="1"/>
  <c r="G61" i="8" s="1"/>
  <c r="E10" i="5"/>
  <c r="G52" i="8" a="1"/>
  <c r="G52" i="8" s="1"/>
  <c r="F39" i="8" a="1"/>
  <c r="F39" i="8" s="1"/>
  <c r="F53" i="8" a="1"/>
  <c r="F53" i="8" s="1"/>
  <c r="F63" i="8" a="1"/>
  <c r="F63" i="8" s="1"/>
  <c r="G28" i="8" a="1"/>
  <c r="G28" i="8" s="1"/>
  <c r="G64" i="8" a="1"/>
  <c r="G64" i="8" s="1"/>
  <c r="F30" i="8" a="1"/>
  <c r="F30" i="8" s="1"/>
  <c r="F25" i="8" a="1"/>
  <c r="F25" i="8" s="1"/>
  <c r="F52" i="8" a="1"/>
  <c r="F52" i="8" s="1"/>
  <c r="F28" i="8" a="1"/>
  <c r="F28" i="8" s="1"/>
  <c r="F64" i="8" a="1"/>
  <c r="F64" i="8" s="1"/>
  <c r="F42" i="8" a="1"/>
  <c r="F42" i="8" s="1"/>
  <c r="F65" i="8" a="1"/>
  <c r="F65" i="8" s="1"/>
  <c r="F54" i="8" a="1"/>
  <c r="F54" i="8" s="1"/>
  <c r="G30" i="8" a="1"/>
  <c r="G30" i="8" s="1"/>
  <c r="G63" i="8" a="1"/>
  <c r="G63" i="8" s="1"/>
  <c r="G42" i="8" a="1"/>
  <c r="G42" i="8" s="1"/>
  <c r="G25" i="8" a="1"/>
  <c r="G25" i="8" s="1"/>
  <c r="G66" i="8" a="1"/>
  <c r="G66" i="8" s="1"/>
  <c r="E34" i="12"/>
  <c r="P53" i="7"/>
  <c r="Q53" i="7"/>
  <c r="O53" i="7" a="1"/>
  <c r="O53" i="7" s="1"/>
  <c r="M53" i="7"/>
  <c r="L53" i="7"/>
  <c r="K53" i="7"/>
  <c r="P75" i="7"/>
  <c r="M75" i="7"/>
  <c r="S75" i="7"/>
  <c r="T75" i="7"/>
  <c r="K75" i="7"/>
  <c r="L75" i="7"/>
  <c r="N75" i="7" a="1"/>
  <c r="N75" i="7" s="1"/>
  <c r="R75" i="7" a="1"/>
  <c r="R75" i="7" s="1"/>
  <c r="Q75" i="7"/>
  <c r="O75" i="7" a="1"/>
  <c r="O75" i="7" s="1"/>
  <c r="T51" i="7"/>
  <c r="L51" i="7"/>
  <c r="P51" i="7"/>
  <c r="N51" i="7" a="1"/>
  <c r="N51" i="7" s="1"/>
  <c r="Q51" i="7"/>
  <c r="O51" i="7" a="1"/>
  <c r="O51" i="7" s="1"/>
  <c r="R51" i="7" a="1"/>
  <c r="R51" i="7" s="1"/>
  <c r="K51" i="7"/>
  <c r="S51" i="7"/>
  <c r="M51" i="7"/>
  <c r="K45" i="7"/>
  <c r="L45" i="7"/>
  <c r="M45" i="7"/>
  <c r="E94" i="7" s="1"/>
  <c r="E20" i="3"/>
  <c r="E32" i="3" s="1"/>
  <c r="E33" i="3" s="1" a="1"/>
  <c r="E33" i="3" s="1"/>
  <c r="J8" i="5" a="1"/>
  <c r="J8" i="5" s="1"/>
  <c r="I8" i="5" a="1"/>
  <c r="I8" i="5" s="1"/>
  <c r="K5" i="2" s="1"/>
  <c r="P8" i="5" a="1"/>
  <c r="P8" i="5" s="1"/>
  <c r="F41" i="3" a="1"/>
  <c r="F41" i="3" s="1"/>
  <c r="J9" i="5" a="1"/>
  <c r="J9" i="5" s="1"/>
  <c r="I9" i="5" a="1"/>
  <c r="I9" i="5" s="1"/>
  <c r="P9" i="5" a="1"/>
  <c r="P9" i="5" s="1"/>
  <c r="D31" i="5"/>
  <c r="C31" i="5"/>
  <c r="F31" i="5"/>
  <c r="B32" i="5"/>
  <c r="G31" i="5"/>
  <c r="E99" i="7"/>
  <c r="I99" i="7"/>
  <c r="F99" i="7"/>
  <c r="H99" i="7"/>
  <c r="K41" i="7"/>
  <c r="M41" i="7"/>
  <c r="L41" i="7"/>
  <c r="L52" i="7"/>
  <c r="R52" i="7" s="1" a="1"/>
  <c r="R52" i="7" s="1"/>
  <c r="D82" i="7"/>
  <c r="P52" i="7"/>
  <c r="Q52" i="7"/>
  <c r="M52" i="7"/>
  <c r="O52" i="7" a="1"/>
  <c r="O52" i="7" s="1"/>
  <c r="K52" i="7"/>
  <c r="I26" i="4" a="1"/>
  <c r="I26" i="4" s="1"/>
  <c r="F30" i="4"/>
  <c r="S73" i="7"/>
  <c r="M73" i="7"/>
  <c r="T73" i="7"/>
  <c r="L73" i="7"/>
  <c r="K73" i="7"/>
  <c r="N73" i="7" a="1"/>
  <c r="N73" i="7" s="1"/>
  <c r="O73" i="7" a="1"/>
  <c r="O73" i="7" s="1"/>
  <c r="Q73" i="7"/>
  <c r="R73" i="7" a="1"/>
  <c r="R73" i="7" s="1"/>
  <c r="P73" i="7"/>
  <c r="S63" i="7"/>
  <c r="P63" i="7"/>
  <c r="L63" i="7"/>
  <c r="O63" i="7" a="1"/>
  <c r="O63" i="7" s="1"/>
  <c r="R63" i="7" a="1"/>
  <c r="R63" i="7" s="1"/>
  <c r="T63" i="7"/>
  <c r="K63" i="7"/>
  <c r="M63" i="7"/>
  <c r="Q63" i="7"/>
  <c r="N63" i="7" a="1"/>
  <c r="N63" i="7" s="1"/>
  <c r="N29" i="4"/>
  <c r="D75" i="8"/>
  <c r="M57" i="2"/>
  <c r="G62" i="8" a="1"/>
  <c r="G62" i="8" s="1"/>
  <c r="I27" i="4" a="1"/>
  <c r="I27" i="4" s="1"/>
  <c r="I30" i="5" a="1"/>
  <c r="I30" i="5" s="1"/>
  <c r="J54" i="8" a="1"/>
  <c r="J54" i="8" s="1"/>
  <c r="M60" i="2"/>
  <c r="B66" i="6"/>
  <c r="C65" i="6" a="1"/>
  <c r="C65" i="6" s="1"/>
  <c r="E65" i="6"/>
  <c r="G65" i="6" a="1"/>
  <c r="G65" i="6" s="1"/>
  <c r="J65" i="6"/>
  <c r="F65" i="6" a="1"/>
  <c r="F65" i="6" s="1"/>
  <c r="D65" i="6"/>
  <c r="S37" i="7"/>
  <c r="K37" i="7"/>
  <c r="Q37" i="7"/>
  <c r="R37" i="7" a="1"/>
  <c r="R37" i="7" s="1"/>
  <c r="L37" i="7"/>
  <c r="T37" i="7"/>
  <c r="P37" i="7"/>
  <c r="M37" i="7"/>
  <c r="N37" i="7" a="1"/>
  <c r="N37" i="7" s="1"/>
  <c r="O37" i="7" a="1"/>
  <c r="O37" i="7" s="1"/>
  <c r="K6" i="8" a="1"/>
  <c r="K6" i="8" s="1"/>
  <c r="L6" i="8" s="1" a="1"/>
  <c r="L6" i="8" s="1"/>
  <c r="S70" i="7"/>
  <c r="K70" i="7"/>
  <c r="Q70" i="7"/>
  <c r="T70" i="7"/>
  <c r="N70" i="7" a="1"/>
  <c r="N70" i="7" s="1"/>
  <c r="L70" i="7"/>
  <c r="O70" i="7" a="1"/>
  <c r="O70" i="7" s="1"/>
  <c r="M70" i="7"/>
  <c r="R70" i="7" a="1"/>
  <c r="R70" i="7" s="1"/>
  <c r="P70" i="7"/>
  <c r="F40" i="3" a="1"/>
  <c r="F40" i="3" s="1"/>
  <c r="F45" i="3" a="1"/>
  <c r="F45" i="3" s="1"/>
  <c r="O60" i="7" a="1"/>
  <c r="O60" i="7" s="1"/>
  <c r="Q60" i="7"/>
  <c r="R60" i="7" a="1"/>
  <c r="R60" i="7" s="1"/>
  <c r="T60" i="7"/>
  <c r="L60" i="7"/>
  <c r="M60" i="7"/>
  <c r="P60" i="7"/>
  <c r="K60" i="7"/>
  <c r="N60" i="7" a="1"/>
  <c r="N60" i="7" s="1"/>
  <c r="S60" i="7"/>
  <c r="M59" i="2"/>
  <c r="S39" i="7"/>
  <c r="K39" i="7"/>
  <c r="P39" i="7"/>
  <c r="O39" i="7" a="1"/>
  <c r="O39" i="7" s="1"/>
  <c r="L39" i="7"/>
  <c r="N39" i="7" a="1"/>
  <c r="N39" i="7" s="1"/>
  <c r="R39" i="7" a="1"/>
  <c r="R39" i="7" s="1"/>
  <c r="T39" i="7"/>
  <c r="Q39" i="7"/>
  <c r="M39" i="7"/>
  <c r="G50" i="8" a="1"/>
  <c r="G50" i="8" s="1"/>
  <c r="I97" i="7"/>
  <c r="F97" i="7"/>
  <c r="E97" i="7"/>
  <c r="H97" i="7"/>
  <c r="H28" i="4" a="1"/>
  <c r="H28" i="4" s="1"/>
  <c r="S72" i="7"/>
  <c r="K72" i="7"/>
  <c r="T72" i="7"/>
  <c r="N72" i="7" a="1"/>
  <c r="N72" i="7" s="1"/>
  <c r="L72" i="7"/>
  <c r="M72" i="7"/>
  <c r="O72" i="7" a="1"/>
  <c r="O72" i="7" s="1"/>
  <c r="Q72" i="7"/>
  <c r="R72" i="7" a="1"/>
  <c r="R72" i="7" s="1"/>
  <c r="P72" i="7"/>
  <c r="H10" i="5"/>
  <c r="Q6" i="5" a="1"/>
  <c r="Q6" i="5" s="1"/>
  <c r="K6" i="5" a="1"/>
  <c r="K6" i="5" s="1"/>
  <c r="K44" i="7"/>
  <c r="M44" i="7"/>
  <c r="L44" i="7"/>
  <c r="C35" i="4"/>
  <c r="C95" i="2" s="1"/>
  <c r="M11" i="4"/>
  <c r="O11" i="4" s="1"/>
  <c r="E24" i="12" s="1" a="1"/>
  <c r="E24" i="12" s="1"/>
  <c r="F24" i="12" s="1"/>
  <c r="H24" i="12" s="1"/>
  <c r="J50" i="8" a="1"/>
  <c r="J50" i="8" s="1"/>
  <c r="E98" i="7"/>
  <c r="I98" i="7"/>
  <c r="H98" i="7"/>
  <c r="F98" i="7"/>
  <c r="G38" i="8" a="1"/>
  <c r="G38" i="8" s="1"/>
  <c r="F50" i="8" a="1"/>
  <c r="F50" i="8" s="1"/>
  <c r="N27" i="4"/>
  <c r="M58" i="2"/>
  <c r="I29" i="4" a="1"/>
  <c r="I29" i="4" s="1"/>
  <c r="L29" i="4" s="1"/>
  <c r="D10" i="5"/>
  <c r="F6" i="5" a="1"/>
  <c r="F6" i="5" s="1"/>
  <c r="S35" i="7"/>
  <c r="K35" i="7"/>
  <c r="Q35" i="7"/>
  <c r="R35" i="7" a="1"/>
  <c r="R35" i="7" s="1"/>
  <c r="L35" i="7"/>
  <c r="T35" i="7"/>
  <c r="O35" i="7" a="1"/>
  <c r="O35" i="7" s="1"/>
  <c r="P35" i="7"/>
  <c r="N35" i="7" a="1"/>
  <c r="N35" i="7" s="1"/>
  <c r="M35" i="7"/>
  <c r="F19" i="3"/>
  <c r="F20" i="3" s="1"/>
  <c r="L28" i="7"/>
  <c r="K28" i="7"/>
  <c r="M28" i="7"/>
  <c r="S36" i="7"/>
  <c r="K36" i="7"/>
  <c r="M36" i="7"/>
  <c r="Q36" i="7"/>
  <c r="R36" i="7" a="1"/>
  <c r="R36" i="7" s="1"/>
  <c r="L36" i="7"/>
  <c r="O36" i="7" a="1"/>
  <c r="O36" i="7" s="1"/>
  <c r="T36" i="7"/>
  <c r="P36" i="7"/>
  <c r="N36" i="7" a="1"/>
  <c r="N36" i="7" s="1"/>
  <c r="M33" i="7"/>
  <c r="L33" i="7"/>
  <c r="K33" i="7"/>
  <c r="L29" i="7"/>
  <c r="K29" i="7"/>
  <c r="M29" i="7"/>
  <c r="L31" i="7"/>
  <c r="K31" i="7"/>
  <c r="M31" i="7"/>
  <c r="R59" i="7" a="1"/>
  <c r="R59" i="7" s="1"/>
  <c r="T59" i="7"/>
  <c r="L59" i="7"/>
  <c r="M59" i="7"/>
  <c r="P59" i="7"/>
  <c r="Q59" i="7"/>
  <c r="K59" i="7"/>
  <c r="O59" i="7" a="1"/>
  <c r="O59" i="7" s="1"/>
  <c r="N59" i="7" a="1"/>
  <c r="N59" i="7" s="1"/>
  <c r="S59" i="7"/>
  <c r="P55" i="7"/>
  <c r="Q55" i="7"/>
  <c r="M55" i="7"/>
  <c r="L55" i="7"/>
  <c r="R55" i="7" s="1" a="1"/>
  <c r="R55" i="7" s="1"/>
  <c r="K55" i="7"/>
  <c r="O55" i="7" a="1"/>
  <c r="O55" i="7" s="1"/>
  <c r="P74" i="7"/>
  <c r="R74" i="7" a="1"/>
  <c r="R74" i="7" s="1"/>
  <c r="S74" i="7"/>
  <c r="K74" i="7"/>
  <c r="M74" i="7"/>
  <c r="T74" i="7"/>
  <c r="L74" i="7"/>
  <c r="N74" i="7" a="1"/>
  <c r="N74" i="7" s="1"/>
  <c r="O74" i="7" a="1"/>
  <c r="O74" i="7" s="1"/>
  <c r="Q74" i="7"/>
  <c r="R58" i="7" a="1"/>
  <c r="R58" i="7" s="1"/>
  <c r="Q58" i="7"/>
  <c r="T58" i="7"/>
  <c r="L58" i="7"/>
  <c r="M58" i="7"/>
  <c r="P58" i="7"/>
  <c r="K58" i="7"/>
  <c r="N58" i="7" a="1"/>
  <c r="N58" i="7" s="1"/>
  <c r="S58" i="7"/>
  <c r="O58" i="7" a="1"/>
  <c r="O58" i="7" s="1"/>
  <c r="G30" i="3" a="1"/>
  <c r="G30" i="3" s="1"/>
  <c r="G38" i="3"/>
  <c r="G36" i="3"/>
  <c r="G41" i="3" s="1" a="1"/>
  <c r="G41" i="3" s="1"/>
  <c r="G13" i="3"/>
  <c r="G9" i="3"/>
  <c r="G7" i="3"/>
  <c r="G17" i="3" a="1"/>
  <c r="G17" i="3" s="1"/>
  <c r="G19" i="3" s="1"/>
  <c r="G23" i="3" s="1"/>
  <c r="G8" i="3"/>
  <c r="G26" i="3" a="1"/>
  <c r="G26" i="3" s="1"/>
  <c r="G12" i="3"/>
  <c r="G10" i="3"/>
  <c r="G24" i="3"/>
  <c r="H4" i="3"/>
  <c r="G35" i="3"/>
  <c r="G31" i="3"/>
  <c r="G39" i="3"/>
  <c r="G27" i="3"/>
  <c r="G18" i="3" a="1"/>
  <c r="G18" i="3" s="1"/>
  <c r="G14" i="3"/>
  <c r="G6" i="3"/>
  <c r="G25" i="3"/>
  <c r="G37" i="3"/>
  <c r="N62" i="7" a="1"/>
  <c r="N62" i="7" s="1"/>
  <c r="O62" i="7" a="1"/>
  <c r="O62" i="7" s="1"/>
  <c r="Q62" i="7"/>
  <c r="R62" i="7" a="1"/>
  <c r="R62" i="7" s="1"/>
  <c r="T62" i="7"/>
  <c r="L62" i="7"/>
  <c r="K62" i="7"/>
  <c r="M62" i="7"/>
  <c r="P62" i="7"/>
  <c r="S62" i="7"/>
  <c r="S38" i="7"/>
  <c r="M38" i="7"/>
  <c r="R38" i="7" a="1"/>
  <c r="R38" i="7" s="1"/>
  <c r="T38" i="7"/>
  <c r="K38" i="7"/>
  <c r="N38" i="7" a="1"/>
  <c r="N38" i="7" s="1"/>
  <c r="Q38" i="7"/>
  <c r="O38" i="7" a="1"/>
  <c r="O38" i="7" s="1"/>
  <c r="L38" i="7"/>
  <c r="P38" i="7"/>
  <c r="F38" i="8" a="1"/>
  <c r="F38" i="8" s="1"/>
  <c r="S71" i="7"/>
  <c r="M71" i="7"/>
  <c r="T71" i="7"/>
  <c r="N71" i="7" a="1"/>
  <c r="N71" i="7" s="1"/>
  <c r="L71" i="7"/>
  <c r="K71" i="7"/>
  <c r="O71" i="7" a="1"/>
  <c r="O71" i="7" s="1"/>
  <c r="Q71" i="7"/>
  <c r="R71" i="7" a="1"/>
  <c r="R71" i="7" s="1"/>
  <c r="P71" i="7"/>
  <c r="T47" i="7"/>
  <c r="Q47" i="7"/>
  <c r="M47" i="7"/>
  <c r="K47" i="7"/>
  <c r="N47" i="7" a="1"/>
  <c r="N47" i="7" s="1"/>
  <c r="P47" i="7"/>
  <c r="S47" i="7"/>
  <c r="R47" i="7" a="1"/>
  <c r="R47" i="7" s="1"/>
  <c r="O47" i="7" a="1"/>
  <c r="O47" i="7" s="1"/>
  <c r="L47" i="7"/>
  <c r="J51" i="8" a="1"/>
  <c r="J51" i="8" s="1"/>
  <c r="N26" i="4"/>
  <c r="G30" i="4"/>
  <c r="N30" i="4" s="1"/>
  <c r="M42" i="7"/>
  <c r="K42" i="7"/>
  <c r="L42" i="7"/>
  <c r="M65" i="7"/>
  <c r="Q65" i="7"/>
  <c r="O65" i="7" a="1"/>
  <c r="O65" i="7" s="1"/>
  <c r="L65" i="7"/>
  <c r="R65" i="7" s="1" a="1"/>
  <c r="R65" i="7" s="1"/>
  <c r="K65" i="7"/>
  <c r="P65" i="7"/>
  <c r="Q57" i="7"/>
  <c r="P57" i="7"/>
  <c r="K57" i="7"/>
  <c r="M57" i="7"/>
  <c r="L57" i="7"/>
  <c r="R57" i="7" s="1" a="1"/>
  <c r="R57" i="7" s="1"/>
  <c r="O57" i="7" a="1"/>
  <c r="O57" i="7" s="1"/>
  <c r="M67" i="7"/>
  <c r="Q67" i="7"/>
  <c r="O67" i="7" a="1"/>
  <c r="O67" i="7" s="1"/>
  <c r="L67" i="7"/>
  <c r="R67" i="7" s="1" a="1"/>
  <c r="R67" i="7" s="1"/>
  <c r="K67" i="7"/>
  <c r="P67" i="7"/>
  <c r="L30" i="7"/>
  <c r="K30" i="7"/>
  <c r="M30" i="7"/>
  <c r="F37" i="8" a="1"/>
  <c r="F37" i="8" s="1"/>
  <c r="G37" i="8" a="1"/>
  <c r="G37" i="8" s="1"/>
  <c r="G65" i="8" a="1"/>
  <c r="G65" i="8" s="1"/>
  <c r="G51" i="8" a="1"/>
  <c r="G51" i="8" s="1"/>
  <c r="C15" i="1" a="1"/>
  <c r="C15" i="1" s="1"/>
  <c r="C37" i="4"/>
  <c r="C97" i="2" s="1"/>
  <c r="P49" i="7"/>
  <c r="N49" i="7" a="1"/>
  <c r="N49" i="7" s="1"/>
  <c r="O49" i="7" a="1"/>
  <c r="O49" i="7" s="1"/>
  <c r="S49" i="7"/>
  <c r="Q49" i="7"/>
  <c r="R49" i="7" a="1"/>
  <c r="R49" i="7" s="1"/>
  <c r="T49" i="7"/>
  <c r="L49" i="7"/>
  <c r="K49" i="7"/>
  <c r="M49" i="7"/>
  <c r="C31" i="6"/>
  <c r="D20" i="3"/>
  <c r="D32" i="3" s="1"/>
  <c r="D33" i="3" s="1" a="1"/>
  <c r="D33" i="3" s="1"/>
  <c r="M40" i="7"/>
  <c r="L40" i="7"/>
  <c r="K40" i="7"/>
  <c r="M20" i="4"/>
  <c r="O20" i="4" s="1"/>
  <c r="I9" i="8" a="1"/>
  <c r="I9" i="8" s="1"/>
  <c r="C72" i="2"/>
  <c r="C92" i="8"/>
  <c r="N28" i="4"/>
  <c r="E40" i="3" a="1"/>
  <c r="E40" i="3" s="1"/>
  <c r="N46" i="7" a="1"/>
  <c r="N46" i="7" s="1"/>
  <c r="S46" i="7"/>
  <c r="R46" i="7" a="1"/>
  <c r="R46" i="7" s="1"/>
  <c r="K46" i="7"/>
  <c r="M46" i="7"/>
  <c r="P46" i="7"/>
  <c r="Q46" i="7"/>
  <c r="O46" i="7" a="1"/>
  <c r="O46" i="7" s="1"/>
  <c r="L46" i="7"/>
  <c r="T46" i="7"/>
  <c r="I8" i="8" a="1"/>
  <c r="I8" i="8" s="1"/>
  <c r="F92" i="8"/>
  <c r="F72" i="2"/>
  <c r="E35" i="12" a="1"/>
  <c r="E35" i="12" s="1"/>
  <c r="F35" i="12" s="1"/>
  <c r="H35" i="12" s="1"/>
  <c r="I28" i="4" a="1"/>
  <c r="I28" i="4" s="1"/>
  <c r="L28" i="4"/>
  <c r="J52" i="8" a="1"/>
  <c r="J52" i="8" s="1"/>
  <c r="Q56" i="7"/>
  <c r="L56" i="7"/>
  <c r="P56" i="7"/>
  <c r="K56" i="7"/>
  <c r="O56" i="7" a="1"/>
  <c r="O56" i="7" s="1"/>
  <c r="M56" i="7"/>
  <c r="M16" i="4"/>
  <c r="O16" i="4" s="1"/>
  <c r="J21" i="4"/>
  <c r="Q64" i="7"/>
  <c r="O64" i="7" a="1"/>
  <c r="O64" i="7" s="1"/>
  <c r="D83" i="7"/>
  <c r="K64" i="7"/>
  <c r="M64" i="7"/>
  <c r="P64" i="7"/>
  <c r="L64" i="7"/>
  <c r="R64" i="7" s="1" a="1"/>
  <c r="R64" i="7" s="1"/>
  <c r="F26" i="8" a="1"/>
  <c r="F26" i="8" s="1"/>
  <c r="B100" i="8"/>
  <c r="D99" i="8" a="1"/>
  <c r="D99" i="8" s="1"/>
  <c r="Q7" i="5" a="1"/>
  <c r="Q7" i="5" s="1"/>
  <c r="K7" i="5" a="1"/>
  <c r="K7" i="5" s="1"/>
  <c r="I7" i="8" a="1"/>
  <c r="I7" i="8" s="1"/>
  <c r="K68" i="7"/>
  <c r="Q68" i="7"/>
  <c r="L68" i="7"/>
  <c r="O68" i="7" a="1"/>
  <c r="O68" i="7" s="1"/>
  <c r="M68" i="7"/>
  <c r="P68" i="7"/>
  <c r="K8" i="5" a="1"/>
  <c r="K8" i="5" s="1"/>
  <c r="Q8" i="5" a="1"/>
  <c r="Q8" i="5" s="1"/>
  <c r="O61" i="7" a="1"/>
  <c r="O61" i="7" s="1"/>
  <c r="R61" i="7" a="1"/>
  <c r="R61" i="7" s="1"/>
  <c r="T61" i="7"/>
  <c r="L61" i="7"/>
  <c r="M61" i="7"/>
  <c r="P61" i="7"/>
  <c r="S61" i="7"/>
  <c r="K61" i="7"/>
  <c r="Q61" i="7"/>
  <c r="N61" i="7" a="1"/>
  <c r="N61" i="7" s="1"/>
  <c r="E100" i="7"/>
  <c r="I100" i="7"/>
  <c r="H100" i="7"/>
  <c r="F100" i="7"/>
  <c r="G41" i="8" a="1"/>
  <c r="G41" i="8" s="1"/>
  <c r="M66" i="7"/>
  <c r="Q66" i="7"/>
  <c r="O66" i="7" a="1"/>
  <c r="O66" i="7" s="1"/>
  <c r="L66" i="7"/>
  <c r="K66" i="7"/>
  <c r="P66" i="7"/>
  <c r="I95" i="7"/>
  <c r="F95" i="7"/>
  <c r="E95" i="7"/>
  <c r="H95" i="7"/>
  <c r="D28" i="3"/>
  <c r="D44" i="3" a="1"/>
  <c r="D44" i="3" s="1"/>
  <c r="G29" i="8" a="1"/>
  <c r="G29" i="8" s="1"/>
  <c r="D72" i="2"/>
  <c r="K9" i="5" a="1"/>
  <c r="K9" i="5" s="1"/>
  <c r="Q9" i="5" a="1"/>
  <c r="Q9" i="5" s="1"/>
  <c r="L54" i="7"/>
  <c r="R54" i="7" s="1" a="1"/>
  <c r="R54" i="7" s="1"/>
  <c r="P54" i="7"/>
  <c r="Q54" i="7"/>
  <c r="M54" i="7"/>
  <c r="O54" i="7" a="1"/>
  <c r="O54" i="7" s="1"/>
  <c r="K54" i="7"/>
  <c r="M32" i="7"/>
  <c r="L32" i="7"/>
  <c r="K32" i="7"/>
  <c r="K69" i="7"/>
  <c r="M69" i="7"/>
  <c r="Q69" i="7"/>
  <c r="L69" i="7"/>
  <c r="R69" i="7" s="1" a="1"/>
  <c r="R69" i="7" s="1"/>
  <c r="O69" i="7" a="1"/>
  <c r="O69" i="7" s="1"/>
  <c r="P69" i="7"/>
  <c r="M34" i="7"/>
  <c r="Q34" i="7"/>
  <c r="N34" i="7" a="1"/>
  <c r="N34" i="7" s="1"/>
  <c r="O34" i="7" a="1"/>
  <c r="O34" i="7" s="1"/>
  <c r="R34" i="7" a="1"/>
  <c r="R34" i="7" s="1"/>
  <c r="L34" i="7"/>
  <c r="T34" i="7"/>
  <c r="S34" i="7"/>
  <c r="P34" i="7"/>
  <c r="K34" i="7"/>
  <c r="H26" i="4" a="1"/>
  <c r="H26" i="4" s="1"/>
  <c r="D30" i="4"/>
  <c r="J7" i="5" a="1"/>
  <c r="J7" i="5" s="1"/>
  <c r="L7" i="5" s="1" a="1"/>
  <c r="L7" i="5" s="1"/>
  <c r="I7" i="5" a="1"/>
  <c r="I7" i="5" s="1"/>
  <c r="P7" i="5" a="1"/>
  <c r="P7" i="5" s="1"/>
  <c r="T50" i="7"/>
  <c r="L50" i="7"/>
  <c r="P50" i="7"/>
  <c r="N50" i="7" a="1"/>
  <c r="N50" i="7" s="1"/>
  <c r="O50" i="7" a="1"/>
  <c r="O50" i="7" s="1"/>
  <c r="K50" i="7"/>
  <c r="Q50" i="7"/>
  <c r="S50" i="7"/>
  <c r="R50" i="7" a="1"/>
  <c r="R50" i="7" s="1"/>
  <c r="M50" i="7"/>
  <c r="D31" i="6"/>
  <c r="K43" i="7"/>
  <c r="M43" i="7"/>
  <c r="L43" i="7"/>
  <c r="F49" i="8" a="1"/>
  <c r="F49" i="8" s="1"/>
  <c r="I73" i="8"/>
  <c r="G10" i="5"/>
  <c r="J6" i="5" a="1"/>
  <c r="J6" i="5" s="1"/>
  <c r="I6" i="5" a="1"/>
  <c r="I6" i="5" s="1"/>
  <c r="P6" i="5" a="1"/>
  <c r="P6" i="5" s="1"/>
  <c r="E30" i="4"/>
  <c r="I96" i="7"/>
  <c r="F96" i="7"/>
  <c r="E96" i="7"/>
  <c r="H96" i="7"/>
  <c r="N48" i="7" a="1"/>
  <c r="N48" i="7" s="1"/>
  <c r="O48" i="7" a="1"/>
  <c r="O48" i="7" s="1"/>
  <c r="K48" i="7"/>
  <c r="S48" i="7"/>
  <c r="P48" i="7"/>
  <c r="Q48" i="7"/>
  <c r="R48" i="7" a="1"/>
  <c r="R48" i="7" s="1"/>
  <c r="L48" i="7"/>
  <c r="T48" i="7"/>
  <c r="M48" i="7"/>
  <c r="H27" i="4" a="1"/>
  <c r="H27" i="4" s="1"/>
  <c r="L27" i="4" s="1"/>
  <c r="K9" i="8" a="1"/>
  <c r="K9" i="8" s="1"/>
  <c r="L9" i="8" s="1" a="1"/>
  <c r="L9" i="8" s="1"/>
  <c r="J41" i="8" l="1" a="1"/>
  <c r="J41" i="8" s="1"/>
  <c r="N43" i="7" a="1"/>
  <c r="N43" i="7" s="1"/>
  <c r="F43" i="3" a="1"/>
  <c r="F43" i="3" s="1"/>
  <c r="L8" i="5" a="1"/>
  <c r="L8" i="5" s="1"/>
  <c r="N28" i="7" a="1"/>
  <c r="N28" i="7" s="1"/>
  <c r="S28" i="7" s="1"/>
  <c r="H90" i="7"/>
  <c r="N33" i="7" a="1"/>
  <c r="N33" i="7" s="1"/>
  <c r="S33" i="7" s="1"/>
  <c r="L26" i="4"/>
  <c r="N41" i="7" a="1"/>
  <c r="N41" i="7" s="1"/>
  <c r="S41" i="7" s="1"/>
  <c r="I82" i="7"/>
  <c r="G59" i="2" s="1"/>
  <c r="N66" i="7" a="1"/>
  <c r="N66" i="7" s="1"/>
  <c r="S66" i="7" s="1"/>
  <c r="F82" i="7"/>
  <c r="E90" i="7"/>
  <c r="N42" i="7" a="1"/>
  <c r="N42" i="7" s="1"/>
  <c r="S42" i="7" s="1"/>
  <c r="K21" i="4"/>
  <c r="M21" i="4" s="1"/>
  <c r="O21" i="4" s="1"/>
  <c r="E25" i="12" s="1" a="1"/>
  <c r="E25" i="12" s="1"/>
  <c r="F25" i="12" s="1"/>
  <c r="H25" i="12" s="1"/>
  <c r="L6" i="5" a="1"/>
  <c r="L6" i="5" s="1"/>
  <c r="N8" i="2" s="1"/>
  <c r="N53" i="7" a="1"/>
  <c r="N53" i="7" s="1"/>
  <c r="S53" i="7" s="1"/>
  <c r="G43" i="3" a="1"/>
  <c r="G43" i="3" s="1"/>
  <c r="H93" i="7"/>
  <c r="N44" i="7" a="1"/>
  <c r="N44" i="7" s="1"/>
  <c r="S44" i="7" s="1"/>
  <c r="J40" i="8" a="1"/>
  <c r="J40" i="8" s="1"/>
  <c r="J39" i="8" a="1"/>
  <c r="J39" i="8" s="1"/>
  <c r="J38" i="8" a="1"/>
  <c r="J38" i="8" s="1"/>
  <c r="J42" i="8" a="1"/>
  <c r="J42" i="8" s="1"/>
  <c r="N45" i="7" a="1"/>
  <c r="N45" i="7" s="1"/>
  <c r="S45" i="7" s="1"/>
  <c r="N57" i="7" a="1"/>
  <c r="N57" i="7" s="1"/>
  <c r="S57" i="7" s="1"/>
  <c r="T57" i="7" s="1"/>
  <c r="N31" i="7" a="1"/>
  <c r="N31" i="7" s="1"/>
  <c r="S31" i="7" s="1"/>
  <c r="N29" i="7" a="1"/>
  <c r="N29" i="7" s="1"/>
  <c r="S29" i="7" s="1"/>
  <c r="N40" i="7" a="1"/>
  <c r="N40" i="7" s="1"/>
  <c r="S40" i="7" s="1"/>
  <c r="E93" i="7"/>
  <c r="R66" i="7" a="1"/>
  <c r="R66" i="7" s="1"/>
  <c r="T66" i="7" s="1"/>
  <c r="N64" i="7" a="1"/>
  <c r="N64" i="7" s="1"/>
  <c r="S64" i="7" s="1"/>
  <c r="T64" i="7" s="1"/>
  <c r="E91" i="7"/>
  <c r="I81" i="7"/>
  <c r="G58" i="2" s="1"/>
  <c r="N56" i="7" a="1"/>
  <c r="N56" i="7" s="1"/>
  <c r="S56" i="7" s="1"/>
  <c r="N65" i="7" a="1"/>
  <c r="N65" i="7" s="1"/>
  <c r="S65" i="7" s="1"/>
  <c r="T65" i="7" s="1"/>
  <c r="N67" i="7" a="1"/>
  <c r="N67" i="7" s="1"/>
  <c r="S67" i="7" s="1"/>
  <c r="T67" i="7" s="1"/>
  <c r="I83" i="7"/>
  <c r="G60" i="2" s="1"/>
  <c r="E92" i="7"/>
  <c r="E83" i="7"/>
  <c r="F83" i="7"/>
  <c r="I80" i="7"/>
  <c r="G57" i="2" s="1"/>
  <c r="H89" i="7"/>
  <c r="J83" i="7"/>
  <c r="L30" i="4"/>
  <c r="J65" i="8" a="1"/>
  <c r="J65" i="8" s="1"/>
  <c r="J63" i="8" a="1"/>
  <c r="J63" i="8" s="1"/>
  <c r="J64" i="8" a="1"/>
  <c r="J64" i="8" s="1"/>
  <c r="J66" i="8" a="1"/>
  <c r="J66" i="8" s="1"/>
  <c r="J61" i="8" a="1"/>
  <c r="J61" i="8" s="1"/>
  <c r="J62" i="8" a="1"/>
  <c r="J62" i="8" s="1"/>
  <c r="K10" i="5" a="1"/>
  <c r="K10" i="5" s="1"/>
  <c r="Q10" i="5" a="1"/>
  <c r="Q10" i="5" s="1"/>
  <c r="N55" i="7" a="1"/>
  <c r="N55" i="7" s="1"/>
  <c r="S55" i="7" s="1"/>
  <c r="T55" i="7" s="1"/>
  <c r="H92" i="7"/>
  <c r="I51" i="8"/>
  <c r="K51" i="8" s="1"/>
  <c r="I53" i="8"/>
  <c r="K53" i="8" s="1"/>
  <c r="I54" i="8"/>
  <c r="K54" i="8" s="1"/>
  <c r="I50" i="8"/>
  <c r="K50" i="8" s="1"/>
  <c r="I52" i="8"/>
  <c r="K52" i="8" s="1"/>
  <c r="I49" i="8"/>
  <c r="F21" i="3" a="1"/>
  <c r="F21" i="3" s="1"/>
  <c r="E21" i="3" a="1"/>
  <c r="E21" i="3" s="1"/>
  <c r="N30" i="7" a="1"/>
  <c r="N30" i="7" s="1"/>
  <c r="S30" i="7" s="1"/>
  <c r="R53" i="7" a="1"/>
  <c r="R53" i="7" s="1"/>
  <c r="M61" i="2"/>
  <c r="E30" i="12"/>
  <c r="R56" i="7" a="1"/>
  <c r="R56" i="7" s="1"/>
  <c r="N69" i="7" a="1"/>
  <c r="N69" i="7" s="1"/>
  <c r="S69" i="7" s="1"/>
  <c r="T69" i="7" s="1"/>
  <c r="B101" i="8"/>
  <c r="D100" i="8" a="1"/>
  <c r="D100" i="8" s="1"/>
  <c r="L9" i="5" a="1"/>
  <c r="L9" i="5" s="1"/>
  <c r="N54" i="7" a="1"/>
  <c r="N54" i="7" s="1"/>
  <c r="S54" i="7" s="1"/>
  <c r="T54" i="7" s="1"/>
  <c r="N52" i="7" a="1"/>
  <c r="N52" i="7" s="1"/>
  <c r="S52" i="7" s="1"/>
  <c r="J10" i="5" a="1"/>
  <c r="J10" i="5" s="1"/>
  <c r="I10" i="5" a="1"/>
  <c r="I10" i="5" s="1"/>
  <c r="P10" i="5" a="1"/>
  <c r="P10" i="5" s="1"/>
  <c r="D34" i="12"/>
  <c r="F34" i="12" s="1"/>
  <c r="H34" i="12" s="1"/>
  <c r="D30" i="12"/>
  <c r="F10" i="5" a="1"/>
  <c r="F10" i="5" s="1"/>
  <c r="S43" i="7"/>
  <c r="K83" i="7" a="1"/>
  <c r="K83" i="7" s="1"/>
  <c r="J60" i="2" s="1"/>
  <c r="E60" i="2"/>
  <c r="G29" i="3"/>
  <c r="G28" i="3" s="1"/>
  <c r="E89" i="7"/>
  <c r="B67" i="6"/>
  <c r="F66" i="6" a="1"/>
  <c r="F66" i="6" s="1"/>
  <c r="G66" i="6" a="1"/>
  <c r="G66" i="6" s="1"/>
  <c r="J66" i="6"/>
  <c r="E66" i="6"/>
  <c r="D66" i="6"/>
  <c r="C66" i="6" a="1"/>
  <c r="C66" i="6" s="1"/>
  <c r="R68" i="7" a="1"/>
  <c r="R68" i="7" s="1"/>
  <c r="N32" i="7" a="1"/>
  <c r="N32" i="7" s="1"/>
  <c r="S32" i="7" s="1"/>
  <c r="H8" i="2" a="1"/>
  <c r="H8" i="2" s="1"/>
  <c r="G42" i="3" a="1"/>
  <c r="G42" i="3" s="1"/>
  <c r="F29" i="3"/>
  <c r="F23" i="3"/>
  <c r="E59" i="2"/>
  <c r="E82" i="7"/>
  <c r="G11" i="3"/>
  <c r="N68" i="7" a="1"/>
  <c r="N68" i="7" s="1"/>
  <c r="S68" i="7" s="1"/>
  <c r="I30" i="4" a="1"/>
  <c r="I30" i="4" s="1"/>
  <c r="H38" i="3"/>
  <c r="I4" i="3"/>
  <c r="H8" i="3"/>
  <c r="H17" i="3" a="1"/>
  <c r="H17" i="3" s="1"/>
  <c r="H10" i="3"/>
  <c r="H26" i="3" a="1"/>
  <c r="H26" i="3" s="1"/>
  <c r="H30" i="3" a="1"/>
  <c r="H30" i="3" s="1"/>
  <c r="H24" i="3"/>
  <c r="H35" i="3"/>
  <c r="H12" i="3"/>
  <c r="H36" i="3"/>
  <c r="H7" i="3"/>
  <c r="H14" i="3"/>
  <c r="H31" i="3"/>
  <c r="H27" i="3"/>
  <c r="H39" i="3"/>
  <c r="H18" i="3" a="1"/>
  <c r="H18" i="3" s="1"/>
  <c r="H6" i="3"/>
  <c r="H13" i="3"/>
  <c r="H25" i="3"/>
  <c r="H9" i="3"/>
  <c r="H37" i="3"/>
  <c r="D21" i="3" a="1"/>
  <c r="D21" i="3" s="1"/>
  <c r="J27" i="8" a="1"/>
  <c r="J27" i="8" s="1"/>
  <c r="J30" i="8" a="1"/>
  <c r="J30" i="8" s="1"/>
  <c r="J28" i="8" a="1"/>
  <c r="J28" i="8" s="1"/>
  <c r="J25" i="8" a="1"/>
  <c r="J25" i="8" s="1"/>
  <c r="J26" i="8" a="1"/>
  <c r="J26" i="8" s="1"/>
  <c r="J29" i="8" a="1"/>
  <c r="J29" i="8" s="1"/>
  <c r="H91" i="7"/>
  <c r="D32" i="5"/>
  <c r="C32" i="5"/>
  <c r="E32" i="5" s="1"/>
  <c r="F32" i="5"/>
  <c r="H32" i="5" s="1"/>
  <c r="B33" i="5"/>
  <c r="G32" i="5"/>
  <c r="H94" i="7"/>
  <c r="H31" i="5"/>
  <c r="I31" i="5" s="1" a="1"/>
  <c r="I31" i="5" s="1"/>
  <c r="H30" i="4" a="1"/>
  <c r="H30" i="4" s="1"/>
  <c r="K27" i="4" s="1"/>
  <c r="I63" i="8"/>
  <c r="I62" i="8"/>
  <c r="I65" i="8"/>
  <c r="I64" i="8"/>
  <c r="I61" i="8"/>
  <c r="I66" i="8"/>
  <c r="G40" i="3" a="1"/>
  <c r="G40" i="3" s="1"/>
  <c r="G45" i="3" a="1"/>
  <c r="G45" i="3" s="1"/>
  <c r="E31" i="5"/>
  <c r="J82" i="7" l="1"/>
  <c r="K82" i="7" s="1" a="1"/>
  <c r="K82" i="7" s="1"/>
  <c r="J59" i="2" s="1"/>
  <c r="H19" i="3"/>
  <c r="H23" i="3" s="1"/>
  <c r="K26" i="4"/>
  <c r="I84" i="7"/>
  <c r="G83" i="7"/>
  <c r="F30" i="12"/>
  <c r="H30" i="12" s="1"/>
  <c r="H80" i="7"/>
  <c r="G82" i="7"/>
  <c r="T68" i="7"/>
  <c r="T56" i="7"/>
  <c r="H81" i="7"/>
  <c r="K66" i="8"/>
  <c r="C104" i="7"/>
  <c r="K61" i="8"/>
  <c r="K74" i="8"/>
  <c r="H43" i="3" a="1"/>
  <c r="H43" i="3" s="1"/>
  <c r="K62" i="8"/>
  <c r="H42" i="3" a="1"/>
  <c r="H42" i="3" s="1"/>
  <c r="T53" i="7"/>
  <c r="I27" i="3"/>
  <c r="I25" i="3"/>
  <c r="J4" i="3"/>
  <c r="I12" i="3"/>
  <c r="I10" i="3"/>
  <c r="I35" i="3"/>
  <c r="I38" i="3"/>
  <c r="I8" i="3"/>
  <c r="I26" i="3" a="1"/>
  <c r="I26" i="3" s="1"/>
  <c r="I24" i="3"/>
  <c r="I30" i="3" a="1"/>
  <c r="I30" i="3" s="1"/>
  <c r="I39" i="3"/>
  <c r="I18" i="3" a="1"/>
  <c r="I18" i="3" s="1"/>
  <c r="I31" i="3"/>
  <c r="I36" i="3"/>
  <c r="I7" i="3"/>
  <c r="I14" i="3"/>
  <c r="I37" i="3"/>
  <c r="I17" i="3" a="1"/>
  <c r="I17" i="3" s="1"/>
  <c r="I9" i="3"/>
  <c r="I13" i="3"/>
  <c r="I6" i="3"/>
  <c r="B102" i="8"/>
  <c r="D101" i="8" a="1"/>
  <c r="D101" i="8" s="1"/>
  <c r="K49" i="8"/>
  <c r="E73" i="8" s="1"/>
  <c r="K73" i="8"/>
  <c r="J28" i="4"/>
  <c r="K29" i="4"/>
  <c r="J26" i="4"/>
  <c r="J27" i="4"/>
  <c r="M27" i="4" s="1"/>
  <c r="O27" i="4" s="1"/>
  <c r="J29" i="4"/>
  <c r="K28" i="4"/>
  <c r="H29" i="3"/>
  <c r="H28" i="3" s="1"/>
  <c r="H11" i="3"/>
  <c r="H15" i="3" s="1"/>
  <c r="F28" i="3"/>
  <c r="F44" i="3" a="1"/>
  <c r="F44" i="3" s="1"/>
  <c r="I60" i="2"/>
  <c r="H82" i="7"/>
  <c r="F67" i="6" a="1"/>
  <c r="F67" i="6" s="1"/>
  <c r="D67" i="6"/>
  <c r="B68" i="6"/>
  <c r="C67" i="6" a="1"/>
  <c r="C67" i="6" s="1"/>
  <c r="J67" i="6"/>
  <c r="G67" i="6" a="1"/>
  <c r="G67" i="6" s="1"/>
  <c r="E67" i="6"/>
  <c r="G44" i="3" a="1"/>
  <c r="G44" i="3" s="1"/>
  <c r="T52" i="7"/>
  <c r="K65" i="8"/>
  <c r="H83" i="7"/>
  <c r="L83" i="7" s="1"/>
  <c r="G61" i="2"/>
  <c r="O84" i="7"/>
  <c r="C91" i="2" s="1"/>
  <c r="H45" i="3" a="1"/>
  <c r="H45" i="3" s="1"/>
  <c r="K63" i="8"/>
  <c r="I32" i="5" a="1"/>
  <c r="I32" i="5" s="1"/>
  <c r="F32" i="3"/>
  <c r="F33" i="3" s="1" a="1"/>
  <c r="F33" i="3" s="1"/>
  <c r="K64" i="8"/>
  <c r="D33" i="5"/>
  <c r="C33" i="5"/>
  <c r="E33" i="5" s="1"/>
  <c r="F33" i="5"/>
  <c r="B34" i="5"/>
  <c r="G33" i="5"/>
  <c r="H41" i="3" a="1"/>
  <c r="H41" i="3" s="1"/>
  <c r="G15" i="3"/>
  <c r="N5" i="2"/>
  <c r="L10" i="5" a="1"/>
  <c r="L10" i="5" s="1"/>
  <c r="I59" i="2" l="1"/>
  <c r="K30" i="4"/>
  <c r="M29" i="4"/>
  <c r="O29" i="4" s="1"/>
  <c r="H44" i="3" a="1"/>
  <c r="H44" i="3" s="1"/>
  <c r="I11" i="3"/>
  <c r="I15" i="3" s="1"/>
  <c r="I20" i="3" s="1"/>
  <c r="I21" i="3" s="1" a="1"/>
  <c r="I21" i="3" s="1"/>
  <c r="I19" i="3"/>
  <c r="I42" i="3" a="1"/>
  <c r="I42" i="3" s="1"/>
  <c r="H84" i="7"/>
  <c r="O83" i="7" s="1"/>
  <c r="C90" i="2" s="1"/>
  <c r="O59" i="2"/>
  <c r="F73" i="8"/>
  <c r="H20" i="3"/>
  <c r="H32" i="3" s="1"/>
  <c r="H33" i="3" s="1" a="1"/>
  <c r="H33" i="3" s="1"/>
  <c r="L82" i="7"/>
  <c r="G20" i="3"/>
  <c r="G32" i="3" s="1"/>
  <c r="G33" i="3" s="1" a="1"/>
  <c r="G33" i="3" s="1"/>
  <c r="E112" i="7"/>
  <c r="J68" i="6"/>
  <c r="D68" i="6"/>
  <c r="G68" i="6" a="1"/>
  <c r="G68" i="6" s="1"/>
  <c r="F68" i="6" a="1"/>
  <c r="F68" i="6" s="1"/>
  <c r="B69" i="6"/>
  <c r="C68" i="6" a="1"/>
  <c r="C68" i="6" s="1"/>
  <c r="E68" i="6"/>
  <c r="I43" i="3" a="1"/>
  <c r="I43" i="3" s="1"/>
  <c r="I41" i="3" a="1"/>
  <c r="I41" i="3" s="1"/>
  <c r="I40" i="3" a="1"/>
  <c r="I40" i="3" s="1"/>
  <c r="I45" i="3" a="1"/>
  <c r="I45" i="3" s="1"/>
  <c r="N6" i="2"/>
  <c r="B13" i="2"/>
  <c r="H33" i="5"/>
  <c r="I33" i="5" s="1" a="1"/>
  <c r="I33" i="5" s="1"/>
  <c r="B103" i="8"/>
  <c r="D102" i="8" a="1"/>
  <c r="D102" i="8" s="1"/>
  <c r="E74" i="8"/>
  <c r="H40" i="3" a="1"/>
  <c r="H40" i="3" s="1"/>
  <c r="M28" i="4"/>
  <c r="O28" i="4" s="1"/>
  <c r="F34" i="5"/>
  <c r="H34" i="5" s="1"/>
  <c r="D34" i="5"/>
  <c r="C34" i="5"/>
  <c r="E34" i="5" s="1"/>
  <c r="B35" i="5"/>
  <c r="G34" i="5"/>
  <c r="J27" i="3"/>
  <c r="J6" i="3"/>
  <c r="J38" i="3"/>
  <c r="J30" i="3" a="1"/>
  <c r="J30" i="3" s="1"/>
  <c r="J35" i="3"/>
  <c r="J8" i="3"/>
  <c r="K4" i="3"/>
  <c r="J10" i="3"/>
  <c r="J26" i="3" a="1"/>
  <c r="J26" i="3" s="1"/>
  <c r="J24" i="3"/>
  <c r="J14" i="3"/>
  <c r="J39" i="3"/>
  <c r="J36" i="3"/>
  <c r="J31" i="3"/>
  <c r="J18" i="3" a="1"/>
  <c r="J18" i="3" s="1"/>
  <c r="J7" i="3"/>
  <c r="J37" i="3"/>
  <c r="J25" i="3"/>
  <c r="J17" i="3" a="1"/>
  <c r="J17" i="3" s="1"/>
  <c r="J19" i="3" s="1"/>
  <c r="J23" i="3" s="1"/>
  <c r="J13" i="3"/>
  <c r="J12" i="3"/>
  <c r="J9" i="3"/>
  <c r="J30" i="4"/>
  <c r="M30" i="4" s="1"/>
  <c r="O30" i="4" s="1"/>
  <c r="M26" i="4"/>
  <c r="O26" i="4" s="1"/>
  <c r="I23" i="3" l="1"/>
  <c r="I29" i="3"/>
  <c r="J43" i="3" a="1"/>
  <c r="J43" i="3" s="1"/>
  <c r="O60" i="2"/>
  <c r="F74" i="8"/>
  <c r="H21" i="3" a="1"/>
  <c r="H21" i="3" s="1"/>
  <c r="J45" i="3" a="1"/>
  <c r="J45" i="3" s="1"/>
  <c r="J42" i="3" a="1"/>
  <c r="J42" i="3" s="1"/>
  <c r="H73" i="8" a="1"/>
  <c r="H73" i="8" s="1"/>
  <c r="S59" i="2" s="1"/>
  <c r="J73" i="8"/>
  <c r="Q59" i="2"/>
  <c r="K14" i="3"/>
  <c r="K12" i="3"/>
  <c r="K10" i="3"/>
  <c r="K8" i="3"/>
  <c r="K6" i="3"/>
  <c r="K27" i="3"/>
  <c r="K38" i="3"/>
  <c r="K36" i="3"/>
  <c r="K41" i="3" s="1" a="1"/>
  <c r="K41" i="3" s="1"/>
  <c r="K26" i="3" a="1"/>
  <c r="K26" i="3" s="1"/>
  <c r="K24" i="3"/>
  <c r="L4" i="3"/>
  <c r="K30" i="3" a="1"/>
  <c r="K30" i="3" s="1"/>
  <c r="K7" i="3"/>
  <c r="K35" i="3"/>
  <c r="K31" i="3"/>
  <c r="K39" i="3"/>
  <c r="K18" i="3" a="1"/>
  <c r="K18" i="3" s="1"/>
  <c r="K25" i="3"/>
  <c r="K37" i="3"/>
  <c r="K17" i="3" a="1"/>
  <c r="K17" i="3" s="1"/>
  <c r="K13" i="3"/>
  <c r="K9" i="3"/>
  <c r="I34" i="5" a="1"/>
  <c r="I34" i="5" s="1"/>
  <c r="D35" i="5"/>
  <c r="C35" i="5"/>
  <c r="E35" i="5" s="1"/>
  <c r="F35" i="5"/>
  <c r="H35" i="5" s="1"/>
  <c r="B36" i="5"/>
  <c r="G35" i="5"/>
  <c r="D103" i="8" a="1"/>
  <c r="D103" i="8" s="1"/>
  <c r="B104" i="8"/>
  <c r="L73" i="8" a="1"/>
  <c r="L73" i="8" s="1"/>
  <c r="E26" i="12" a="1"/>
  <c r="E26" i="12" s="1"/>
  <c r="F26" i="12" s="1"/>
  <c r="H26" i="12" s="1"/>
  <c r="J11" i="3"/>
  <c r="J29" i="3"/>
  <c r="J28" i="3" s="1"/>
  <c r="J41" i="3" a="1"/>
  <c r="J41" i="3" s="1"/>
  <c r="G21" i="3" a="1"/>
  <c r="G21" i="3" s="1"/>
  <c r="D69" i="6"/>
  <c r="F69" i="6" a="1"/>
  <c r="F69" i="6" s="1"/>
  <c r="C69" i="6" a="1"/>
  <c r="C69" i="6" s="1"/>
  <c r="J69" i="6"/>
  <c r="G69" i="6" a="1"/>
  <c r="G69" i="6" s="1"/>
  <c r="E69" i="6"/>
  <c r="B70" i="6"/>
  <c r="I28" i="3" l="1"/>
  <c r="I44" i="3" a="1"/>
  <c r="I44" i="3" s="1"/>
  <c r="I32" i="3"/>
  <c r="I33" i="3" s="1" a="1"/>
  <c r="I33" i="3" s="1"/>
  <c r="J15" i="3"/>
  <c r="D104" i="8" a="1"/>
  <c r="D104" i="8" s="1"/>
  <c r="B105" i="8"/>
  <c r="D70" i="6"/>
  <c r="C70" i="6" a="1"/>
  <c r="C70" i="6" s="1"/>
  <c r="B71" i="6"/>
  <c r="E70" i="6"/>
  <c r="J70" i="6"/>
  <c r="G70" i="6" a="1"/>
  <c r="G70" i="6" s="1"/>
  <c r="F70" i="6" a="1"/>
  <c r="F70" i="6" s="1"/>
  <c r="K45" i="3" a="1"/>
  <c r="K45" i="3" s="1"/>
  <c r="J40" i="3" a="1"/>
  <c r="J40" i="3" s="1"/>
  <c r="D36" i="5"/>
  <c r="C36" i="5"/>
  <c r="G36" i="5"/>
  <c r="F36" i="5"/>
  <c r="H36" i="5" s="1"/>
  <c r="B37" i="5"/>
  <c r="I35" i="5" a="1"/>
  <c r="I35" i="5" s="1"/>
  <c r="H74" i="8" a="1"/>
  <c r="H74" i="8" s="1"/>
  <c r="S60" i="2" s="1"/>
  <c r="J74" i="8"/>
  <c r="Q60" i="2"/>
  <c r="L74" i="8" a="1"/>
  <c r="L74" i="8" s="1"/>
  <c r="K19" i="3"/>
  <c r="L18" i="3" a="1"/>
  <c r="L18" i="3" s="1"/>
  <c r="L14" i="3"/>
  <c r="L12" i="3"/>
  <c r="L10" i="3"/>
  <c r="L6" i="3"/>
  <c r="L8" i="3"/>
  <c r="L38" i="3"/>
  <c r="L24" i="3"/>
  <c r="L25" i="3"/>
  <c r="L35" i="3"/>
  <c r="L31" i="3"/>
  <c r="L39" i="3"/>
  <c r="L26" i="3" a="1"/>
  <c r="L26" i="3" s="1"/>
  <c r="L36" i="3"/>
  <c r="L27" i="3"/>
  <c r="L30" i="3" a="1"/>
  <c r="L30" i="3" s="1"/>
  <c r="L7" i="3"/>
  <c r="L13" i="3"/>
  <c r="L37" i="3"/>
  <c r="L17" i="3" a="1"/>
  <c r="L17" i="3" s="1"/>
  <c r="M4" i="3"/>
  <c r="L9" i="3"/>
  <c r="K11" i="3"/>
  <c r="K15" i="3" s="1"/>
  <c r="K42" i="3" a="1"/>
  <c r="K42" i="3" s="1"/>
  <c r="J44" i="3" a="1"/>
  <c r="J44" i="3" s="1"/>
  <c r="L42" i="3" l="1" a="1"/>
  <c r="L42" i="3" s="1"/>
  <c r="L19" i="3"/>
  <c r="L29" i="3" s="1"/>
  <c r="L44" i="3" s="1" a="1"/>
  <c r="L44" i="3" s="1"/>
  <c r="K29" i="3"/>
  <c r="K23" i="3"/>
  <c r="D37" i="5"/>
  <c r="C37" i="5"/>
  <c r="G37" i="5"/>
  <c r="F37" i="5"/>
  <c r="H37" i="5" s="1"/>
  <c r="M24" i="3"/>
  <c r="M14" i="3"/>
  <c r="M12" i="3"/>
  <c r="M8" i="3"/>
  <c r="M6" i="3"/>
  <c r="M10" i="3"/>
  <c r="M36" i="3"/>
  <c r="M41" i="3" s="1" a="1"/>
  <c r="M41" i="3" s="1"/>
  <c r="M38" i="3"/>
  <c r="M25" i="3"/>
  <c r="M17" i="3" a="1"/>
  <c r="M17" i="3" s="1"/>
  <c r="M7" i="3"/>
  <c r="M30" i="3" a="1"/>
  <c r="M30" i="3" s="1"/>
  <c r="M35" i="3"/>
  <c r="M26" i="3" a="1"/>
  <c r="M26" i="3" s="1"/>
  <c r="M31" i="3"/>
  <c r="M18" i="3" a="1"/>
  <c r="M18" i="3" s="1"/>
  <c r="M27" i="3"/>
  <c r="M39" i="3"/>
  <c r="M37" i="3"/>
  <c r="M42" i="3" s="1" a="1"/>
  <c r="M42" i="3" s="1"/>
  <c r="N4" i="3"/>
  <c r="M13" i="3"/>
  <c r="M9" i="3"/>
  <c r="L23" i="3"/>
  <c r="I36" i="5" a="1"/>
  <c r="I36" i="5" s="1"/>
  <c r="K40" i="3" a="1"/>
  <c r="K40" i="3" s="1"/>
  <c r="L41" i="3" a="1"/>
  <c r="L41" i="3" s="1"/>
  <c r="L45" i="3" a="1"/>
  <c r="L45" i="3" s="1"/>
  <c r="D71" i="6"/>
  <c r="F71" i="6" a="1"/>
  <c r="F71" i="6" s="1"/>
  <c r="B72" i="6"/>
  <c r="C71" i="6" a="1"/>
  <c r="C71" i="6" s="1"/>
  <c r="E71" i="6"/>
  <c r="J71" i="6"/>
  <c r="G71" i="6" a="1"/>
  <c r="G71" i="6" s="1"/>
  <c r="L43" i="3" a="1"/>
  <c r="L43" i="3" s="1"/>
  <c r="K43" i="3" a="1"/>
  <c r="K43" i="3" s="1"/>
  <c r="E36" i="5"/>
  <c r="K20" i="3"/>
  <c r="K32" i="3" s="1"/>
  <c r="K33" i="3" a="1"/>
  <c r="K33" i="3" s="1"/>
  <c r="L11" i="3"/>
  <c r="L15" i="3" s="1"/>
  <c r="D105" i="8" a="1"/>
  <c r="D105" i="8" s="1"/>
  <c r="B106" i="8"/>
  <c r="J20" i="3"/>
  <c r="J32" i="3" s="1"/>
  <c r="J33" i="3" a="1"/>
  <c r="J33" i="3" s="1"/>
  <c r="L28" i="3" l="1"/>
  <c r="M19" i="3"/>
  <c r="M11" i="3"/>
  <c r="M15" i="3" s="1"/>
  <c r="I37" i="5" a="1"/>
  <c r="I37" i="5" s="1"/>
  <c r="E21" i="12" s="1" a="1"/>
  <c r="E21" i="12" s="1"/>
  <c r="F21" i="12" s="1"/>
  <c r="H21" i="12" s="1"/>
  <c r="L20" i="3"/>
  <c r="L32" i="3" s="1"/>
  <c r="L33" i="3" s="1" a="1"/>
  <c r="L33" i="3" s="1"/>
  <c r="E37" i="5"/>
  <c r="E20" i="12" s="1" a="1"/>
  <c r="E20" i="12" s="1"/>
  <c r="F20" i="12" s="1"/>
  <c r="H20" i="12" s="1"/>
  <c r="N24" i="3"/>
  <c r="N17" i="3" a="1"/>
  <c r="N17" i="3" s="1"/>
  <c r="N27" i="3"/>
  <c r="N36" i="3"/>
  <c r="N13" i="3"/>
  <c r="N6" i="3"/>
  <c r="N8" i="3"/>
  <c r="N10" i="3"/>
  <c r="N38" i="3"/>
  <c r="N37" i="3"/>
  <c r="N42" i="3" s="1" a="1"/>
  <c r="N42" i="3" s="1"/>
  <c r="N12" i="3"/>
  <c r="N9" i="3"/>
  <c r="N14" i="3"/>
  <c r="N7" i="3"/>
  <c r="N25" i="3"/>
  <c r="N30" i="3" a="1"/>
  <c r="N30" i="3" s="1"/>
  <c r="N39" i="3"/>
  <c r="N26" i="3" a="1"/>
  <c r="N26" i="3" s="1"/>
  <c r="N35" i="3"/>
  <c r="N31" i="3"/>
  <c r="N18" i="3" a="1"/>
  <c r="N18" i="3" s="1"/>
  <c r="O4" i="3"/>
  <c r="J21" i="3" a="1"/>
  <c r="J21" i="3" s="1"/>
  <c r="B107" i="8"/>
  <c r="D106" i="8" a="1"/>
  <c r="D106" i="8" s="1"/>
  <c r="M43" i="3" a="1"/>
  <c r="M43" i="3" s="1"/>
  <c r="F72" i="6" a="1"/>
  <c r="F72" i="6" s="1"/>
  <c r="C72" i="6" a="1"/>
  <c r="C72" i="6" s="1"/>
  <c r="D72" i="6"/>
  <c r="B73" i="6"/>
  <c r="E72" i="6"/>
  <c r="J72" i="6"/>
  <c r="G72" i="6" a="1"/>
  <c r="G72" i="6" s="1"/>
  <c r="M45" i="3" a="1"/>
  <c r="M45" i="3" s="1"/>
  <c r="M40" i="3" a="1"/>
  <c r="M40" i="3" s="1"/>
  <c r="K21" i="3" a="1"/>
  <c r="K21" i="3" s="1"/>
  <c r="L40" i="3" a="1"/>
  <c r="L40" i="3" s="1"/>
  <c r="K28" i="3"/>
  <c r="K44" i="3" a="1"/>
  <c r="K44" i="3" s="1"/>
  <c r="N41" i="3" l="1" a="1"/>
  <c r="N41" i="3" s="1"/>
  <c r="N45" i="3" a="1"/>
  <c r="N45" i="3" s="1"/>
  <c r="N40" i="3" a="1"/>
  <c r="N40" i="3" s="1"/>
  <c r="N11" i="3"/>
  <c r="N15" i="3" s="1"/>
  <c r="O39" i="3"/>
  <c r="Q39" i="3" s="1"/>
  <c r="R39" i="3" s="1" a="1"/>
  <c r="R39" i="3" s="1"/>
  <c r="O37" i="3"/>
  <c r="O35" i="3"/>
  <c r="P35" i="3" s="1"/>
  <c r="O26" i="3" a="1"/>
  <c r="O26" i="3" s="1"/>
  <c r="Q26" i="3" s="1"/>
  <c r="R26" i="3" s="1" a="1"/>
  <c r="R26" i="3" s="1"/>
  <c r="O24" i="3"/>
  <c r="P24" i="3" s="1"/>
  <c r="O31" i="3"/>
  <c r="Q31" i="3" s="1"/>
  <c r="R31" i="3" s="1" a="1"/>
  <c r="R31" i="3" s="1"/>
  <c r="O25" i="3"/>
  <c r="Q25" i="3" s="1"/>
  <c r="R25" i="3" s="1" a="1"/>
  <c r="R25" i="3" s="1"/>
  <c r="O18" i="3" a="1"/>
  <c r="O18" i="3" s="1"/>
  <c r="P18" i="3" s="1"/>
  <c r="O36" i="3"/>
  <c r="P36" i="3" s="1"/>
  <c r="O13" i="3"/>
  <c r="Q13" i="3" s="1"/>
  <c r="R13" i="3" s="1" a="1"/>
  <c r="R13" i="3" s="1"/>
  <c r="O6" i="3"/>
  <c r="Q6" i="3" s="1"/>
  <c r="R6" i="3" s="1" a="1"/>
  <c r="R6" i="3" s="1"/>
  <c r="O8" i="3"/>
  <c r="Q8" i="3" s="1"/>
  <c r="R8" i="3" s="1" a="1"/>
  <c r="R8" i="3" s="1"/>
  <c r="O38" i="3"/>
  <c r="O10" i="3"/>
  <c r="P10" i="3" s="1"/>
  <c r="O12" i="3"/>
  <c r="Q12" i="3" s="1"/>
  <c r="R12" i="3" s="1" a="1"/>
  <c r="R12" i="3" s="1"/>
  <c r="O9" i="3"/>
  <c r="P9" i="3" s="1"/>
  <c r="O17" i="3" a="1"/>
  <c r="O17" i="3" s="1"/>
  <c r="O19" i="3" s="1"/>
  <c r="Q19" i="3" s="1"/>
  <c r="R19" i="3" s="1" a="1"/>
  <c r="R19" i="3" s="1"/>
  <c r="O27" i="3"/>
  <c r="P27" i="3" s="1"/>
  <c r="O30" i="3" a="1"/>
  <c r="O30" i="3" s="1"/>
  <c r="P30" i="3" s="1"/>
  <c r="O14" i="3"/>
  <c r="P14" i="3" s="1"/>
  <c r="O7" i="3"/>
  <c r="P7" i="3" s="1"/>
  <c r="P39" i="3"/>
  <c r="P13" i="3"/>
  <c r="Q36" i="3"/>
  <c r="R36" i="3" s="1" a="1"/>
  <c r="R36" i="3" s="1"/>
  <c r="E19" i="12" a="1"/>
  <c r="E19" i="12" s="1"/>
  <c r="F19" i="12" s="1"/>
  <c r="H19" i="12" s="1"/>
  <c r="Q24" i="3"/>
  <c r="R24" i="3" s="1" a="1"/>
  <c r="R24" i="3" s="1"/>
  <c r="R10" i="3" a="1"/>
  <c r="R10" i="3" s="1"/>
  <c r="N19" i="3"/>
  <c r="N43" i="3" a="1"/>
  <c r="N43" i="3" s="1"/>
  <c r="L21" i="3" a="1"/>
  <c r="L21" i="3" s="1"/>
  <c r="B108" i="8"/>
  <c r="D107" i="8" a="1"/>
  <c r="D107" i="8" s="1"/>
  <c r="M20" i="3"/>
  <c r="M21" i="3" s="1" a="1"/>
  <c r="M21" i="3" s="1"/>
  <c r="G73" i="6" a="1"/>
  <c r="G73" i="6" s="1"/>
  <c r="B74" i="6"/>
  <c r="D73" i="6"/>
  <c r="F73" i="6" a="1"/>
  <c r="F73" i="6" s="1"/>
  <c r="C73" i="6" a="1"/>
  <c r="C73" i="6" s="1"/>
  <c r="E73" i="6"/>
  <c r="J73" i="6"/>
  <c r="M29" i="3"/>
  <c r="M23" i="3"/>
  <c r="P6" i="3" l="1"/>
  <c r="Q27" i="3"/>
  <c r="R27" i="3" s="1" a="1"/>
  <c r="R27" i="3" s="1"/>
  <c r="Q14" i="3"/>
  <c r="R14" i="3" s="1" a="1"/>
  <c r="R14" i="3" s="1"/>
  <c r="P31" i="3"/>
  <c r="P8" i="3"/>
  <c r="Q10" i="3"/>
  <c r="P25" i="3"/>
  <c r="P26" i="3"/>
  <c r="M28" i="3"/>
  <c r="M44" i="3" a="1"/>
  <c r="M44" i="3" s="1"/>
  <c r="O11" i="3"/>
  <c r="P19" i="3"/>
  <c r="O43" i="3" a="1"/>
  <c r="O43" i="3" s="1"/>
  <c r="D108" i="8" a="1"/>
  <c r="D108" i="8" s="1"/>
  <c r="B109" i="8"/>
  <c r="Q30" i="3"/>
  <c r="R30" i="3" s="1" a="1"/>
  <c r="R30" i="3" s="1"/>
  <c r="O29" i="3"/>
  <c r="O44" i="3" s="1" a="1"/>
  <c r="O44" i="3" s="1"/>
  <c r="Q9" i="3"/>
  <c r="R9" i="3" s="1" a="1"/>
  <c r="R9" i="3" s="1"/>
  <c r="O41" i="3" a="1"/>
  <c r="O41" i="3" s="1"/>
  <c r="Q38" i="3"/>
  <c r="R38" i="3" s="1" a="1"/>
  <c r="R38" i="3" s="1"/>
  <c r="Q17" i="3"/>
  <c r="R17" i="3" s="1" a="1"/>
  <c r="R17" i="3" s="1"/>
  <c r="O45" i="3" a="1"/>
  <c r="O45" i="3" s="1"/>
  <c r="O40" i="3" a="1"/>
  <c r="O40" i="3" s="1"/>
  <c r="O42" i="3" a="1"/>
  <c r="O42" i="3" s="1"/>
  <c r="Q18" i="3"/>
  <c r="R18" i="3" s="1" a="1"/>
  <c r="R18" i="3" s="1"/>
  <c r="Q7" i="3"/>
  <c r="R7" i="3" s="1" a="1"/>
  <c r="R7" i="3" s="1"/>
  <c r="N29" i="3"/>
  <c r="N23" i="3"/>
  <c r="P17" i="3"/>
  <c r="Q37" i="3"/>
  <c r="R37" i="3" s="1" a="1"/>
  <c r="R37" i="3" s="1"/>
  <c r="Q35" i="3"/>
  <c r="R35" i="3" s="1" a="1"/>
  <c r="R35" i="3" s="1"/>
  <c r="N20" i="3"/>
  <c r="N21" i="3" s="1" a="1"/>
  <c r="N21" i="3" s="1"/>
  <c r="P37" i="3"/>
  <c r="G74" i="6" a="1"/>
  <c r="G74" i="6" s="1"/>
  <c r="C74" i="6" a="1"/>
  <c r="C74" i="6" s="1"/>
  <c r="E74" i="6"/>
  <c r="B75" i="6"/>
  <c r="J74" i="6"/>
  <c r="D74" i="6"/>
  <c r="F74" i="6" a="1"/>
  <c r="F74" i="6" s="1"/>
  <c r="P38" i="3"/>
  <c r="O23" i="3"/>
  <c r="M32" i="3"/>
  <c r="M33" i="3" s="1" a="1"/>
  <c r="M33" i="3" s="1"/>
  <c r="P12" i="3"/>
  <c r="P45" i="3" l="1"/>
  <c r="Q45" i="3"/>
  <c r="N32" i="3"/>
  <c r="Q42" i="3"/>
  <c r="R42" i="3" s="1" a="1"/>
  <c r="R42" i="3" s="1"/>
  <c r="P42" i="3"/>
  <c r="O28" i="3"/>
  <c r="P29" i="3"/>
  <c r="Q29" i="3"/>
  <c r="R29" i="3" s="1" a="1"/>
  <c r="R29" i="3" s="1"/>
  <c r="D109" i="8" a="1"/>
  <c r="D109" i="8" s="1"/>
  <c r="B110" i="8"/>
  <c r="P23" i="3"/>
  <c r="Q23" i="3"/>
  <c r="Q43" i="3"/>
  <c r="R43" i="3" s="1" a="1"/>
  <c r="R43" i="3" s="1"/>
  <c r="P43" i="3"/>
  <c r="O15" i="3"/>
  <c r="E17" i="12" a="1"/>
  <c r="E17" i="12" s="1"/>
  <c r="F17" i="12" s="1"/>
  <c r="H17" i="12" s="1"/>
  <c r="P11" i="3"/>
  <c r="Q11" i="3"/>
  <c r="R11" i="3" s="1" a="1"/>
  <c r="R11" i="3" s="1"/>
  <c r="R23" i="3" a="1"/>
  <c r="R23" i="3" s="1"/>
  <c r="P44" i="3"/>
  <c r="Q40" i="3"/>
  <c r="R40" i="3" s="1" a="1"/>
  <c r="R40" i="3" s="1"/>
  <c r="P40" i="3"/>
  <c r="G75" i="6" a="1"/>
  <c r="G75" i="6" s="1"/>
  <c r="F75" i="6" a="1"/>
  <c r="F75" i="6" s="1"/>
  <c r="E75" i="6"/>
  <c r="B76" i="6"/>
  <c r="J75" i="6"/>
  <c r="D75" i="6"/>
  <c r="C75" i="6" a="1"/>
  <c r="C75" i="6" s="1"/>
  <c r="N28" i="3"/>
  <c r="R28" i="3" s="1" a="1"/>
  <c r="R28" i="3" s="1"/>
  <c r="N44" i="3" a="1"/>
  <c r="N44" i="3" s="1"/>
  <c r="Q44" i="3" s="1"/>
  <c r="Q41" i="3"/>
  <c r="R41" i="3" s="1" a="1"/>
  <c r="R41" i="3" s="1"/>
  <c r="P41" i="3"/>
  <c r="J76" i="6" l="1"/>
  <c r="C76" i="6" a="1"/>
  <c r="C76" i="6" s="1"/>
  <c r="G76" i="6" a="1"/>
  <c r="G76" i="6" s="1"/>
  <c r="D76" i="6"/>
  <c r="E76" i="6"/>
  <c r="B77" i="6"/>
  <c r="F76" i="6" a="1"/>
  <c r="F76" i="6" s="1"/>
  <c r="O20" i="3"/>
  <c r="O21" i="3" s="1" a="1"/>
  <c r="O21" i="3" s="1"/>
  <c r="P15" i="3"/>
  <c r="Q15" i="3"/>
  <c r="R15" i="3" s="1" a="1"/>
  <c r="R15" i="3" s="1"/>
  <c r="E18" i="12" a="1"/>
  <c r="E18" i="12" s="1"/>
  <c r="F18" i="12" s="1"/>
  <c r="H18" i="12" s="1"/>
  <c r="R44" i="3" a="1"/>
  <c r="R44" i="3" s="1"/>
  <c r="Q28" i="3"/>
  <c r="P28" i="3"/>
  <c r="N33" i="3" a="1"/>
  <c r="N33" i="3" s="1"/>
  <c r="D110" i="8" a="1"/>
  <c r="D110" i="8" s="1"/>
  <c r="B111" i="8"/>
  <c r="P21" i="3" l="1"/>
  <c r="Q21" i="3"/>
  <c r="O32" i="3"/>
  <c r="Q20" i="3"/>
  <c r="R20" i="3" s="1" a="1"/>
  <c r="R20" i="3" s="1"/>
  <c r="P20" i="3"/>
  <c r="J77" i="6"/>
  <c r="C77" i="6" a="1"/>
  <c r="C77" i="6" s="1"/>
  <c r="G77" i="6" a="1"/>
  <c r="G77" i="6" s="1"/>
  <c r="D77" i="6"/>
  <c r="F77" i="6" a="1"/>
  <c r="F77" i="6" s="1"/>
  <c r="B78" i="6"/>
  <c r="E77" i="6"/>
  <c r="D111" i="8" a="1"/>
  <c r="D111" i="8" s="1"/>
  <c r="B112" i="8"/>
  <c r="D112" i="8" l="1" a="1"/>
  <c r="D112" i="8" s="1"/>
  <c r="B113" i="8"/>
  <c r="Q32" i="3"/>
  <c r="R32" i="3" s="1" a="1"/>
  <c r="R32" i="3" s="1"/>
  <c r="P32" i="3"/>
  <c r="O33" i="3" a="1"/>
  <c r="O33" i="3" s="1"/>
  <c r="G78" i="6" a="1"/>
  <c r="G78" i="6" s="1"/>
  <c r="D78" i="6"/>
  <c r="F78" i="6" a="1"/>
  <c r="F78" i="6" s="1"/>
  <c r="E78" i="6"/>
  <c r="B79" i="6"/>
  <c r="J78" i="6"/>
  <c r="C78" i="6" a="1"/>
  <c r="C78" i="6" s="1"/>
  <c r="G79" i="6" l="1" a="1"/>
  <c r="G79" i="6" s="1"/>
  <c r="F79" i="6" a="1"/>
  <c r="F79" i="6" s="1"/>
  <c r="C79" i="6" a="1"/>
  <c r="C79" i="6" s="1"/>
  <c r="D79" i="6"/>
  <c r="E79" i="6"/>
  <c r="B80" i="6"/>
  <c r="J79" i="6"/>
  <c r="Q5" i="2"/>
  <c r="Q33" i="3"/>
  <c r="P33" i="3"/>
  <c r="D113" i="8" a="1"/>
  <c r="D113" i="8" s="1"/>
  <c r="B114" i="8"/>
  <c r="B115" i="8" l="1"/>
  <c r="D114" i="8" a="1"/>
  <c r="D114" i="8" s="1"/>
  <c r="Q6" i="2"/>
  <c r="B14" i="2" a="1"/>
  <c r="B14" i="2" s="1"/>
  <c r="G80" i="6" a="1"/>
  <c r="G80" i="6" s="1"/>
  <c r="C80" i="6" a="1"/>
  <c r="C80" i="6" s="1"/>
  <c r="D80" i="6"/>
  <c r="F80" i="6" a="1"/>
  <c r="F80" i="6" s="1"/>
  <c r="E80" i="6"/>
  <c r="J80" i="6"/>
  <c r="B81" i="6"/>
  <c r="D115" i="8" l="1" a="1"/>
  <c r="D115" i="8" s="1"/>
  <c r="B116" i="8"/>
  <c r="C81" i="6" a="1"/>
  <c r="C81" i="6" s="1"/>
  <c r="E81" i="6"/>
  <c r="F81" i="6" a="1"/>
  <c r="F81" i="6" s="1"/>
  <c r="D81" i="6"/>
  <c r="B82" i="6"/>
  <c r="J81" i="6"/>
  <c r="G81" i="6" a="1"/>
  <c r="G81" i="6" s="1"/>
  <c r="E82" i="6" l="1"/>
  <c r="G82" i="6" a="1"/>
  <c r="G82" i="6" s="1"/>
  <c r="C82" i="6" a="1"/>
  <c r="C82" i="6" s="1"/>
  <c r="F82" i="6" a="1"/>
  <c r="F82" i="6" s="1"/>
  <c r="J82" i="6"/>
  <c r="B83" i="6"/>
  <c r="D82" i="6"/>
  <c r="D116" i="8" a="1"/>
  <c r="D116" i="8" s="1"/>
  <c r="B117" i="8"/>
  <c r="E83" i="6" l="1"/>
  <c r="D83" i="6"/>
  <c r="C83" i="6" a="1"/>
  <c r="C83" i="6" s="1"/>
  <c r="F83" i="6" a="1"/>
  <c r="F83" i="6" s="1"/>
  <c r="J83" i="6"/>
  <c r="B84" i="6"/>
  <c r="G83" i="6" a="1"/>
  <c r="G83" i="6" s="1"/>
  <c r="D117" i="8" a="1"/>
  <c r="D117" i="8" s="1"/>
  <c r="B118" i="8"/>
  <c r="D118" i="8" l="1" a="1"/>
  <c r="D118" i="8" s="1"/>
  <c r="B119" i="8"/>
  <c r="J84" i="6"/>
  <c r="E84" i="6"/>
  <c r="D84" i="6"/>
  <c r="F84" i="6" a="1"/>
  <c r="F84" i="6" s="1"/>
  <c r="B85" i="6"/>
  <c r="C84" i="6" a="1"/>
  <c r="C84" i="6" s="1"/>
  <c r="G84" i="6" a="1"/>
  <c r="G84" i="6" s="1"/>
  <c r="D119" i="8" l="1" a="1"/>
  <c r="D119" i="8" s="1"/>
  <c r="B120" i="8"/>
  <c r="F85" i="6" a="1"/>
  <c r="F85" i="6" s="1"/>
  <c r="G85" i="6" a="1"/>
  <c r="G85" i="6" s="1"/>
  <c r="J85" i="6"/>
  <c r="E85" i="6"/>
  <c r="D85" i="6"/>
  <c r="B86" i="6"/>
  <c r="C85" i="6" a="1"/>
  <c r="C85" i="6" s="1"/>
  <c r="J86" i="6" l="1"/>
  <c r="F86" i="6" a="1"/>
  <c r="F86" i="6" s="1"/>
  <c r="D86" i="6"/>
  <c r="B87" i="6"/>
  <c r="G86" i="6" a="1"/>
  <c r="G86" i="6" s="1"/>
  <c r="C86" i="6" a="1"/>
  <c r="C86" i="6" s="1"/>
  <c r="E86" i="6"/>
  <c r="D120" i="8" a="1"/>
  <c r="D120" i="8" s="1"/>
  <c r="B121" i="8"/>
  <c r="D121" i="8" l="1" a="1"/>
  <c r="D121" i="8" s="1"/>
  <c r="B122" i="8"/>
  <c r="J87" i="6"/>
  <c r="F87" i="6" a="1"/>
  <c r="F87" i="6" s="1"/>
  <c r="D87" i="6"/>
  <c r="B88" i="6"/>
  <c r="G87" i="6" a="1"/>
  <c r="G87" i="6" s="1"/>
  <c r="C87" i="6" a="1"/>
  <c r="C87" i="6" s="1"/>
  <c r="E87" i="6"/>
  <c r="J88" i="6" l="1"/>
  <c r="F88" i="6" a="1"/>
  <c r="F88" i="6" s="1"/>
  <c r="C88" i="6" a="1"/>
  <c r="C88" i="6" s="1"/>
  <c r="E88" i="6"/>
  <c r="G88" i="6" a="1"/>
  <c r="G88" i="6" s="1"/>
  <c r="D88" i="6"/>
  <c r="B89" i="6"/>
  <c r="D122" i="8" a="1"/>
  <c r="D122" i="8" s="1"/>
  <c r="B123" i="8"/>
  <c r="D123" i="8" l="1" a="1"/>
  <c r="D123" i="8" s="1"/>
  <c r="B124" i="8"/>
  <c r="E89" i="6"/>
  <c r="J89" i="6"/>
  <c r="F89" i="6" a="1"/>
  <c r="F89" i="6" s="1"/>
  <c r="G89" i="6" a="1"/>
  <c r="G89" i="6" s="1"/>
  <c r="D89" i="6"/>
  <c r="B90" i="6"/>
  <c r="C89" i="6" a="1"/>
  <c r="C89" i="6" s="1"/>
  <c r="D124" i="8" l="1" a="1"/>
  <c r="D124" i="8" s="1"/>
  <c r="B125" i="8"/>
  <c r="J90" i="6"/>
  <c r="E90" i="6"/>
  <c r="F90" i="6" a="1"/>
  <c r="F90" i="6" s="1"/>
  <c r="G90" i="6" a="1"/>
  <c r="G90" i="6" s="1"/>
  <c r="D90" i="6"/>
  <c r="B91" i="6"/>
  <c r="C90" i="6" a="1"/>
  <c r="C90" i="6" s="1"/>
  <c r="B92" i="6" l="1"/>
  <c r="J91" i="6"/>
  <c r="E91" i="6"/>
  <c r="F91" i="6" a="1"/>
  <c r="F91" i="6" s="1"/>
  <c r="C91" i="6" a="1"/>
  <c r="C91" i="6" s="1"/>
  <c r="G91" i="6" a="1"/>
  <c r="G91" i="6" s="1"/>
  <c r="D91" i="6"/>
  <c r="B126" i="8"/>
  <c r="D125" i="8" a="1"/>
  <c r="D125" i="8" s="1"/>
  <c r="B127" i="8" l="1"/>
  <c r="D126" i="8" a="1"/>
  <c r="D126" i="8" s="1"/>
  <c r="B93" i="6"/>
  <c r="J92" i="6"/>
  <c r="E92" i="6"/>
  <c r="C92" i="6" a="1"/>
  <c r="C92" i="6" s="1"/>
  <c r="F92" i="6" a="1"/>
  <c r="F92" i="6" s="1"/>
  <c r="D92" i="6"/>
  <c r="G92" i="6" a="1"/>
  <c r="G92" i="6" s="1"/>
  <c r="G93" i="6" l="1" a="1"/>
  <c r="G93" i="6" s="1"/>
  <c r="B94" i="6"/>
  <c r="E93" i="6"/>
  <c r="F93" i="6" a="1"/>
  <c r="F93" i="6" s="1"/>
  <c r="C93" i="6" a="1"/>
  <c r="C93" i="6" s="1"/>
  <c r="D93" i="6"/>
  <c r="J93" i="6"/>
  <c r="B128" i="8"/>
  <c r="D127" i="8" a="1"/>
  <c r="D127" i="8" s="1"/>
  <c r="B129" i="8" l="1"/>
  <c r="D128" i="8" a="1"/>
  <c r="D128" i="8" s="1"/>
  <c r="C94" i="6" a="1"/>
  <c r="C94" i="6" s="1"/>
  <c r="G94" i="6" a="1"/>
  <c r="G94" i="6" s="1"/>
  <c r="B95" i="6"/>
  <c r="J94" i="6"/>
  <c r="E94" i="6"/>
  <c r="F94" i="6" a="1"/>
  <c r="F94" i="6" s="1"/>
  <c r="D94" i="6"/>
  <c r="E95" i="6" l="1"/>
  <c r="B96" i="6"/>
  <c r="C95" i="6" a="1"/>
  <c r="C95" i="6" s="1"/>
  <c r="G95" i="6" a="1"/>
  <c r="G95" i="6" s="1"/>
  <c r="J95" i="6"/>
  <c r="F95" i="6" a="1"/>
  <c r="F95" i="6" s="1"/>
  <c r="D95" i="6"/>
  <c r="B130" i="8"/>
  <c r="D129" i="8" a="1"/>
  <c r="D129" i="8" s="1"/>
  <c r="G96" i="6" l="1" a="1"/>
  <c r="G96" i="6" s="1"/>
  <c r="F96" i="6" a="1"/>
  <c r="F96" i="6" s="1"/>
  <c r="J96" i="6"/>
  <c r="C96" i="6" a="1"/>
  <c r="C96" i="6" s="1"/>
  <c r="B97" i="6"/>
  <c r="D96" i="6"/>
  <c r="E96" i="6"/>
  <c r="B131" i="8"/>
  <c r="D130" i="8" a="1"/>
  <c r="D130" i="8" s="1"/>
  <c r="B132" i="8" l="1"/>
  <c r="D131" i="8" a="1"/>
  <c r="D131" i="8" s="1"/>
  <c r="G97" i="6" a="1"/>
  <c r="G97" i="6" s="1"/>
  <c r="C97" i="6" a="1"/>
  <c r="C97" i="6" s="1"/>
  <c r="J97" i="6"/>
  <c r="E97" i="6"/>
  <c r="D97" i="6"/>
  <c r="B98" i="6"/>
  <c r="F97" i="6" a="1"/>
  <c r="F97" i="6" s="1"/>
  <c r="B99" i="6" l="1"/>
  <c r="G98" i="6" a="1"/>
  <c r="G98" i="6" s="1"/>
  <c r="C98" i="6" a="1"/>
  <c r="C98" i="6" s="1"/>
  <c r="J98" i="6"/>
  <c r="E98" i="6"/>
  <c r="F98" i="6" a="1"/>
  <c r="F98" i="6" s="1"/>
  <c r="D98" i="6"/>
  <c r="B133" i="8"/>
  <c r="D132" i="8" a="1"/>
  <c r="D132" i="8" s="1"/>
  <c r="B134" i="8" l="1"/>
  <c r="D133" i="8" a="1"/>
  <c r="D133" i="8" s="1"/>
  <c r="B100" i="6"/>
  <c r="G99" i="6" a="1"/>
  <c r="G99" i="6" s="1"/>
  <c r="E99" i="6"/>
  <c r="C99" i="6" a="1"/>
  <c r="C99" i="6" s="1"/>
  <c r="D99" i="6"/>
  <c r="F99" i="6" a="1"/>
  <c r="F99" i="6" s="1"/>
  <c r="J99" i="6"/>
  <c r="B101" i="6" l="1"/>
  <c r="C100" i="6" a="1"/>
  <c r="C100" i="6" s="1"/>
  <c r="E100" i="6"/>
  <c r="G100" i="6" a="1"/>
  <c r="G100" i="6" s="1"/>
  <c r="F100" i="6" a="1"/>
  <c r="F100" i="6" s="1"/>
  <c r="J100" i="6"/>
  <c r="D100" i="6"/>
  <c r="B135" i="8"/>
  <c r="D134" i="8" a="1"/>
  <c r="D134" i="8" s="1"/>
  <c r="D135" i="8" l="1" a="1"/>
  <c r="D135" i="8" s="1"/>
  <c r="B136" i="8"/>
  <c r="D101" i="6"/>
  <c r="B102" i="6"/>
  <c r="J101" i="6"/>
  <c r="E101" i="6"/>
  <c r="G101" i="6" a="1"/>
  <c r="G101" i="6" s="1"/>
  <c r="C101" i="6" a="1"/>
  <c r="C101" i="6" s="1"/>
  <c r="F101" i="6" a="1"/>
  <c r="F101" i="6" s="1"/>
  <c r="J102" i="6" l="1"/>
  <c r="D102" i="6"/>
  <c r="G102" i="6" a="1"/>
  <c r="G102" i="6" s="1"/>
  <c r="B103" i="6"/>
  <c r="E102" i="6"/>
  <c r="C102" i="6" a="1"/>
  <c r="C102" i="6" s="1"/>
  <c r="F102" i="6" a="1"/>
  <c r="F102" i="6" s="1"/>
  <c r="D136" i="8" a="1"/>
  <c r="D136" i="8" s="1"/>
  <c r="B137" i="8"/>
  <c r="D137" i="8" l="1" a="1"/>
  <c r="D137" i="8" s="1"/>
  <c r="B138" i="8"/>
  <c r="D103" i="6"/>
  <c r="J103" i="6"/>
  <c r="C103" i="6" a="1"/>
  <c r="C103" i="6" s="1"/>
  <c r="E103" i="6"/>
  <c r="B104" i="6"/>
  <c r="G103" i="6" a="1"/>
  <c r="G103" i="6" s="1"/>
  <c r="F103" i="6" a="1"/>
  <c r="F103" i="6" s="1"/>
  <c r="F104" i="6" l="1" a="1"/>
  <c r="F104" i="6" s="1"/>
  <c r="E104" i="6"/>
  <c r="B105" i="6"/>
  <c r="G104" i="6" a="1"/>
  <c r="G104" i="6" s="1"/>
  <c r="C104" i="6" a="1"/>
  <c r="C104" i="6" s="1"/>
  <c r="J104" i="6"/>
  <c r="D104" i="6"/>
  <c r="B139" i="8"/>
  <c r="D138" i="8" a="1"/>
  <c r="D138" i="8" s="1"/>
  <c r="B140" i="8" l="1"/>
  <c r="D139" i="8" a="1"/>
  <c r="D139" i="8" s="1"/>
  <c r="C105" i="6" a="1"/>
  <c r="C105" i="6" s="1"/>
  <c r="D105" i="6"/>
  <c r="F105" i="6" a="1"/>
  <c r="F105" i="6" s="1"/>
  <c r="B106" i="6"/>
  <c r="E105" i="6"/>
  <c r="G105" i="6" a="1"/>
  <c r="G105" i="6" s="1"/>
  <c r="J105" i="6"/>
  <c r="G106" i="6" l="1" a="1"/>
  <c r="G106" i="6" s="1"/>
  <c r="B107" i="6"/>
  <c r="D106" i="6"/>
  <c r="F106" i="6" a="1"/>
  <c r="F106" i="6" s="1"/>
  <c r="E106" i="6"/>
  <c r="C106" i="6" a="1"/>
  <c r="C106" i="6" s="1"/>
  <c r="J106" i="6"/>
  <c r="D140" i="8" a="1"/>
  <c r="D140" i="8" s="1"/>
  <c r="B141" i="8"/>
  <c r="D141" i="8" l="1" a="1"/>
  <c r="D141" i="8" s="1"/>
  <c r="B142" i="8"/>
  <c r="D107" i="6"/>
  <c r="F107" i="6" a="1"/>
  <c r="F107" i="6" s="1"/>
  <c r="J107" i="6"/>
  <c r="E107" i="6"/>
  <c r="B108" i="6"/>
  <c r="G107" i="6" a="1"/>
  <c r="G107" i="6" s="1"/>
  <c r="C107" i="6" a="1"/>
  <c r="C107" i="6" s="1"/>
  <c r="D108" i="6" l="1"/>
  <c r="F108" i="6" a="1"/>
  <c r="F108" i="6" s="1"/>
  <c r="J108" i="6"/>
  <c r="B109" i="6"/>
  <c r="E108" i="6"/>
  <c r="G108" i="6" a="1"/>
  <c r="G108" i="6" s="1"/>
  <c r="C108" i="6" a="1"/>
  <c r="C108" i="6" s="1"/>
  <c r="D142" i="8" a="1"/>
  <c r="D142" i="8" s="1"/>
  <c r="B143" i="8"/>
  <c r="F109" i="6" l="1" a="1"/>
  <c r="F109" i="6" s="1"/>
  <c r="J109" i="6"/>
  <c r="E109" i="6"/>
  <c r="B110" i="6"/>
  <c r="G109" i="6" a="1"/>
  <c r="G109" i="6" s="1"/>
  <c r="C109" i="6" a="1"/>
  <c r="C109" i="6" s="1"/>
  <c r="D109" i="6"/>
  <c r="D143" i="8" a="1"/>
  <c r="D143" i="8" s="1"/>
  <c r="B144" i="8"/>
  <c r="D144" i="8" l="1" a="1"/>
  <c r="D144" i="8" s="1"/>
  <c r="B145" i="8"/>
  <c r="J110" i="6"/>
  <c r="E110" i="6"/>
  <c r="G110" i="6" a="1"/>
  <c r="G110" i="6" s="1"/>
  <c r="B111" i="6"/>
  <c r="C110" i="6" a="1"/>
  <c r="C110" i="6" s="1"/>
  <c r="F110" i="6" a="1"/>
  <c r="F110" i="6" s="1"/>
  <c r="D110" i="6"/>
  <c r="J111" i="6" l="1"/>
  <c r="C111" i="6" a="1"/>
  <c r="C111" i="6" s="1"/>
  <c r="D111" i="6"/>
  <c r="F111" i="6" a="1"/>
  <c r="F111" i="6" s="1"/>
  <c r="E111" i="6"/>
  <c r="G111" i="6" a="1"/>
  <c r="G111" i="6" s="1"/>
  <c r="B112" i="6"/>
  <c r="D145" i="8" a="1"/>
  <c r="D145" i="8" s="1"/>
  <c r="B146" i="8"/>
  <c r="G112" i="6" l="1" a="1"/>
  <c r="G112" i="6" s="1"/>
  <c r="J112" i="6"/>
  <c r="C112" i="6" a="1"/>
  <c r="C112" i="6" s="1"/>
  <c r="D112" i="6"/>
  <c r="E112" i="6"/>
  <c r="B113" i="6"/>
  <c r="F112" i="6" a="1"/>
  <c r="F112" i="6" s="1"/>
  <c r="B147" i="8"/>
  <c r="D146" i="8" a="1"/>
  <c r="D146" i="8" s="1"/>
  <c r="D147" i="8" l="1" a="1"/>
  <c r="D147" i="8" s="1"/>
  <c r="B148" i="8"/>
  <c r="F113" i="6" a="1"/>
  <c r="F113" i="6" s="1"/>
  <c r="G113" i="6" a="1"/>
  <c r="G113" i="6" s="1"/>
  <c r="D113" i="6"/>
  <c r="J113" i="6"/>
  <c r="E113" i="6"/>
  <c r="B114" i="6"/>
  <c r="C113" i="6" a="1"/>
  <c r="C113" i="6" s="1"/>
  <c r="G114" i="6" l="1" a="1"/>
  <c r="G114" i="6" s="1"/>
  <c r="C114" i="6" a="1"/>
  <c r="C114" i="6" s="1"/>
  <c r="D114" i="6"/>
  <c r="J114" i="6"/>
  <c r="E114" i="6"/>
  <c r="B115" i="6"/>
  <c r="F114" i="6" a="1"/>
  <c r="F114" i="6" s="1"/>
  <c r="B149" i="8"/>
  <c r="D148" i="8" a="1"/>
  <c r="D148" i="8" s="1"/>
  <c r="G115" i="6" l="1" a="1"/>
  <c r="G115" i="6" s="1"/>
  <c r="C115" i="6" a="1"/>
  <c r="C115" i="6" s="1"/>
  <c r="D115" i="6"/>
  <c r="J115" i="6"/>
  <c r="E115" i="6"/>
  <c r="B116" i="6"/>
  <c r="F115" i="6" a="1"/>
  <c r="F115" i="6" s="1"/>
  <c r="D149" i="8" a="1"/>
  <c r="D149" i="8" s="1"/>
  <c r="B150" i="8"/>
  <c r="D150" i="8" l="1" a="1"/>
  <c r="D150" i="8" s="1"/>
  <c r="B151" i="8"/>
  <c r="C116" i="6" a="1"/>
  <c r="C116" i="6" s="1"/>
  <c r="F116" i="6" a="1"/>
  <c r="F116" i="6" s="1"/>
  <c r="J116" i="6"/>
  <c r="G116" i="6" a="1"/>
  <c r="G116" i="6" s="1"/>
  <c r="E116" i="6"/>
  <c r="B117" i="6"/>
  <c r="D116" i="6"/>
  <c r="E117" i="6" l="1"/>
  <c r="G117" i="6" a="1"/>
  <c r="G117" i="6" s="1"/>
  <c r="F117" i="6" a="1"/>
  <c r="F117" i="6" s="1"/>
  <c r="J117" i="6"/>
  <c r="C117" i="6" a="1"/>
  <c r="C117" i="6" s="1"/>
  <c r="B118" i="6"/>
  <c r="D117" i="6"/>
  <c r="D151" i="8" a="1"/>
  <c r="D151" i="8" s="1"/>
  <c r="B152" i="8"/>
  <c r="F118" i="6" l="1" a="1"/>
  <c r="F118" i="6" s="1"/>
  <c r="E118" i="6"/>
  <c r="G118" i="6" a="1"/>
  <c r="G118" i="6" s="1"/>
  <c r="D118" i="6"/>
  <c r="C118" i="6" a="1"/>
  <c r="C118" i="6" s="1"/>
  <c r="J118" i="6"/>
  <c r="B119" i="6"/>
  <c r="D152" i="8" a="1"/>
  <c r="D152" i="8" s="1"/>
  <c r="B153" i="8"/>
  <c r="D153" i="8" l="1" a="1"/>
  <c r="D153" i="8" s="1"/>
  <c r="B154" i="8"/>
  <c r="J119" i="6"/>
  <c r="G119" i="6" a="1"/>
  <c r="G119" i="6" s="1"/>
  <c r="E119" i="6"/>
  <c r="D119" i="6"/>
  <c r="F119" i="6" a="1"/>
  <c r="F119" i="6" s="1"/>
  <c r="C119" i="6" a="1"/>
  <c r="C119" i="6" s="1"/>
  <c r="B120" i="6"/>
  <c r="J120" i="6" l="1"/>
  <c r="F120" i="6" a="1"/>
  <c r="F120" i="6" s="1"/>
  <c r="E120" i="6"/>
  <c r="C120" i="6" a="1"/>
  <c r="C120" i="6" s="1"/>
  <c r="B121" i="6"/>
  <c r="G120" i="6" a="1"/>
  <c r="G120" i="6" s="1"/>
  <c r="D120" i="6"/>
  <c r="D154" i="8" a="1"/>
  <c r="D154" i="8" s="1"/>
  <c r="B155" i="8"/>
  <c r="D155" i="8" l="1" a="1"/>
  <c r="D155" i="8" s="1"/>
  <c r="B156" i="8"/>
  <c r="C121" i="6" a="1"/>
  <c r="C121" i="6" s="1"/>
  <c r="G121" i="6" a="1"/>
  <c r="G121" i="6" s="1"/>
  <c r="F121" i="6" a="1"/>
  <c r="F121" i="6" s="1"/>
  <c r="J121" i="6"/>
  <c r="D121" i="6"/>
  <c r="B122" i="6"/>
  <c r="E121" i="6"/>
  <c r="J122" i="6" l="1"/>
  <c r="E122" i="6"/>
  <c r="F122" i="6" a="1"/>
  <c r="F122" i="6" s="1"/>
  <c r="G122" i="6" a="1"/>
  <c r="G122" i="6" s="1"/>
  <c r="C122" i="6" a="1"/>
  <c r="C122" i="6" s="1"/>
  <c r="D122" i="6"/>
  <c r="B123" i="6"/>
  <c r="D156" i="8" a="1"/>
  <c r="D156" i="8" s="1"/>
  <c r="B157" i="8"/>
  <c r="E123" i="6" l="1"/>
  <c r="F123" i="6" a="1"/>
  <c r="F123" i="6" s="1"/>
  <c r="G123" i="6" a="1"/>
  <c r="G123" i="6" s="1"/>
  <c r="C123" i="6" a="1"/>
  <c r="C123" i="6" s="1"/>
  <c r="J123" i="6"/>
  <c r="D123" i="6"/>
  <c r="B124" i="6"/>
  <c r="B158" i="8"/>
  <c r="D157" i="8" a="1"/>
  <c r="D157" i="8" s="1"/>
  <c r="B159" i="8" l="1"/>
  <c r="D158" i="8" a="1"/>
  <c r="D158" i="8" s="1"/>
  <c r="J124" i="6"/>
  <c r="F124" i="6" a="1"/>
  <c r="F124" i="6" s="1"/>
  <c r="G124" i="6" a="1"/>
  <c r="G124" i="6" s="1"/>
  <c r="C124" i="6" a="1"/>
  <c r="C124" i="6" s="1"/>
  <c r="D124" i="6"/>
  <c r="B125" i="6"/>
  <c r="E124" i="6"/>
  <c r="B126" i="6" l="1"/>
  <c r="F125" i="6" a="1"/>
  <c r="F125" i="6" s="1"/>
  <c r="E125" i="6"/>
  <c r="G125" i="6" a="1"/>
  <c r="G125" i="6" s="1"/>
  <c r="J125" i="6"/>
  <c r="C125" i="6" a="1"/>
  <c r="C125" i="6" s="1"/>
  <c r="D125" i="6"/>
  <c r="D159" i="8" a="1"/>
  <c r="D159" i="8" s="1"/>
  <c r="B160" i="8"/>
  <c r="D160" i="8" l="1" a="1"/>
  <c r="D160" i="8" s="1"/>
  <c r="B161" i="8"/>
  <c r="B127" i="6"/>
  <c r="E126" i="6"/>
  <c r="F126" i="6" a="1"/>
  <c r="F126" i="6" s="1"/>
  <c r="G126" i="6" a="1"/>
  <c r="G126" i="6" s="1"/>
  <c r="C126" i="6" a="1"/>
  <c r="C126" i="6" s="1"/>
  <c r="J126" i="6"/>
  <c r="D126" i="6"/>
  <c r="E127" i="6" l="1"/>
  <c r="B128" i="6"/>
  <c r="J127" i="6"/>
  <c r="F127" i="6" a="1"/>
  <c r="F127" i="6" s="1"/>
  <c r="C127" i="6" a="1"/>
  <c r="C127" i="6" s="1"/>
  <c r="G127" i="6" a="1"/>
  <c r="G127" i="6" s="1"/>
  <c r="D127" i="6"/>
  <c r="D161" i="8" a="1"/>
  <c r="D161" i="8" s="1"/>
  <c r="B162" i="8"/>
  <c r="B163" i="8" l="1"/>
  <c r="D162" i="8" a="1"/>
  <c r="D162" i="8" s="1"/>
  <c r="G128" i="6" a="1"/>
  <c r="G128" i="6" s="1"/>
  <c r="J128" i="6"/>
  <c r="B129" i="6"/>
  <c r="E128" i="6"/>
  <c r="F128" i="6" a="1"/>
  <c r="F128" i="6" s="1"/>
  <c r="C128" i="6" a="1"/>
  <c r="C128" i="6" s="1"/>
  <c r="D128" i="6"/>
  <c r="C129" i="6" l="1" a="1"/>
  <c r="C129" i="6" s="1"/>
  <c r="J129" i="6"/>
  <c r="B130" i="6"/>
  <c r="E129" i="6"/>
  <c r="F129" i="6" a="1"/>
  <c r="F129" i="6" s="1"/>
  <c r="G129" i="6" a="1"/>
  <c r="G129" i="6" s="1"/>
  <c r="D129" i="6"/>
  <c r="D163" i="8" a="1"/>
  <c r="D163" i="8" s="1"/>
  <c r="B164" i="8"/>
  <c r="B165" i="8" l="1"/>
  <c r="D164" i="8" a="1"/>
  <c r="D164" i="8" s="1"/>
  <c r="F130" i="6" a="1"/>
  <c r="F130" i="6" s="1"/>
  <c r="C130" i="6" a="1"/>
  <c r="C130" i="6" s="1"/>
  <c r="J130" i="6"/>
  <c r="E130" i="6"/>
  <c r="B131" i="6"/>
  <c r="D130" i="6"/>
  <c r="G130" i="6" a="1"/>
  <c r="G130" i="6" s="1"/>
  <c r="G131" i="6" l="1" a="1"/>
  <c r="G131" i="6" s="1"/>
  <c r="J131" i="6"/>
  <c r="D131" i="6"/>
  <c r="C131" i="6" a="1"/>
  <c r="C131" i="6" s="1"/>
  <c r="B132" i="6"/>
  <c r="E131" i="6"/>
  <c r="F131" i="6" a="1"/>
  <c r="F131" i="6" s="1"/>
  <c r="B166" i="8"/>
  <c r="D165" i="8" a="1"/>
  <c r="D165" i="8" s="1"/>
  <c r="B167" i="8" l="1"/>
  <c r="D166" i="8" a="1"/>
  <c r="D166" i="8" s="1"/>
  <c r="B133" i="6"/>
  <c r="C132" i="6" a="1"/>
  <c r="C132" i="6" s="1"/>
  <c r="D132" i="6"/>
  <c r="J132" i="6"/>
  <c r="F132" i="6" a="1"/>
  <c r="F132" i="6" s="1"/>
  <c r="G132" i="6" a="1"/>
  <c r="G132" i="6" s="1"/>
  <c r="E132" i="6"/>
  <c r="G133" i="6" l="1" a="1"/>
  <c r="G133" i="6" s="1"/>
  <c r="J133" i="6"/>
  <c r="B134" i="6"/>
  <c r="C133" i="6" a="1"/>
  <c r="C133" i="6" s="1"/>
  <c r="E133" i="6"/>
  <c r="D133" i="6"/>
  <c r="F133" i="6" a="1"/>
  <c r="F133" i="6" s="1"/>
  <c r="D167" i="8" a="1"/>
  <c r="D167" i="8" s="1"/>
  <c r="B168" i="8"/>
  <c r="D134" i="6" l="1"/>
  <c r="G134" i="6" a="1"/>
  <c r="G134" i="6" s="1"/>
  <c r="J134" i="6"/>
  <c r="B135" i="6"/>
  <c r="E134" i="6"/>
  <c r="C134" i="6" a="1"/>
  <c r="C134" i="6" s="1"/>
  <c r="F134" i="6" a="1"/>
  <c r="F134" i="6" s="1"/>
  <c r="D168" i="8" a="1"/>
  <c r="D168" i="8" s="1"/>
  <c r="B169" i="8"/>
  <c r="B170" i="8" l="1"/>
  <c r="D169" i="8" a="1"/>
  <c r="D169" i="8" s="1"/>
  <c r="D135" i="6"/>
  <c r="J135" i="6"/>
  <c r="B136" i="6"/>
  <c r="C135" i="6" a="1"/>
  <c r="C135" i="6" s="1"/>
  <c r="F135" i="6" a="1"/>
  <c r="F135" i="6" s="1"/>
  <c r="E135" i="6"/>
  <c r="G135" i="6" a="1"/>
  <c r="G135" i="6" s="1"/>
  <c r="J136" i="6" l="1"/>
  <c r="D136" i="6"/>
  <c r="G136" i="6" a="1"/>
  <c r="G136" i="6" s="1"/>
  <c r="B137" i="6"/>
  <c r="C136" i="6" a="1"/>
  <c r="C136" i="6" s="1"/>
  <c r="F136" i="6" a="1"/>
  <c r="F136" i="6" s="1"/>
  <c r="E136" i="6"/>
  <c r="B171" i="8"/>
  <c r="D170" i="8" a="1"/>
  <c r="D170" i="8" s="1"/>
  <c r="B172" i="8" l="1"/>
  <c r="D171" i="8" a="1"/>
  <c r="D171" i="8" s="1"/>
  <c r="G137" i="6" a="1"/>
  <c r="G137" i="6" s="1"/>
  <c r="J137" i="6"/>
  <c r="D137" i="6"/>
  <c r="C137" i="6" a="1"/>
  <c r="C137" i="6" s="1"/>
  <c r="B138" i="6"/>
  <c r="F137" i="6" a="1"/>
  <c r="F137" i="6" s="1"/>
  <c r="E137" i="6"/>
  <c r="C138" i="6" l="1" a="1"/>
  <c r="C138" i="6" s="1"/>
  <c r="J138" i="6"/>
  <c r="G138" i="6" a="1"/>
  <c r="G138" i="6" s="1"/>
  <c r="B139" i="6"/>
  <c r="D138" i="6"/>
  <c r="F138" i="6" a="1"/>
  <c r="F138" i="6" s="1"/>
  <c r="E138" i="6"/>
  <c r="B173" i="8"/>
  <c r="D172" i="8" a="1"/>
  <c r="D172" i="8" s="1"/>
  <c r="B174" i="8" l="1"/>
  <c r="D173" i="8" a="1"/>
  <c r="D173" i="8" s="1"/>
  <c r="G139" i="6" a="1"/>
  <c r="G139" i="6" s="1"/>
  <c r="B140" i="6"/>
  <c r="D139" i="6"/>
  <c r="E139" i="6"/>
  <c r="J139" i="6"/>
  <c r="F139" i="6" a="1"/>
  <c r="F139" i="6" s="1"/>
  <c r="C139" i="6" a="1"/>
  <c r="C139" i="6" s="1"/>
  <c r="D140" i="6" l="1"/>
  <c r="F140" i="6" a="1"/>
  <c r="F140" i="6" s="1"/>
  <c r="G140" i="6" a="1"/>
  <c r="G140" i="6" s="1"/>
  <c r="B141" i="6"/>
  <c r="E140" i="6"/>
  <c r="J140" i="6"/>
  <c r="C140" i="6" a="1"/>
  <c r="C140" i="6" s="1"/>
  <c r="B175" i="8"/>
  <c r="D174" i="8" a="1"/>
  <c r="D174" i="8" s="1"/>
  <c r="B176" i="8" l="1"/>
  <c r="D175" i="8" a="1"/>
  <c r="D175" i="8" s="1"/>
  <c r="D141" i="6"/>
  <c r="F141" i="6" a="1"/>
  <c r="F141" i="6" s="1"/>
  <c r="J141" i="6"/>
  <c r="B142" i="6"/>
  <c r="C141" i="6" a="1"/>
  <c r="C141" i="6" s="1"/>
  <c r="E141" i="6"/>
  <c r="G141" i="6" a="1"/>
  <c r="G141" i="6" s="1"/>
  <c r="D142" i="6" l="1"/>
  <c r="J142" i="6"/>
  <c r="B143" i="6"/>
  <c r="C142" i="6" a="1"/>
  <c r="C142" i="6" s="1"/>
  <c r="E142" i="6"/>
  <c r="F142" i="6" a="1"/>
  <c r="F142" i="6" s="1"/>
  <c r="G142" i="6" a="1"/>
  <c r="G142" i="6" s="1"/>
  <c r="B177" i="8"/>
  <c r="D176" i="8" a="1"/>
  <c r="D176" i="8" s="1"/>
  <c r="B178" i="8" l="1"/>
  <c r="D177" i="8" a="1"/>
  <c r="D177" i="8" s="1"/>
  <c r="D143" i="6"/>
  <c r="F143" i="6" a="1"/>
  <c r="F143" i="6" s="1"/>
  <c r="C143" i="6" a="1"/>
  <c r="C143" i="6" s="1"/>
  <c r="B144" i="6"/>
  <c r="G143" i="6" a="1"/>
  <c r="G143" i="6" s="1"/>
  <c r="J143" i="6"/>
  <c r="E143" i="6"/>
  <c r="G144" i="6" l="1" a="1"/>
  <c r="G144" i="6" s="1"/>
  <c r="F144" i="6" a="1"/>
  <c r="F144" i="6" s="1"/>
  <c r="C144" i="6" a="1"/>
  <c r="C144" i="6" s="1"/>
  <c r="B145" i="6"/>
  <c r="D144" i="6"/>
  <c r="J144" i="6"/>
  <c r="E144" i="6"/>
  <c r="B179" i="8"/>
  <c r="D178" i="8" a="1"/>
  <c r="D178" i="8" s="1"/>
  <c r="D179" i="8" l="1" a="1"/>
  <c r="D179" i="8" s="1"/>
  <c r="B180" i="8"/>
  <c r="F145" i="6" a="1"/>
  <c r="F145" i="6" s="1"/>
  <c r="E145" i="6"/>
  <c r="C145" i="6" a="1"/>
  <c r="C145" i="6" s="1"/>
  <c r="B146" i="6"/>
  <c r="D145" i="6"/>
  <c r="G145" i="6" a="1"/>
  <c r="G145" i="6" s="1"/>
  <c r="J145" i="6"/>
  <c r="J146" i="6" l="1"/>
  <c r="F146" i="6" a="1"/>
  <c r="F146" i="6" s="1"/>
  <c r="C146" i="6" a="1"/>
  <c r="C146" i="6" s="1"/>
  <c r="D146" i="6"/>
  <c r="E146" i="6"/>
  <c r="B147" i="6"/>
  <c r="G146" i="6" a="1"/>
  <c r="G146" i="6" s="1"/>
  <c r="D180" i="8" a="1"/>
  <c r="D180" i="8" s="1"/>
  <c r="B181" i="8"/>
  <c r="J147" i="6" l="1"/>
  <c r="C147" i="6" a="1"/>
  <c r="C147" i="6" s="1"/>
  <c r="D147" i="6"/>
  <c r="F147" i="6" a="1"/>
  <c r="F147" i="6" s="1"/>
  <c r="G147" i="6" a="1"/>
  <c r="G147" i="6" s="1"/>
  <c r="E147" i="6"/>
  <c r="B148" i="6"/>
  <c r="D181" i="8" a="1"/>
  <c r="D181" i="8" s="1"/>
  <c r="B182" i="8"/>
  <c r="D182" i="8" l="1" a="1"/>
  <c r="D182" i="8" s="1"/>
  <c r="B183" i="8"/>
  <c r="G148" i="6" a="1"/>
  <c r="G148" i="6" s="1"/>
  <c r="D148" i="6"/>
  <c r="F148" i="6" a="1"/>
  <c r="F148" i="6" s="1"/>
  <c r="E148" i="6"/>
  <c r="C148" i="6" a="1"/>
  <c r="C148" i="6" s="1"/>
  <c r="B149" i="6"/>
  <c r="J148" i="6"/>
  <c r="C149" i="6" l="1" a="1"/>
  <c r="C149" i="6" s="1"/>
  <c r="D149" i="6"/>
  <c r="G149" i="6" a="1"/>
  <c r="G149" i="6" s="1"/>
  <c r="F149" i="6" a="1"/>
  <c r="F149" i="6" s="1"/>
  <c r="E149" i="6"/>
  <c r="B150" i="6"/>
  <c r="J149" i="6"/>
  <c r="D183" i="8" a="1"/>
  <c r="D183" i="8" s="1"/>
  <c r="B184" i="8"/>
  <c r="D184" i="8" l="1" a="1"/>
  <c r="D184" i="8" s="1"/>
  <c r="B185" i="8"/>
  <c r="C150" i="6" a="1"/>
  <c r="C150" i="6" s="1"/>
  <c r="D150" i="6"/>
  <c r="G150" i="6" a="1"/>
  <c r="G150" i="6" s="1"/>
  <c r="E150" i="6"/>
  <c r="F150" i="6" a="1"/>
  <c r="F150" i="6" s="1"/>
  <c r="B151" i="6"/>
  <c r="J150" i="6"/>
  <c r="G151" i="6" l="1" a="1"/>
  <c r="G151" i="6" s="1"/>
  <c r="C151" i="6" a="1"/>
  <c r="C151" i="6" s="1"/>
  <c r="E151" i="6"/>
  <c r="F151" i="6" a="1"/>
  <c r="F151" i="6" s="1"/>
  <c r="D151" i="6"/>
  <c r="B152" i="6"/>
  <c r="J151" i="6"/>
  <c r="D185" i="8" a="1"/>
  <c r="D185" i="8" s="1"/>
  <c r="B186" i="8"/>
  <c r="D186" i="8" l="1" a="1"/>
  <c r="D186" i="8" s="1"/>
  <c r="B187" i="8"/>
  <c r="J152" i="6"/>
  <c r="E152" i="6"/>
  <c r="G152" i="6" a="1"/>
  <c r="G152" i="6" s="1"/>
  <c r="B153" i="6"/>
  <c r="C152" i="6" a="1"/>
  <c r="C152" i="6" s="1"/>
  <c r="F152" i="6" a="1"/>
  <c r="F152" i="6" s="1"/>
  <c r="D152" i="6"/>
  <c r="E153" i="6" l="1"/>
  <c r="G153" i="6" a="1"/>
  <c r="G153" i="6" s="1"/>
  <c r="D153" i="6"/>
  <c r="C153" i="6" a="1"/>
  <c r="C153" i="6" s="1"/>
  <c r="F153" i="6" a="1"/>
  <c r="F153" i="6" s="1"/>
  <c r="B154" i="6"/>
  <c r="J153" i="6"/>
  <c r="D187" i="8" a="1"/>
  <c r="D187" i="8" s="1"/>
  <c r="B188" i="8"/>
  <c r="D188" i="8" l="1" a="1"/>
  <c r="D188" i="8" s="1"/>
  <c r="B189" i="8"/>
  <c r="J154" i="6"/>
  <c r="E154" i="6"/>
  <c r="G154" i="6" a="1"/>
  <c r="G154" i="6" s="1"/>
  <c r="D154" i="6"/>
  <c r="C154" i="6" a="1"/>
  <c r="C154" i="6" s="1"/>
  <c r="F154" i="6" a="1"/>
  <c r="F154" i="6" s="1"/>
  <c r="B155" i="6"/>
  <c r="E155" i="6" l="1"/>
  <c r="G155" i="6" a="1"/>
  <c r="G155" i="6" s="1"/>
  <c r="C155" i="6" a="1"/>
  <c r="C155" i="6" s="1"/>
  <c r="D155" i="6"/>
  <c r="J155" i="6"/>
  <c r="B156" i="6"/>
  <c r="F155" i="6" a="1"/>
  <c r="F155" i="6" s="1"/>
  <c r="D189" i="8" a="1"/>
  <c r="D189" i="8" s="1"/>
  <c r="B190" i="8"/>
  <c r="D190" i="8" l="1" a="1"/>
  <c r="D190" i="8" s="1"/>
  <c r="B191" i="8"/>
  <c r="E156" i="6"/>
  <c r="J156" i="6"/>
  <c r="G156" i="6" a="1"/>
  <c r="G156" i="6" s="1"/>
  <c r="D156" i="6"/>
  <c r="B157" i="6"/>
  <c r="F156" i="6" a="1"/>
  <c r="F156" i="6" s="1"/>
  <c r="C156" i="6" a="1"/>
  <c r="C156" i="6" s="1"/>
  <c r="F157" i="6" l="1" a="1"/>
  <c r="F157" i="6" s="1"/>
  <c r="E157" i="6"/>
  <c r="D157" i="6"/>
  <c r="G157" i="6" a="1"/>
  <c r="G157" i="6" s="1"/>
  <c r="B158" i="6"/>
  <c r="J157" i="6"/>
  <c r="C157" i="6" a="1"/>
  <c r="C157" i="6" s="1"/>
  <c r="B192" i="8"/>
  <c r="D191" i="8" a="1"/>
  <c r="D191" i="8" s="1"/>
  <c r="B193" i="8" l="1"/>
  <c r="D192" i="8" a="1"/>
  <c r="D192" i="8" s="1"/>
  <c r="F158" i="6" a="1"/>
  <c r="F158" i="6" s="1"/>
  <c r="G158" i="6" a="1"/>
  <c r="G158" i="6" s="1"/>
  <c r="E158" i="6"/>
  <c r="D158" i="6"/>
  <c r="J158" i="6"/>
  <c r="C158" i="6" a="1"/>
  <c r="C158" i="6" s="1"/>
  <c r="B159" i="6"/>
  <c r="E159" i="6" l="1"/>
  <c r="B160" i="6"/>
  <c r="J159" i="6"/>
  <c r="G159" i="6" a="1"/>
  <c r="G159" i="6" s="1"/>
  <c r="D159" i="6"/>
  <c r="C159" i="6" a="1"/>
  <c r="C159" i="6" s="1"/>
  <c r="F159" i="6" a="1"/>
  <c r="F159" i="6" s="1"/>
  <c r="B194" i="8"/>
  <c r="D193" i="8" a="1"/>
  <c r="D193" i="8" s="1"/>
  <c r="B195" i="8" l="1"/>
  <c r="D194" i="8" a="1"/>
  <c r="D194" i="8" s="1"/>
  <c r="G160" i="6" a="1"/>
  <c r="G160" i="6" s="1"/>
  <c r="B161" i="6"/>
  <c r="F160" i="6" a="1"/>
  <c r="F160" i="6" s="1"/>
  <c r="E160" i="6"/>
  <c r="D160" i="6"/>
  <c r="J160" i="6"/>
  <c r="C160" i="6" a="1"/>
  <c r="C160" i="6" s="1"/>
  <c r="B162" i="6" l="1"/>
  <c r="E161" i="6"/>
  <c r="F161" i="6" a="1"/>
  <c r="F161" i="6" s="1"/>
  <c r="G161" i="6" a="1"/>
  <c r="G161" i="6" s="1"/>
  <c r="J161" i="6"/>
  <c r="D161" i="6"/>
  <c r="C161" i="6" a="1"/>
  <c r="C161" i="6" s="1"/>
  <c r="D195" i="8" a="1"/>
  <c r="D195" i="8" s="1"/>
  <c r="B196" i="8"/>
  <c r="B197" i="8" l="1"/>
  <c r="D196" i="8" a="1"/>
  <c r="D196" i="8" s="1"/>
  <c r="B163" i="6"/>
  <c r="E162" i="6"/>
  <c r="F162" i="6" a="1"/>
  <c r="F162" i="6" s="1"/>
  <c r="J162" i="6"/>
  <c r="G162" i="6" a="1"/>
  <c r="G162" i="6" s="1"/>
  <c r="D162" i="6"/>
  <c r="C162" i="6" a="1"/>
  <c r="C162" i="6" s="1"/>
  <c r="F163" i="6" l="1" a="1"/>
  <c r="F163" i="6" s="1"/>
  <c r="C163" i="6" a="1"/>
  <c r="C163" i="6" s="1"/>
  <c r="B164" i="6"/>
  <c r="E163" i="6"/>
  <c r="D163" i="6"/>
  <c r="G163" i="6" a="1"/>
  <c r="G163" i="6" s="1"/>
  <c r="J163" i="6"/>
  <c r="B198" i="8"/>
  <c r="D197" i="8" a="1"/>
  <c r="D197" i="8" s="1"/>
  <c r="B199" i="8" l="1"/>
  <c r="D198" i="8" a="1"/>
  <c r="D198" i="8" s="1"/>
  <c r="C164" i="6" a="1"/>
  <c r="C164" i="6" s="1"/>
  <c r="E164" i="6"/>
  <c r="J164" i="6"/>
  <c r="B165" i="6"/>
  <c r="D164" i="6"/>
  <c r="G164" i="6" a="1"/>
  <c r="G164" i="6" s="1"/>
  <c r="F164" i="6" a="1"/>
  <c r="F164" i="6" s="1"/>
  <c r="G165" i="6" l="1" a="1"/>
  <c r="G165" i="6" s="1"/>
  <c r="E165" i="6"/>
  <c r="F165" i="6" a="1"/>
  <c r="F165" i="6" s="1"/>
  <c r="J165" i="6"/>
  <c r="C165" i="6" a="1"/>
  <c r="C165" i="6" s="1"/>
  <c r="D165" i="6"/>
  <c r="B166" i="6"/>
  <c r="D199" i="8" a="1"/>
  <c r="D199" i="8" s="1"/>
  <c r="B200" i="8"/>
  <c r="D200" i="8" l="1" a="1"/>
  <c r="D200" i="8" s="1"/>
  <c r="B201" i="8"/>
  <c r="J166" i="6"/>
  <c r="B167" i="6"/>
  <c r="C166" i="6" a="1"/>
  <c r="C166" i="6" s="1"/>
  <c r="E166" i="6"/>
  <c r="G166" i="6" a="1"/>
  <c r="G166" i="6" s="1"/>
  <c r="D166" i="6"/>
  <c r="F166" i="6" a="1"/>
  <c r="F166" i="6" s="1"/>
  <c r="D167" i="6" l="1"/>
  <c r="J167" i="6"/>
  <c r="B168" i="6"/>
  <c r="C167" i="6" a="1"/>
  <c r="C167" i="6" s="1"/>
  <c r="E167" i="6"/>
  <c r="G167" i="6" a="1"/>
  <c r="G167" i="6" s="1"/>
  <c r="F167" i="6" a="1"/>
  <c r="F167" i="6" s="1"/>
  <c r="D201" i="8" a="1"/>
  <c r="D201" i="8" s="1"/>
  <c r="B202" i="8"/>
  <c r="B203" i="8" l="1"/>
  <c r="D202" i="8" a="1"/>
  <c r="D202" i="8" s="1"/>
  <c r="D168" i="6"/>
  <c r="J168" i="6"/>
  <c r="B169" i="6"/>
  <c r="C168" i="6" a="1"/>
  <c r="C168" i="6" s="1"/>
  <c r="E168" i="6"/>
  <c r="G168" i="6" a="1"/>
  <c r="G168" i="6" s="1"/>
  <c r="F168" i="6" a="1"/>
  <c r="F168" i="6" s="1"/>
  <c r="D169" i="6" l="1"/>
  <c r="G169" i="6" a="1"/>
  <c r="G169" i="6" s="1"/>
  <c r="J169" i="6"/>
  <c r="B170" i="6"/>
  <c r="E169" i="6"/>
  <c r="C169" i="6" a="1"/>
  <c r="C169" i="6" s="1"/>
  <c r="F169" i="6" a="1"/>
  <c r="F169" i="6" s="1"/>
  <c r="B204" i="8"/>
  <c r="D203" i="8" a="1"/>
  <c r="D203" i="8" s="1"/>
  <c r="D204" i="8" l="1" a="1"/>
  <c r="D204" i="8" s="1"/>
  <c r="B205" i="8"/>
  <c r="J170" i="6"/>
  <c r="G170" i="6" a="1"/>
  <c r="G170" i="6" s="1"/>
  <c r="B171" i="6"/>
  <c r="E170" i="6"/>
  <c r="F170" i="6" a="1"/>
  <c r="F170" i="6" s="1"/>
  <c r="C170" i="6" a="1"/>
  <c r="C170" i="6" s="1"/>
  <c r="D170" i="6"/>
  <c r="C171" i="6" l="1" a="1"/>
  <c r="C171" i="6" s="1"/>
  <c r="J171" i="6"/>
  <c r="G171" i="6" a="1"/>
  <c r="G171" i="6" s="1"/>
  <c r="F171" i="6" a="1"/>
  <c r="F171" i="6" s="1"/>
  <c r="E171" i="6"/>
  <c r="D171" i="6"/>
  <c r="B172" i="6"/>
  <c r="D205" i="8" a="1"/>
  <c r="D205" i="8" s="1"/>
  <c r="B206" i="8"/>
  <c r="G172" i="6" l="1" a="1"/>
  <c r="G172" i="6" s="1"/>
  <c r="B173" i="6"/>
  <c r="J172" i="6"/>
  <c r="C172" i="6" a="1"/>
  <c r="C172" i="6" s="1"/>
  <c r="F172" i="6" a="1"/>
  <c r="F172" i="6" s="1"/>
  <c r="E172" i="6"/>
  <c r="D172" i="6"/>
  <c r="D206" i="8" a="1"/>
  <c r="D206" i="8" s="1"/>
  <c r="B207" i="8"/>
  <c r="D207" i="8" l="1" a="1"/>
  <c r="D207" i="8" s="1"/>
  <c r="B208" i="8"/>
  <c r="J173" i="6"/>
  <c r="G173" i="6" a="1"/>
  <c r="G173" i="6" s="1"/>
  <c r="C173" i="6" a="1"/>
  <c r="C173" i="6" s="1"/>
  <c r="F173" i="6" a="1"/>
  <c r="F173" i="6" s="1"/>
  <c r="E173" i="6"/>
  <c r="B174" i="6"/>
  <c r="D173" i="6"/>
  <c r="J174" i="6" l="1"/>
  <c r="G174" i="6" a="1"/>
  <c r="G174" i="6" s="1"/>
  <c r="B175" i="6"/>
  <c r="C174" i="6" a="1"/>
  <c r="C174" i="6" s="1"/>
  <c r="F174" i="6" a="1"/>
  <c r="F174" i="6" s="1"/>
  <c r="E174" i="6"/>
  <c r="D174" i="6"/>
  <c r="D208" i="8" a="1"/>
  <c r="D208" i="8" s="1"/>
  <c r="B209" i="8"/>
  <c r="D209" i="8" l="1" a="1"/>
  <c r="D209" i="8" s="1"/>
  <c r="B210" i="8"/>
  <c r="D175" i="6"/>
  <c r="F175" i="6" a="1"/>
  <c r="F175" i="6" s="1"/>
  <c r="J175" i="6"/>
  <c r="C175" i="6" a="1"/>
  <c r="C175" i="6" s="1"/>
  <c r="E175" i="6"/>
  <c r="B176" i="6"/>
  <c r="G175" i="6" a="1"/>
  <c r="G175" i="6" s="1"/>
  <c r="G176" i="6" l="1" a="1"/>
  <c r="G176" i="6" s="1"/>
  <c r="D176" i="6"/>
  <c r="F176" i="6" a="1"/>
  <c r="F176" i="6" s="1"/>
  <c r="J176" i="6"/>
  <c r="C176" i="6" a="1"/>
  <c r="C176" i="6" s="1"/>
  <c r="E176" i="6"/>
  <c r="B177" i="6"/>
  <c r="B211" i="8"/>
  <c r="D210" i="8" a="1"/>
  <c r="D210" i="8" s="1"/>
  <c r="B212" i="8" l="1"/>
  <c r="D211" i="8" a="1"/>
  <c r="D211" i="8" s="1"/>
  <c r="D177" i="6"/>
  <c r="J177" i="6"/>
  <c r="G177" i="6" a="1"/>
  <c r="G177" i="6" s="1"/>
  <c r="C177" i="6" a="1"/>
  <c r="C177" i="6" s="1"/>
  <c r="F177" i="6" a="1"/>
  <c r="F177" i="6" s="1"/>
  <c r="E177" i="6"/>
  <c r="B178" i="6"/>
  <c r="D178" i="6" l="1"/>
  <c r="F178" i="6" a="1"/>
  <c r="F178" i="6" s="1"/>
  <c r="J178" i="6"/>
  <c r="E178" i="6"/>
  <c r="C178" i="6" a="1"/>
  <c r="C178" i="6" s="1"/>
  <c r="G178" i="6" a="1"/>
  <c r="G178" i="6" s="1"/>
  <c r="B179" i="6"/>
  <c r="B213" i="8"/>
  <c r="D212" i="8" a="1"/>
  <c r="D212" i="8" s="1"/>
  <c r="B214" i="8" l="1"/>
  <c r="D213" i="8" a="1"/>
  <c r="D213" i="8" s="1"/>
  <c r="F179" i="6" a="1"/>
  <c r="F179" i="6" s="1"/>
  <c r="G179" i="6" a="1"/>
  <c r="G179" i="6" s="1"/>
  <c r="J179" i="6"/>
  <c r="C179" i="6" a="1"/>
  <c r="C179" i="6" s="1"/>
  <c r="E179" i="6"/>
  <c r="B180" i="6"/>
  <c r="D179" i="6"/>
  <c r="I178" i="6"/>
  <c r="H178" i="6"/>
  <c r="I179" i="6" l="1"/>
  <c r="H179" i="6"/>
  <c r="C180" i="6" a="1"/>
  <c r="C180" i="6" s="1"/>
  <c r="F180" i="6" a="1"/>
  <c r="F180" i="6" s="1"/>
  <c r="J180" i="6"/>
  <c r="G180" i="6" a="1"/>
  <c r="G180" i="6" s="1"/>
  <c r="E180" i="6"/>
  <c r="B181" i="6"/>
  <c r="D180" i="6"/>
  <c r="B215" i="8"/>
  <c r="D214" i="8" a="1"/>
  <c r="D214" i="8" s="1"/>
  <c r="D215" i="8" l="1" a="1"/>
  <c r="D215" i="8" s="1"/>
  <c r="B216" i="8"/>
  <c r="H180" i="6"/>
  <c r="I180" i="6"/>
  <c r="J181" i="6"/>
  <c r="C181" i="6" a="1"/>
  <c r="C181" i="6" s="1"/>
  <c r="D181" i="6"/>
  <c r="G181" i="6" a="1"/>
  <c r="G181" i="6" s="1"/>
  <c r="F181" i="6" a="1"/>
  <c r="F181" i="6" s="1"/>
  <c r="E181" i="6"/>
  <c r="I17" i="7" a="1"/>
  <c r="I17" i="7" s="1"/>
  <c r="I16" i="7" a="1"/>
  <c r="I16" i="7" s="1"/>
  <c r="D16" i="7" a="1"/>
  <c r="D17" i="7" a="1"/>
  <c r="D16" i="7" l="1"/>
  <c r="O32" i="7" a="1"/>
  <c r="O32" i="7" s="1"/>
  <c r="Q32" i="7" s="1"/>
  <c r="O28" i="7" a="1"/>
  <c r="O28" i="7" s="1"/>
  <c r="Q28" i="7" s="1"/>
  <c r="O31" i="7" a="1"/>
  <c r="O31" i="7" s="1"/>
  <c r="Q31" i="7" s="1"/>
  <c r="O33" i="7" a="1"/>
  <c r="O33" i="7" s="1"/>
  <c r="Q33" i="7" s="1"/>
  <c r="O30" i="7" a="1"/>
  <c r="O30" i="7" s="1"/>
  <c r="Q30" i="7" s="1"/>
  <c r="O29" i="7" a="1"/>
  <c r="O29" i="7" s="1"/>
  <c r="Q29" i="7" s="1"/>
  <c r="D17" i="7"/>
  <c r="O42" i="7" a="1"/>
  <c r="O42" i="7" s="1"/>
  <c r="Q42" i="7" s="1"/>
  <c r="O44" i="7" a="1"/>
  <c r="O44" i="7" s="1"/>
  <c r="Q44" i="7" s="1"/>
  <c r="O40" i="7" a="1"/>
  <c r="O40" i="7" s="1"/>
  <c r="Q40" i="7" s="1"/>
  <c r="O45" i="7" a="1"/>
  <c r="O45" i="7" s="1"/>
  <c r="Q45" i="7" s="1"/>
  <c r="O41" i="7" a="1"/>
  <c r="O41" i="7" s="1"/>
  <c r="Q41" i="7" s="1"/>
  <c r="O43" i="7" a="1"/>
  <c r="O43" i="7" s="1"/>
  <c r="Q43" i="7" s="1"/>
  <c r="H181" i="6"/>
  <c r="I181" i="6"/>
  <c r="C7" i="6" a="1"/>
  <c r="H6" i="6"/>
  <c r="E22" i="12" s="1"/>
  <c r="F22" i="12" s="1"/>
  <c r="H22" i="12" s="1"/>
  <c r="H7" i="6"/>
  <c r="C6" i="6" a="1"/>
  <c r="D216" i="8" a="1"/>
  <c r="D216" i="8" s="1"/>
  <c r="G89" i="8" a="1"/>
  <c r="G86" i="8" a="1"/>
  <c r="G87" i="8" a="1"/>
  <c r="G90" i="8" a="1"/>
  <c r="G91" i="8" a="1"/>
  <c r="G88" i="8" a="1"/>
  <c r="G88" i="8" l="1"/>
  <c r="G91" i="8"/>
  <c r="G90" i="8"/>
  <c r="G87" i="8"/>
  <c r="G86" i="8"/>
  <c r="G89" i="8"/>
  <c r="C7" i="6"/>
  <c r="I23" i="6" a="1"/>
  <c r="I23" i="6" s="1"/>
  <c r="K23" i="6" s="1" a="1"/>
  <c r="K23" i="6" s="1"/>
  <c r="L23" i="6" s="1" a="1"/>
  <c r="L23" i="6" s="1"/>
  <c r="I19" i="6" a="1"/>
  <c r="I19" i="6" s="1"/>
  <c r="K19" i="6" s="1" a="1"/>
  <c r="K19" i="6" s="1"/>
  <c r="I21" i="6" a="1"/>
  <c r="I21" i="6" s="1"/>
  <c r="K21" i="6" s="1" a="1"/>
  <c r="K21" i="6" s="1"/>
  <c r="L21" i="6" s="1" a="1"/>
  <c r="L21" i="6" s="1"/>
  <c r="I20" i="6" a="1"/>
  <c r="I20" i="6" s="1"/>
  <c r="K20" i="6" s="1" a="1"/>
  <c r="K20" i="6" s="1"/>
  <c r="L20" i="6" s="1" a="1"/>
  <c r="L20" i="6" s="1"/>
  <c r="I22" i="6" a="1"/>
  <c r="I22" i="6" s="1"/>
  <c r="K22" i="6" s="1" a="1"/>
  <c r="K22" i="6" s="1"/>
  <c r="L22" i="6" s="1" a="1"/>
  <c r="L22" i="6" s="1"/>
  <c r="I24" i="6" a="1"/>
  <c r="I24" i="6" s="1"/>
  <c r="K24" i="6" s="1" a="1"/>
  <c r="K24" i="6" s="1"/>
  <c r="L24" i="6" s="1" a="1"/>
  <c r="L24" i="6" s="1"/>
  <c r="E23" i="12"/>
  <c r="F23" i="12" s="1"/>
  <c r="H23" i="12" s="1"/>
  <c r="C6" i="6"/>
  <c r="E21" i="6" a="1"/>
  <c r="E21" i="6" s="1"/>
  <c r="G21" i="6" s="1" a="1"/>
  <c r="G21" i="6" s="1"/>
  <c r="E23" i="6" a="1"/>
  <c r="E23" i="6" s="1"/>
  <c r="G23" i="6" s="1" a="1"/>
  <c r="G23" i="6" s="1"/>
  <c r="E20" i="6" a="1"/>
  <c r="E20" i="6" s="1"/>
  <c r="G20" i="6" s="1" a="1"/>
  <c r="G20" i="6" s="1"/>
  <c r="E22" i="6" a="1"/>
  <c r="E22" i="6" s="1"/>
  <c r="G22" i="6" s="1" a="1"/>
  <c r="G22" i="6" s="1"/>
  <c r="E24" i="6" a="1"/>
  <c r="E24" i="6" s="1"/>
  <c r="G24" i="6" s="1" a="1"/>
  <c r="G24" i="6" s="1"/>
  <c r="E19" i="6" a="1"/>
  <c r="E19" i="6" s="1"/>
  <c r="G19" i="6" s="1" a="1"/>
  <c r="G19" i="6" s="1"/>
  <c r="F42" i="7" a="1"/>
  <c r="F42" i="7" s="1"/>
  <c r="G42" i="7" s="1"/>
  <c r="F40" i="7" a="1"/>
  <c r="F40" i="7" s="1"/>
  <c r="G40" i="7" s="1"/>
  <c r="F41" i="7" a="1"/>
  <c r="F41" i="7" s="1"/>
  <c r="G41" i="7" s="1"/>
  <c r="F43" i="7" a="1"/>
  <c r="F43" i="7" s="1"/>
  <c r="G43" i="7" s="1"/>
  <c r="F44" i="7" a="1"/>
  <c r="F44" i="7" s="1"/>
  <c r="G44" i="7" s="1"/>
  <c r="F45" i="7" a="1"/>
  <c r="F45" i="7" s="1"/>
  <c r="G45" i="7" s="1"/>
  <c r="F46" i="7" a="1"/>
  <c r="F46" i="7" s="1"/>
  <c r="G46" i="7" s="1"/>
  <c r="F47" i="7" a="1"/>
  <c r="F47" i="7" s="1"/>
  <c r="G47" i="7" s="1"/>
  <c r="F48" i="7" a="1"/>
  <c r="F48" i="7" s="1"/>
  <c r="G48" i="7" s="1"/>
  <c r="F50" i="7" a="1"/>
  <c r="F50" i="7" s="1"/>
  <c r="G50" i="7" s="1"/>
  <c r="F51" i="7" a="1"/>
  <c r="F51" i="7" s="1"/>
  <c r="G51" i="7" s="1"/>
  <c r="F49" i="7" a="1"/>
  <c r="F49" i="7" s="1"/>
  <c r="G49" i="7" s="1"/>
  <c r="F81" i="7"/>
  <c r="F80" i="7"/>
  <c r="F84" i="7" s="1"/>
  <c r="F37" i="7" a="1"/>
  <c r="F37" i="7" s="1"/>
  <c r="G37" i="7" s="1"/>
  <c r="F38" i="7" a="1"/>
  <c r="F38" i="7" s="1"/>
  <c r="G38" i="7" s="1"/>
  <c r="F39" i="7" a="1"/>
  <c r="F39" i="7" s="1"/>
  <c r="G39" i="7" s="1"/>
  <c r="F28" i="7" a="1"/>
  <c r="F28" i="7" s="1"/>
  <c r="G28" i="7" s="1"/>
  <c r="F30" i="7" a="1"/>
  <c r="F30" i="7" s="1"/>
  <c r="G30" i="7" s="1"/>
  <c r="F31" i="7" a="1"/>
  <c r="F31" i="7" s="1"/>
  <c r="G31" i="7" s="1"/>
  <c r="F32" i="7" a="1"/>
  <c r="F32" i="7" s="1"/>
  <c r="G32" i="7" s="1"/>
  <c r="F33" i="7" a="1"/>
  <c r="F33" i="7" s="1"/>
  <c r="G33" i="7" s="1"/>
  <c r="F34" i="7" a="1"/>
  <c r="F34" i="7" s="1"/>
  <c r="G34" i="7" s="1"/>
  <c r="F35" i="7" a="1"/>
  <c r="F35" i="7" s="1"/>
  <c r="G35" i="7" s="1"/>
  <c r="F36" i="7" a="1"/>
  <c r="F36" i="7" s="1"/>
  <c r="G36" i="7" s="1"/>
  <c r="F29" i="7" a="1"/>
  <c r="F29" i="7" s="1"/>
  <c r="G29" i="7" s="1"/>
  <c r="G92" i="8" l="1"/>
  <c r="J50" i="7"/>
  <c r="H50" i="7" a="1"/>
  <c r="H50" i="7" s="1"/>
  <c r="G31" i="6"/>
  <c r="M19" i="6" a="1"/>
  <c r="M19" i="6" s="1"/>
  <c r="H19" i="6" a="1"/>
  <c r="H19" i="6" s="1"/>
  <c r="J29" i="7"/>
  <c r="G90" i="7"/>
  <c r="I90" i="7" s="1"/>
  <c r="H29" i="7" a="1"/>
  <c r="H29" i="7" s="1"/>
  <c r="H62" i="6"/>
  <c r="H25" i="8" a="1"/>
  <c r="H25" i="8" s="1"/>
  <c r="I25" i="8" s="1"/>
  <c r="H26" i="8" a="1"/>
  <c r="H26" i="8" s="1"/>
  <c r="I26" i="8" s="1"/>
  <c r="K26" i="8" s="1"/>
  <c r="H63" i="6"/>
  <c r="H30" i="8" a="1"/>
  <c r="H30" i="8" s="1"/>
  <c r="I30" i="8" s="1"/>
  <c r="K30" i="8" s="1"/>
  <c r="H29" i="8" a="1"/>
  <c r="H29" i="8" s="1"/>
  <c r="I29" i="8" s="1"/>
  <c r="K29" i="8" s="1"/>
  <c r="H28" i="8" a="1"/>
  <c r="H28" i="8" s="1"/>
  <c r="I28" i="8" s="1"/>
  <c r="K28" i="8" s="1"/>
  <c r="H27" i="8" a="1"/>
  <c r="H27" i="8" s="1"/>
  <c r="I27" i="8" s="1"/>
  <c r="K27" i="8" s="1"/>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J48" i="7"/>
  <c r="H48" i="7" a="1"/>
  <c r="H48" i="7" s="1"/>
  <c r="J36" i="7"/>
  <c r="G97" i="7"/>
  <c r="H36" i="7" a="1"/>
  <c r="H36" i="7" s="1"/>
  <c r="J43" i="7"/>
  <c r="H43" i="7" a="1"/>
  <c r="H43" i="7" s="1"/>
  <c r="J33" i="7"/>
  <c r="G94" i="7"/>
  <c r="I94" i="7" s="1"/>
  <c r="H33" i="7" a="1"/>
  <c r="H33" i="7" s="1"/>
  <c r="K31" i="6"/>
  <c r="L19" i="6" a="1"/>
  <c r="L19" i="6" s="1"/>
  <c r="L31" i="6" s="1"/>
  <c r="J44" i="7"/>
  <c r="H44" i="7" a="1"/>
  <c r="H44" i="7" s="1"/>
  <c r="J35" i="7"/>
  <c r="G96" i="7"/>
  <c r="H35" i="7" a="1"/>
  <c r="H35" i="7" s="1"/>
  <c r="J28" i="7"/>
  <c r="G89" i="7"/>
  <c r="I89" i="7" s="1"/>
  <c r="H28" i="7" a="1"/>
  <c r="H28" i="7" s="1"/>
  <c r="I62" i="6"/>
  <c r="H37" i="8" a="1"/>
  <c r="H37" i="8" s="1"/>
  <c r="I37" i="8" s="1"/>
  <c r="I63" i="6"/>
  <c r="H40" i="8" a="1"/>
  <c r="H40" i="8" s="1"/>
  <c r="I40" i="8" s="1"/>
  <c r="K40" i="8" s="1"/>
  <c r="H39" i="8" a="1"/>
  <c r="H39" i="8" s="1"/>
  <c r="I39" i="8" s="1"/>
  <c r="K39" i="8" s="1"/>
  <c r="H38" i="8" a="1"/>
  <c r="H38" i="8" s="1"/>
  <c r="I38" i="8" s="1"/>
  <c r="K38" i="8" s="1"/>
  <c r="H42" i="8" a="1"/>
  <c r="H42" i="8" s="1"/>
  <c r="I42" i="8" s="1"/>
  <c r="K42" i="8" s="1"/>
  <c r="H41" i="8" a="1"/>
  <c r="H41" i="8" s="1"/>
  <c r="I41" i="8" s="1"/>
  <c r="K41" i="8" s="1"/>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J45" i="7"/>
  <c r="H45" i="7" a="1"/>
  <c r="H45" i="7" s="1"/>
  <c r="M20" i="6" a="1"/>
  <c r="M20" i="6" s="1"/>
  <c r="H20" i="6" a="1"/>
  <c r="H20" i="6" s="1"/>
  <c r="N20" i="6" s="1" a="1"/>
  <c r="N20" i="6" s="1"/>
  <c r="J39" i="7"/>
  <c r="G100" i="7"/>
  <c r="H39" i="7" a="1"/>
  <c r="H39" i="7" s="1"/>
  <c r="J46" i="7"/>
  <c r="H46" i="7" a="1"/>
  <c r="H46" i="7" s="1"/>
  <c r="H22" i="6" a="1"/>
  <c r="H22" i="6" s="1"/>
  <c r="N22" i="6" s="1" a="1"/>
  <c r="N22" i="6" s="1"/>
  <c r="M22" i="6" a="1"/>
  <c r="M22" i="6" s="1"/>
  <c r="J38" i="7"/>
  <c r="G99" i="7"/>
  <c r="H38" i="7" a="1"/>
  <c r="H38" i="7" s="1"/>
  <c r="J51" i="7"/>
  <c r="H51" i="7" a="1"/>
  <c r="H51" i="7" s="1"/>
  <c r="J40" i="7"/>
  <c r="H40" i="7" a="1"/>
  <c r="H40" i="7" s="1"/>
  <c r="J34" i="7"/>
  <c r="G95" i="7"/>
  <c r="H34" i="7" a="1"/>
  <c r="H34" i="7" s="1"/>
  <c r="J37" i="7"/>
  <c r="G98" i="7"/>
  <c r="H37" i="7" a="1"/>
  <c r="H37" i="7" s="1"/>
  <c r="J42" i="7"/>
  <c r="H42" i="7" a="1"/>
  <c r="H42" i="7" s="1"/>
  <c r="M21" i="6" a="1"/>
  <c r="M21" i="6" s="1"/>
  <c r="H21" i="6" a="1"/>
  <c r="H21" i="6" s="1"/>
  <c r="N21" i="6" s="1" a="1"/>
  <c r="N21" i="6" s="1"/>
  <c r="J31" i="7"/>
  <c r="G92" i="7"/>
  <c r="I92" i="7" s="1"/>
  <c r="H31" i="7" a="1"/>
  <c r="H31" i="7" s="1"/>
  <c r="E7" i="2" a="1"/>
  <c r="E7" i="2" s="1"/>
  <c r="O81" i="7"/>
  <c r="C88" i="2" s="1"/>
  <c r="J41" i="7"/>
  <c r="H41" i="7" a="1"/>
  <c r="H41" i="7" s="1"/>
  <c r="H23" i="6" a="1"/>
  <c r="H23" i="6" s="1"/>
  <c r="N23" i="6" s="1" a="1"/>
  <c r="N23" i="6" s="1"/>
  <c r="M23" i="6" a="1"/>
  <c r="M23" i="6" s="1"/>
  <c r="J30" i="7"/>
  <c r="G91" i="7"/>
  <c r="I91" i="7" s="1"/>
  <c r="H30" i="7" a="1"/>
  <c r="H30" i="7" s="1"/>
  <c r="J47" i="7"/>
  <c r="H47" i="7" a="1"/>
  <c r="H47" i="7" s="1"/>
  <c r="H24" i="6" a="1"/>
  <c r="H24" i="6" s="1"/>
  <c r="N24" i="6" s="1" a="1"/>
  <c r="N24" i="6" s="1"/>
  <c r="M24" i="6" a="1"/>
  <c r="M24" i="6" s="1"/>
  <c r="J32" i="7"/>
  <c r="H32" i="7" a="1"/>
  <c r="H32" i="7" s="1"/>
  <c r="G93" i="7"/>
  <c r="I93" i="7" s="1"/>
  <c r="J49" i="7"/>
  <c r="H49" i="7" a="1"/>
  <c r="H49" i="7" s="1"/>
  <c r="C107" i="7" l="1" a="1"/>
  <c r="C107" i="7" s="1"/>
  <c r="H112" i="7" s="1"/>
  <c r="D89" i="8" a="1"/>
  <c r="D89" i="8" s="1"/>
  <c r="D93" i="7"/>
  <c r="F93" i="7" s="1"/>
  <c r="E84" i="8"/>
  <c r="E76" i="2" s="1"/>
  <c r="D89" i="7"/>
  <c r="I71" i="8"/>
  <c r="E80" i="8"/>
  <c r="D80" i="7"/>
  <c r="D90" i="8" a="1"/>
  <c r="D90" i="8" s="1"/>
  <c r="R30" i="7" a="1"/>
  <c r="R30" i="7" s="1"/>
  <c r="P30" i="7"/>
  <c r="D91" i="8" a="1"/>
  <c r="D91" i="8" s="1"/>
  <c r="R33" i="7" a="1"/>
  <c r="R33" i="7" s="1"/>
  <c r="P33" i="7"/>
  <c r="D87" i="8" a="1"/>
  <c r="D87" i="8" s="1"/>
  <c r="D100" i="7"/>
  <c r="E91" i="8"/>
  <c r="E83" i="2" s="1"/>
  <c r="P45" i="7"/>
  <c r="R45" i="7" a="1"/>
  <c r="R45" i="7" s="1"/>
  <c r="K25" i="8"/>
  <c r="K71" i="8"/>
  <c r="K37" i="8"/>
  <c r="E72" i="8" s="1"/>
  <c r="K72" i="8"/>
  <c r="P28" i="7"/>
  <c r="R28" i="7" a="1"/>
  <c r="R28" i="7" s="1"/>
  <c r="R44" i="7" a="1"/>
  <c r="R44" i="7" s="1"/>
  <c r="P44" i="7"/>
  <c r="D92" i="7"/>
  <c r="F92" i="7" s="1"/>
  <c r="E83" i="8"/>
  <c r="E75" i="2" s="1"/>
  <c r="R43" i="7" a="1"/>
  <c r="R43" i="7" s="1"/>
  <c r="P43" i="7"/>
  <c r="R29" i="7" a="1"/>
  <c r="R29" i="7" s="1"/>
  <c r="P29" i="7"/>
  <c r="D91" i="7"/>
  <c r="F91" i="7" s="1"/>
  <c r="E82" i="8"/>
  <c r="E74" i="2" s="1"/>
  <c r="D96" i="7"/>
  <c r="E87" i="8"/>
  <c r="E79" i="2" s="1"/>
  <c r="R42" i="7" a="1"/>
  <c r="R42" i="7" s="1"/>
  <c r="P42" i="7"/>
  <c r="D98" i="7"/>
  <c r="E89" i="8"/>
  <c r="E81" i="2" s="1"/>
  <c r="D90" i="7"/>
  <c r="F90" i="7" s="1"/>
  <c r="E81" i="8"/>
  <c r="E73" i="2" s="1"/>
  <c r="H31" i="6"/>
  <c r="N19" i="6" a="1"/>
  <c r="N19" i="6" s="1"/>
  <c r="N31" i="6" s="1"/>
  <c r="P41" i="7"/>
  <c r="R41" i="7" a="1"/>
  <c r="R41" i="7" s="1"/>
  <c r="D94" i="7"/>
  <c r="F94" i="7" s="1"/>
  <c r="E85" i="8"/>
  <c r="E77" i="2" s="1"/>
  <c r="M31" i="6"/>
  <c r="D95" i="7"/>
  <c r="E86" i="8"/>
  <c r="E78" i="2" s="1"/>
  <c r="P32" i="7"/>
  <c r="R32" i="7" a="1"/>
  <c r="R32" i="7" s="1"/>
  <c r="D99" i="7"/>
  <c r="E90" i="8"/>
  <c r="E82" i="2" s="1"/>
  <c r="D88" i="8" a="1"/>
  <c r="D88" i="8" s="1"/>
  <c r="D97" i="7"/>
  <c r="E88" i="8"/>
  <c r="E80" i="2" s="1"/>
  <c r="R40" i="7" a="1"/>
  <c r="R40" i="7" s="1"/>
  <c r="P40" i="7"/>
  <c r="P31" i="7"/>
  <c r="R31" i="7" a="1"/>
  <c r="R31" i="7" s="1"/>
  <c r="I72" i="8"/>
  <c r="D81" i="7"/>
  <c r="G81" i="7" l="1"/>
  <c r="T33" i="7"/>
  <c r="T44" i="7"/>
  <c r="E80" i="7"/>
  <c r="T28" i="7"/>
  <c r="D79" i="2"/>
  <c r="H87" i="8" a="1"/>
  <c r="H87" i="8" s="1"/>
  <c r="T40" i="7"/>
  <c r="E81" i="7"/>
  <c r="C14" i="1" a="1"/>
  <c r="C14" i="1" s="1"/>
  <c r="H5" i="2"/>
  <c r="B12" i="2" a="1"/>
  <c r="B12" i="2" s="1"/>
  <c r="D83" i="2"/>
  <c r="H91" i="8" a="1"/>
  <c r="H91" i="8" s="1"/>
  <c r="T30" i="7"/>
  <c r="D80" i="2"/>
  <c r="H88" i="8" a="1"/>
  <c r="H88" i="8" s="1"/>
  <c r="T31" i="7"/>
  <c r="D82" i="2"/>
  <c r="H90" i="8" a="1"/>
  <c r="H90" i="8" s="1"/>
  <c r="E57" i="2"/>
  <c r="K80" i="7" a="1"/>
  <c r="K80" i="7" s="1"/>
  <c r="J57" i="2" s="1"/>
  <c r="D84" i="7"/>
  <c r="J80" i="7"/>
  <c r="T43" i="7"/>
  <c r="E72" i="2"/>
  <c r="E92" i="8"/>
  <c r="T41" i="7"/>
  <c r="I75" i="8"/>
  <c r="G80" i="7"/>
  <c r="T45" i="7"/>
  <c r="C103" i="7"/>
  <c r="F89" i="7"/>
  <c r="C106" i="7" s="1" a="1"/>
  <c r="C106" i="7" s="1"/>
  <c r="G112" i="7" s="1"/>
  <c r="T32" i="7"/>
  <c r="K75" i="8"/>
  <c r="D86" i="8" a="1"/>
  <c r="D86" i="8" s="1"/>
  <c r="E71" i="8"/>
  <c r="T42" i="7"/>
  <c r="D81" i="2"/>
  <c r="H89" i="8" a="1"/>
  <c r="H89" i="8" s="1"/>
  <c r="O58" i="2"/>
  <c r="F72" i="8"/>
  <c r="L72" i="8" s="1" a="1"/>
  <c r="L72" i="8" s="1"/>
  <c r="H6" i="2"/>
  <c r="B32" i="6" a="1"/>
  <c r="B32" i="6" s="1"/>
  <c r="E58" i="2"/>
  <c r="J81" i="7"/>
  <c r="T29" i="7"/>
  <c r="G84" i="7" l="1"/>
  <c r="O82" i="7" s="1"/>
  <c r="C89" i="2" s="1"/>
  <c r="E61" i="2"/>
  <c r="O79" i="7"/>
  <c r="C86" i="2" s="1"/>
  <c r="D28" i="12"/>
  <c r="J84" i="7"/>
  <c r="K84" i="7" s="1" a="1"/>
  <c r="K84" i="7" s="1"/>
  <c r="D112" i="7"/>
  <c r="C105" i="7" a="1"/>
  <c r="C105" i="7" s="1"/>
  <c r="F112" i="7" s="1"/>
  <c r="I57" i="2"/>
  <c r="L80" i="7"/>
  <c r="I58" i="2"/>
  <c r="L81" i="7"/>
  <c r="K81" i="7" a="1"/>
  <c r="K81" i="7" s="1"/>
  <c r="J58" i="2" s="1"/>
  <c r="Q58" i="2"/>
  <c r="H72" i="8" a="1"/>
  <c r="H72" i="8" s="1"/>
  <c r="S58" i="2" s="1"/>
  <c r="J72" i="8"/>
  <c r="E75" i="8"/>
  <c r="O57" i="2"/>
  <c r="F71" i="8"/>
  <c r="D78" i="2"/>
  <c r="H86" i="8" a="1"/>
  <c r="H86" i="8" s="1"/>
  <c r="D92" i="8"/>
  <c r="H92" i="8" s="1" a="1"/>
  <c r="H92" i="8" s="1"/>
  <c r="E27" i="12" a="1"/>
  <c r="E27" i="12" s="1"/>
  <c r="F27" i="12" s="1"/>
  <c r="H27" i="12" s="1"/>
  <c r="C13" i="9"/>
  <c r="D21" i="9" s="1"/>
  <c r="E84" i="7"/>
  <c r="E28" i="12" l="1"/>
  <c r="F28" i="12" s="1"/>
  <c r="H28" i="12" s="1"/>
  <c r="O80" i="7"/>
  <c r="C87" i="2" s="1"/>
  <c r="C13" i="1" a="1"/>
  <c r="C13" i="1" s="1"/>
  <c r="I61" i="2"/>
  <c r="E5" i="2"/>
  <c r="L84" i="7"/>
  <c r="B11" i="2" a="1"/>
  <c r="B11" i="2" s="1"/>
  <c r="E6" i="2"/>
  <c r="J61" i="2"/>
  <c r="F75" i="8"/>
  <c r="H71" i="8" a="1"/>
  <c r="H71" i="8" s="1"/>
  <c r="S57" i="2" s="1"/>
  <c r="Q57" i="2"/>
  <c r="J71" i="8"/>
  <c r="L71" i="8" a="1"/>
  <c r="L71" i="8" s="1"/>
  <c r="D33" i="12"/>
  <c r="F33" i="12" s="1"/>
  <c r="H33" i="12" s="1"/>
  <c r="O61" i="2"/>
  <c r="C17" i="9"/>
  <c r="G21" i="9" s="1"/>
  <c r="D29" i="12"/>
  <c r="Q61" i="2" l="1"/>
  <c r="J75" i="8"/>
  <c r="B5" i="2"/>
  <c r="E36" i="12" s="1" a="1"/>
  <c r="E36" i="12" s="1"/>
  <c r="E29" i="12"/>
  <c r="F29" i="12" s="1"/>
  <c r="H29" i="12" s="1"/>
  <c r="H75" i="8" a="1"/>
  <c r="H75" i="8" s="1"/>
  <c r="B15" i="2" s="1" a="1"/>
  <c r="B15" i="2" s="1"/>
  <c r="D36" i="12"/>
  <c r="D32" i="12"/>
  <c r="F32" i="12" s="1"/>
  <c r="H32" i="12" s="1"/>
  <c r="C12" i="9"/>
  <c r="L75" i="8" a="1"/>
  <c r="L75" i="8" s="1"/>
  <c r="C14" i="9" a="1"/>
  <c r="C14" i="9" s="1"/>
  <c r="E21" i="9" s="1"/>
  <c r="L43" i="9" l="1"/>
  <c r="B28" i="9"/>
  <c r="C21" i="9"/>
  <c r="L47" i="9"/>
  <c r="L39" i="9"/>
  <c r="L55" i="9"/>
  <c r="L51" i="9"/>
  <c r="D31" i="12"/>
  <c r="F31" i="12" s="1"/>
  <c r="H31" i="12" s="1"/>
  <c r="S61" i="2"/>
  <c r="B6" i="2"/>
  <c r="C15" i="9"/>
  <c r="C16" i="9"/>
  <c r="F21" i="9" s="1"/>
  <c r="B8" i="2" a="1"/>
  <c r="B8" i="2" s="1"/>
  <c r="F36" i="12"/>
  <c r="H36" i="12" s="1"/>
  <c r="C16" i="1" a="1"/>
  <c r="C16" i="1" s="1"/>
  <c r="B2" i="12" l="1"/>
  <c r="C10" i="1" s="1"/>
  <c r="B2"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173ABC-AA67-40A4-B6A6-5F6642B1D08C}" keepAlive="1" name="ModelConnection_ExternalData_1" description="Data Model" type="5" refreshedVersion="8" minRefreshableVersion="5" saveData="1">
    <dbPr connection="Data Model Connection" command="Monthly" commandType="3"/>
    <extLst>
      <ext xmlns:x15="http://schemas.microsoft.com/office/spreadsheetml/2010/11/main" uri="{DE250136-89BD-433C-8126-D09CA5730AF9}">
        <x15:connection id="" model="1"/>
      </ext>
    </extLst>
  </connection>
  <connection id="2" xr16:uid="{7D1701E4-2E4E-4078-A7C8-5102E9C9FBB9}" keepAlive="1" name="ModelConnection_ExternalData_11" description="Data Model" type="5" refreshedVersion="8" minRefreshableVersion="5" saveData="1">
    <dbPr connection="Data Model Connection" command="Weather" commandType="3"/>
    <extLst>
      <ext xmlns:x15="http://schemas.microsoft.com/office/spreadsheetml/2010/11/main" uri="{DE250136-89BD-433C-8126-D09CA5730AF9}">
        <x15:connection id="" model="1"/>
      </ext>
    </extLst>
  </connection>
  <connection id="3" xr16:uid="{ADBAA3D0-F742-4AB6-B7D4-66BDB94C28EF}" name="Query - Calendar" description="Connection to the 'Calendar' query." type="100" refreshedVersion="8" minRefreshableVersion="5">
    <extLst>
      <ext xmlns:x15="http://schemas.microsoft.com/office/spreadsheetml/2010/11/main" uri="{DE250136-89BD-433C-8126-D09CA5730AF9}">
        <x15:connection id="1057f266-72d6-422e-a9ad-f141152e1aef"/>
      </ext>
    </extLst>
  </connection>
  <connection id="4" xr16:uid="{AC450211-EC8B-4DB1-A3BB-A6283B804E68}" name="Query - Class" description="Connection to the 'Class' query." type="100" refreshedVersion="8" minRefreshableVersion="5">
    <extLst>
      <ext xmlns:x15="http://schemas.microsoft.com/office/spreadsheetml/2010/11/main" uri="{DE250136-89BD-433C-8126-D09CA5730AF9}">
        <x15:connection id="fd28c878-20c5-4758-a9ac-53f266d2b19b"/>
      </ext>
    </extLst>
  </connection>
  <connection id="5" xr16:uid="{934D47CB-69D9-412F-9474-9EC1F84A36C8}" name="Query - Monthly" description="Connection to the 'Monthly' query." type="100" refreshedVersion="8" minRefreshableVersion="5">
    <extLst>
      <ext xmlns:x15="http://schemas.microsoft.com/office/spreadsheetml/2010/11/main" uri="{DE250136-89BD-433C-8126-D09CA5730AF9}">
        <x15:connection id="490fcad2-6885-40c9-a2a4-df20036c2ad8"/>
      </ext>
    </extLst>
  </connection>
  <connection id="6" xr16:uid="{B6545F7B-BC8F-424D-BC79-6F881380D22F}" name="Query - Weather" description="Connection to the 'Weather' query." type="100" refreshedVersion="8" minRefreshableVersion="5">
    <extLst>
      <ext xmlns:x15="http://schemas.microsoft.com/office/spreadsheetml/2010/11/main" uri="{DE250136-89BD-433C-8126-D09CA5730AF9}">
        <x15:connection id="d987ec44-7f84-4ad0-8f85-0b0b504bb215"/>
      </ext>
    </extLst>
  </connection>
  <connection id="7" xr16:uid="{32E1BE6B-46E2-404B-9C6E-70257BDF808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8" xr16:uid="{7939119C-4878-481E-9B0F-61BFA79D2B5A}" keepAlive="1" name="ThisWorkbookDataModel1" description="Data Model" type="5" refreshedVersion="8" minRefreshableVersion="5" background="1">
    <dbPr connection="Data Model Connection" command="Monthly" commandType="3"/>
    <extLst>
      <ext xmlns:x15="http://schemas.microsoft.com/office/spreadsheetml/2010/11/main" uri="{DE250136-89BD-433C-8126-D09CA5730AF9}">
        <x15:connection id="" model="1"/>
      </ext>
    </extLst>
  </connection>
  <connection id="9" xr16:uid="{749B69B9-048F-4429-AFA6-3DB2CBD5249E}" keepAlive="1" name="ThisWorkbookDataModel2" description="Data Model" type="5" refreshedVersion="8" minRefreshableVersion="5" background="1">
    <dbPr connection="Data Model Connection" command="Weather" commandType="3"/>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13">
    <s v="ThisWorkbookDataModel"/>
    <s v="[Measures].[Revenue YoY %]"/>
    <s v="[Class].[label].&amp;[Residential]"/>
    <s v="[Calendar].[year].&amp;[2026]"/>
    <s v="0.0%;-0.0%;0.0%"/>
    <s v="[Class].[label].&amp;[Commercial]"/>
    <s v="[Class].[label].&amp;[Transportation]"/>
    <s v="[Class].[label].&amp;[Industrial]"/>
    <s v="[Measures].[Retail Revenue]"/>
    <s v="[Calendar].[year].&amp;[2024]"/>
    <s v="\$#,0;-\$#,0;\$#,0"/>
    <s v="[Calendar].[year].&amp;[2025]"/>
    <s v="[Calendar].[year].&amp;[2023]"/>
  </metadataStrings>
  <mdxMetadata count="25">
    <mdx n="0" f="v">
      <t c="3" si="4">
        <n x="1"/>
        <n x="2"/>
        <n x="3"/>
      </t>
    </mdx>
    <mdx n="0" f="v">
      <t c="2" si="4">
        <n x="1"/>
        <n x="3"/>
      </t>
    </mdx>
    <mdx n="0" f="v">
      <t c="3" si="4">
        <n x="1"/>
        <n x="5"/>
        <n x="3"/>
      </t>
    </mdx>
    <mdx n="0" f="v">
      <t c="3" si="4">
        <n x="1"/>
        <n x="6"/>
        <n x="3"/>
      </t>
    </mdx>
    <mdx n="0" f="v">
      <t c="3" si="4">
        <n x="1"/>
        <n x="7"/>
        <n x="3"/>
      </t>
    </mdx>
    <mdx n="0" f="v">
      <t c="3" si="10">
        <n x="8"/>
        <n x="6"/>
        <n x="9"/>
      </t>
    </mdx>
    <mdx n="0" f="v">
      <t c="2" si="10">
        <n x="8"/>
        <n x="9"/>
      </t>
    </mdx>
    <mdx n="0" f="v">
      <t c="3" si="10">
        <n x="8"/>
        <n x="7"/>
        <n x="11"/>
      </t>
    </mdx>
    <mdx n="0" f="v">
      <t c="3" si="10">
        <n x="8"/>
        <n x="2"/>
        <n x="9"/>
      </t>
    </mdx>
    <mdx n="0" f="v">
      <t c="3" si="10">
        <n x="8"/>
        <n x="5"/>
        <n x="9"/>
      </t>
    </mdx>
    <mdx n="0" f="v">
      <t c="3" si="10">
        <n x="8"/>
        <n x="6"/>
        <n x="11"/>
      </t>
    </mdx>
    <mdx n="0" f="v">
      <t c="3" si="10">
        <n x="8"/>
        <n x="6"/>
        <n x="12"/>
      </t>
    </mdx>
    <mdx n="0" f="v">
      <t c="3" si="10">
        <n x="8"/>
        <n x="5"/>
        <n x="3"/>
      </t>
    </mdx>
    <mdx n="0" f="v">
      <t c="3" si="10">
        <n x="8"/>
        <n x="5"/>
        <n x="11"/>
      </t>
    </mdx>
    <mdx n="0" f="v">
      <t c="2" si="10">
        <n x="8"/>
        <n x="12"/>
      </t>
    </mdx>
    <mdx n="0" f="v">
      <t c="3" si="10">
        <n x="8"/>
        <n x="7"/>
        <n x="3"/>
      </t>
    </mdx>
    <mdx n="0" f="v">
      <t c="3" si="10">
        <n x="8"/>
        <n x="2"/>
        <n x="12"/>
      </t>
    </mdx>
    <mdx n="0" f="v">
      <t c="3" si="10">
        <n x="8"/>
        <n x="6"/>
        <n x="3"/>
      </t>
    </mdx>
    <mdx n="0" f="v">
      <t c="2" si="10">
        <n x="8"/>
        <n x="3"/>
      </t>
    </mdx>
    <mdx n="0" f="v">
      <t c="2" si="10">
        <n x="8"/>
        <n x="11"/>
      </t>
    </mdx>
    <mdx n="0" f="v">
      <t c="3" si="10">
        <n x="8"/>
        <n x="5"/>
        <n x="12"/>
      </t>
    </mdx>
    <mdx n="0" f="v">
      <t c="3" si="10">
        <n x="8"/>
        <n x="2"/>
        <n x="11"/>
      </t>
    </mdx>
    <mdx n="0" f="v">
      <t c="3" si="10">
        <n x="8"/>
        <n x="7"/>
        <n x="12"/>
      </t>
    </mdx>
    <mdx n="0" f="v">
      <t c="3" si="10">
        <n x="8"/>
        <n x="2"/>
        <n x="3"/>
      </t>
    </mdx>
    <mdx n="0" f="v">
      <t c="3" si="10">
        <n x="8"/>
        <n x="7"/>
        <n x="9"/>
      </t>
    </mdx>
  </mdxMetadata>
  <futureMetadata name="XLDAPR" count="1">
    <bk>
      <extLst>
        <ext uri="{bdbb8cdc-fa1e-496e-a857-3c3f30c029c3}">
          <xda:dynamicArrayProperties fDynamic="1" fCollapsed="0"/>
        </ext>
      </extLst>
    </bk>
  </futureMetadata>
  <cellMetadata count="1">
    <bk>
      <rc t="2" v="0"/>
    </bk>
  </cellMetadata>
  <valueMetadata count="25">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valueMetadata>
</metadata>
</file>

<file path=xl/sharedStrings.xml><?xml version="1.0" encoding="utf-8"?>
<sst xmlns="http://schemas.openxmlformats.org/spreadsheetml/2006/main" count="3680" uniqueCount="600">
  <si>
    <t>EIA-861M: PGE monthly retail sales by class, as published</t>
  </si>
  <si>
    <t>Loaded unchanged from data/eia_pge_monthly.csv. Formulas and Power Query read these tables by name; data/sources.json records where each came from.</t>
  </si>
  <si>
    <t>year</t>
  </si>
  <si>
    <t>month</t>
  </si>
  <si>
    <t>data_status</t>
  </si>
  <si>
    <t>residential_revenue_k</t>
  </si>
  <si>
    <t>residential_mwh</t>
  </si>
  <si>
    <t>residential_customers</t>
  </si>
  <si>
    <t>commercial_revenue_k</t>
  </si>
  <si>
    <t>commercial_mwh</t>
  </si>
  <si>
    <t>commercial_customers</t>
  </si>
  <si>
    <t>industrial_revenue_k</t>
  </si>
  <si>
    <t>industrial_mwh</t>
  </si>
  <si>
    <t>industrial_customers</t>
  </si>
  <si>
    <t>transportation_revenue_k</t>
  </si>
  <si>
    <t>transportation_mwh</t>
  </si>
  <si>
    <t>transportation_customers</t>
  </si>
  <si>
    <t>total_revenue_k</t>
  </si>
  <si>
    <t>total_mwh</t>
  </si>
  <si>
    <t>total_customers</t>
  </si>
  <si>
    <t>Final</t>
  </si>
  <si>
    <t>Preliminary</t>
  </si>
  <si>
    <t>FERC Form 1 via PUDL: revenue (sched. 300), expenses (sched. 320), income statement (sched. 114)</t>
  </si>
  <si>
    <t>Loaded unchanged from data/ferc_revenue.csv. Formulas and Power Query read these tables by name; data/sources.json records where each came from.</t>
  </si>
  <si>
    <t>report_year</t>
  </si>
  <si>
    <t>utility_id_ferc1</t>
  </si>
  <si>
    <t>revenue_type</t>
  </si>
  <si>
    <t>dollar_value</t>
  </si>
  <si>
    <t>sales_mwh</t>
  </si>
  <si>
    <t>avg_customers_per_month</t>
  </si>
  <si>
    <t>electric_operating_revenues</t>
  </si>
  <si>
    <t>large_or_industrial</t>
  </si>
  <si>
    <t>other_operating_revenues</t>
  </si>
  <si>
    <t>public_street_and_highway_lighting</t>
  </si>
  <si>
    <t>residential_sales</t>
  </si>
  <si>
    <t>revenues_net_of_provision_for_refunds</t>
  </si>
  <si>
    <t>sales_for_resale</t>
  </si>
  <si>
    <t>sales_of_electricity</t>
  </si>
  <si>
    <t>sales_to_ultimate_consumers</t>
  </si>
  <si>
    <t>small_or_commercial</t>
  </si>
  <si>
    <t>provision_for_rate_refunds</t>
  </si>
  <si>
    <t>other_sales_to_public_authorities</t>
  </si>
  <si>
    <t>expense_type</t>
  </si>
  <si>
    <t>administrative_and_general_expenses</t>
  </si>
  <si>
    <t>customer_account_expenses</t>
  </si>
  <si>
    <t>customer_service_and_information_expenses</t>
  </si>
  <si>
    <t>distribution_expenses</t>
  </si>
  <si>
    <t>fuel</t>
  </si>
  <si>
    <t>fuel_steam_power_generation</t>
  </si>
  <si>
    <t>operations_and_maintenance_expenses_electric</t>
  </si>
  <si>
    <t>power_production_expenses</t>
  </si>
  <si>
    <t>purchased_power</t>
  </si>
  <si>
    <t>sales_expenses</t>
  </si>
  <si>
    <t>transmission_expenses</t>
  </si>
  <si>
    <t>power_purchased_for_storage_operations</t>
  </si>
  <si>
    <t>nuclear_fuel_expense</t>
  </si>
  <si>
    <t>fuel_other_renewable_generation</t>
  </si>
  <si>
    <t>storage_fuel_energy_storage_expense</t>
  </si>
  <si>
    <t>income_type</t>
  </si>
  <si>
    <t>amortization_and_depletion_of_utility_plant</t>
  </si>
  <si>
    <t>depreciation_expense</t>
  </si>
  <si>
    <t>depreciation_expense_for_asset_retirement_costs</t>
  </si>
  <si>
    <t>maintenance_expense</t>
  </si>
  <si>
    <t>operating_revenues</t>
  </si>
  <si>
    <t>operation_expense</t>
  </si>
  <si>
    <t>taxes_other_than_income_taxes_utility_operating_income</t>
  </si>
  <si>
    <t>The FERC respondents in the model, and the customer classes</t>
  </si>
  <si>
    <t>Loaded unchanged from data/utilities.csv. Formulas and Power Query read these tables by name; data/sources.json records where each came from.</t>
  </si>
  <si>
    <t>utility</t>
  </si>
  <si>
    <t>short_name</t>
  </si>
  <si>
    <t>states</t>
  </si>
  <si>
    <t>role</t>
  </si>
  <si>
    <t>Portland General Electric Company</t>
  </si>
  <si>
    <t>PGE</t>
  </si>
  <si>
    <t>OR</t>
  </si>
  <si>
    <t>company</t>
  </si>
  <si>
    <t>PacifiCorp</t>
  </si>
  <si>
    <t>OR, WA, UT, WY, ID, CA</t>
  </si>
  <si>
    <t>peer</t>
  </si>
  <si>
    <t>Puget Sound Energy, Inc.</t>
  </si>
  <si>
    <t>Puget Sound Energy</t>
  </si>
  <si>
    <t>WA</t>
  </si>
  <si>
    <t>Avista Corporation</t>
  </si>
  <si>
    <t>Avista</t>
  </si>
  <si>
    <t>WA, ID</t>
  </si>
  <si>
    <t>Idaho Power Company</t>
  </si>
  <si>
    <t>Idaho Power</t>
  </si>
  <si>
    <t>ID, OR</t>
  </si>
  <si>
    <t>class</t>
  </si>
  <si>
    <t>label</t>
  </si>
  <si>
    <t>sort</t>
  </si>
  <si>
    <t>weather_model</t>
  </si>
  <si>
    <t>residential</t>
  </si>
  <si>
    <t>Residential</t>
  </si>
  <si>
    <t>yes</t>
  </si>
  <si>
    <t>commercial</t>
  </si>
  <si>
    <t>Commercial</t>
  </si>
  <si>
    <t>industrial</t>
  </si>
  <si>
    <t>Industrial</t>
  </si>
  <si>
    <t>no</t>
  </si>
  <si>
    <t>transportation</t>
  </si>
  <si>
    <t>Transportation</t>
  </si>
  <si>
    <t>NOAA nClimDiv degree days, Oregon division 2 (Willamette Valley), as published</t>
  </si>
  <si>
    <t>Fixed-width lines: division, element (25 heating, 26 cooling), year, twelve monthly values. Power Query parses them into tbl_Weather.</t>
  </si>
  <si>
    <t>line</t>
  </si>
  <si>
    <t>3502252007   856.   627.   539.   501.   322.   199.    34.    66.   180.   459.   648.   818.</t>
  </si>
  <si>
    <t>3502252008   896.   644.   719.   612.   322.   238.    54.    54.   123.   415.   528.   880.</t>
  </si>
  <si>
    <t>3502252009   787.   672.   725.   525.   305.   144.    18.    51.   111.   440.   624.   908.</t>
  </si>
  <si>
    <t>3502252010   636.   560.   614.   540.   431.   246.    64.    66.   143.   381.   654.   744.</t>
  </si>
  <si>
    <t>3502252011   744.   736.   670.   624.   462.   235.   110.    54.    77.   378.   663.   846.</t>
  </si>
  <si>
    <t>3502252012   763.   669.   722.   468.   360.   249.    79.    34.   104.   369.   567.   797.</t>
  </si>
  <si>
    <t>3502252013   852.   655.   592.   468.   290.   130.    31.    35.   138.   434.   618.   914.</t>
  </si>
  <si>
    <t>3502252014   719.   700.   561.   447.   249.   172.    17.    16.    77.   243.   609.   679.</t>
  </si>
  <si>
    <t>3502252015   645.   490.   453.   486.   261.    47.    14.    22.   157.   237.   666.   747.</t>
  </si>
  <si>
    <t>3502252016   735.   518.   580.   327.   249.   122.    71.    23.   164.   394.   480.   921.</t>
  </si>
  <si>
    <t>3502252017   924.   680.   617.   531.   275.   133.    37.     9.    91.   403.   609.   797.</t>
  </si>
  <si>
    <t>3502252018   670.   697.   666.   474.   238.   149.    17.    29.   162.   338.   573.   750.</t>
  </si>
  <si>
    <t>3502252019   716.   823.   660.   447.   258.   130.    63.    30.   167.   508.   600.   738.</t>
  </si>
  <si>
    <t>3502252020   691.   661.   679.   435.   284.   169.    48.    36.    80.   347.   639.   725.</t>
  </si>
  <si>
    <t>3502252021   707.   700.   670.   420.   305.    54.    17.    24.   119.   440.   540.   812.</t>
  </si>
  <si>
    <t>3502252022   750.   661.   570.   591.   409.   157.    20.    11.    74.   228.   738.   818.</t>
  </si>
  <si>
    <t>3502252023   756.   734.   760.   543.   202.   122.    22.    10.   138.   338.   600.   642.</t>
  </si>
  <si>
    <t>3502252024   747.   613.   617.   486.   344.   144.    11.    41.    97.   344.   639.   704.</t>
  </si>
  <si>
    <t>3502252025   784.   706.   589.   420.   310.   115.    20.    11.    79.   425.   519.   626.</t>
  </si>
  <si>
    <t>3502252026   701.   599.   524.   408.   241.   109.    41.    27. -9999. -9999. -9999. -9999.</t>
  </si>
  <si>
    <t>3502262007     0.     0.     0.     0.     0.     7.   102.    60.    12.     0.     0.     0.</t>
  </si>
  <si>
    <t>3502262008     0.     0.     0.     0.     0.     0.    76.    73.    27.     0.     0.     0.</t>
  </si>
  <si>
    <t>3502262009     0.     0.     0.     0.     0.    15.   139.    76.    33.     0.     0.     0.</t>
  </si>
  <si>
    <t>3502262010     0.     0.     0.     0.     0.     0.    64.    60.    20.     0.     0.     0.</t>
  </si>
  <si>
    <t>3502262011     0.     0.     0.     0.     0.     0.    29.    73.    59.     0.     0.     0.</t>
  </si>
  <si>
    <t>3502262012     0.     0.     0.     0.     0.     0.    51.    99.    38.     0.     0.     0.</t>
  </si>
  <si>
    <t>3502262013     0.     0.     0.     0.     0.    19.   106.    97.    21.     0.     0.     0.</t>
  </si>
  <si>
    <t>3502262014     0.     0.     0.     0.     7.    10.   144.   143.    59.     0.     0.     0.</t>
  </si>
  <si>
    <t>3502262015     0.     0.     0.     0.     6.    80.   156.   122.    16.     0.     0.     0.</t>
  </si>
  <si>
    <t>3502262016     0.     0.     0.     0.     7.    23.    58.   119.    14.     0.     0.     0.</t>
  </si>
  <si>
    <t>3502262017     0.     0.     0.     0.     5.    19.    96.   177.    46.     0.     0.     0.</t>
  </si>
  <si>
    <t>3502262018     0.     0.     0.     0.     9.    14.   141.   107.    15.     0.     0.     0.</t>
  </si>
  <si>
    <t>3502262019     0.     0.     0.     0.     7.    19.    66.   105.    14.     0.     0.     0.</t>
  </si>
  <si>
    <t>3502262020     0.     0.     0.     0.     0.    10.    82.    95.    56.     0.     0.     0.</t>
  </si>
  <si>
    <t>3502262021     0.     0.     0.     0.     0.    72.   141.   117.    29.     0.     0.     0.</t>
  </si>
  <si>
    <t>3502262022     0.     0.     0.     0.     0.    13.   134.   163.    62.     0.     0.     0.</t>
  </si>
  <si>
    <t>3502262023     0.     0.     0.     0.    13.    23.   127.   174.    21.     0.     0.     0.</t>
  </si>
  <si>
    <t>3502262024     0.     0.     0.     0.     0.    15.   169.    88.    43.     0.     0.     0.</t>
  </si>
  <si>
    <t>3502262025     0.     0.     0.     0.     0.    25.   132.   163.    58.     0.     0.     0.</t>
  </si>
  <si>
    <t>3502262026     0.     0.     0.     0.     8.    28.    91.   111. -9999. -9999. -9999. -9999.</t>
  </si>
  <si>
    <t>Assumptions and model controls</t>
  </si>
  <si>
    <t>Blue-on-yellow cells are inputs. The as-of month is read from the data: the latest month EIA has published for PGE.</t>
  </si>
  <si>
    <t>Model controls</t>
  </si>
  <si>
    <t>Input</t>
  </si>
  <si>
    <t>Value</t>
  </si>
  <si>
    <t>Unit</t>
  </si>
  <si>
    <t>What it does</t>
  </si>
  <si>
    <t>Latest month with actuals</t>
  </si>
  <si>
    <t>EIA's latest published month for PGE. Everything after it is forecast.</t>
  </si>
  <si>
    <t>Fiscal year</t>
  </si>
  <si>
    <t>PGE reports on the calendar year.</t>
  </si>
  <si>
    <t>Fiscal year starts</t>
  </si>
  <si>
    <t>date</t>
  </si>
  <si>
    <t>Months closed</t>
  </si>
  <si>
    <t>months</t>
  </si>
  <si>
    <t>Weather model fit starts</t>
  </si>
  <si>
    <t>First month of the regression window; the window ends the December before the year planned.</t>
  </si>
  <si>
    <t>Years in a weather normal</t>
  </si>
  <si>
    <t>years</t>
  </si>
  <si>
    <t>Normal weather is this many years' average for each month.</t>
  </si>
  <si>
    <t>Company (FERC respondent id)</t>
  </si>
  <si>
    <t>id</t>
  </si>
  <si>
    <t>Portland General Electric Company in FERC Form 1.</t>
  </si>
  <si>
    <t>Long-bridge base year</t>
  </si>
  <si>
    <t>The earlier year of the long price-volume-mix bridge.</t>
  </si>
  <si>
    <t>Latest FERC year</t>
  </si>
  <si>
    <t>The latest annual filing loaded.</t>
  </si>
  <si>
    <t>Check tolerance</t>
  </si>
  <si>
    <t>$</t>
  </si>
  <si>
    <t>How far two figures may differ before a check fails.</t>
  </si>
  <si>
    <t>Weather scenarios for the months NOAA has not yet observed</t>
  </si>
  <si>
    <t>Scenario</t>
  </si>
  <si>
    <t>HDD scale</t>
  </si>
  <si>
    <t>CDD scale</t>
  </si>
  <si>
    <t>Meaning</t>
  </si>
  <si>
    <t>Normal</t>
  </si>
  <si>
    <t>Ten-year normal degree days.</t>
  </si>
  <si>
    <t>Mild</t>
  </si>
  <si>
    <t>A winter like 2026's: about 12% fewer heating degree days than normal.</t>
  </si>
  <si>
    <t>Cold</t>
  </si>
  <si>
    <t>A cold snap: 12% more heating degree days than normal.</t>
  </si>
  <si>
    <t>Weather, months not yet observed</t>
  </si>
  <si>
    <t>Normal, Mild or Cold: the multipliers are on Assumptions.</t>
  </si>
  <si>
    <t>Rate change on open months</t>
  </si>
  <si>
    <t>Added to every class's price from the first open month.</t>
  </si>
  <si>
    <t>Extra data-center load</t>
  </si>
  <si>
    <t>Average megawatts of new industrial load, running around the clock.</t>
  </si>
  <si>
    <t>Customer growth overlay</t>
  </si>
  <si>
    <t>Scales open-month customers (and industrial volume) up or down.</t>
  </si>
  <si>
    <t>Heating degree-day overlay</t>
  </si>
  <si>
    <t>Multiplies the scenario's heating degree days.</t>
  </si>
  <si>
    <t>Cooling degree-day overlay</t>
  </si>
  <si>
    <t>Multiplies the scenario's cooling degree days.</t>
  </si>
  <si>
    <t>EIA monthly sales, one row per month and class (Power Query)</t>
  </si>
  <si>
    <t>Output of a Power Query query (Data &gt; Queries &amp; Connections). Formulas and the data model read this table.</t>
  </si>
  <si>
    <t>Degree days by month, parsed from NOAA's fixed-width file (Power Query)</t>
  </si>
  <si>
    <t>revenue</t>
  </si>
  <si>
    <t>mwh</t>
  </si>
  <si>
    <t>customers</t>
  </si>
  <si>
    <t>hdd</t>
  </si>
  <si>
    <t>cdd</t>
  </si>
  <si>
    <t>Retail MWh</t>
  </si>
  <si>
    <t>All classes</t>
  </si>
  <si>
    <t>Class</t>
  </si>
  <si>
    <t xml:space="preserve">Revenue </t>
  </si>
  <si>
    <t>Revenue YoY</t>
  </si>
  <si>
    <t xml:space="preserve">MWh </t>
  </si>
  <si>
    <t>MWh YoY</t>
  </si>
  <si>
    <t>¢/kWh</t>
  </si>
  <si>
    <t xml:space="preserve">Customers </t>
  </si>
  <si>
    <t>Profit and loss: Portland General Electric, electric utility (FERC Form 1)</t>
  </si>
  <si>
    <t>Audited annual figures as filed with FERC, via Catalyst Cooperative's PUDL, in $ millions. Column C names the FERC line each revenue row reads. Operating income is before income taxes and interest.</t>
  </si>
  <si>
    <t>Year</t>
  </si>
  <si>
    <t>FERC line</t>
  </si>
  <si>
    <t>% change</t>
  </si>
  <si>
    <t>Revenue</t>
  </si>
  <si>
    <t xml:space="preserve">   Residential</t>
  </si>
  <si>
    <t xml:space="preserve">   Commercial</t>
  </si>
  <si>
    <t xml:space="preserve">   Industrial</t>
  </si>
  <si>
    <t xml:space="preserve">   Street lighting</t>
  </si>
  <si>
    <t xml:space="preserve">   Public authorities</t>
  </si>
  <si>
    <t>Retail revenue</t>
  </si>
  <si>
    <t>Wholesale (sales for resale)</t>
  </si>
  <si>
    <t>Refund provision</t>
  </si>
  <si>
    <t>Other operating revenue</t>
  </si>
  <si>
    <t>Total operating revenue</t>
  </si>
  <si>
    <t>Power supply</t>
  </si>
  <si>
    <t>Fuel</t>
  </si>
  <si>
    <t>Purchased power</t>
  </si>
  <si>
    <t>Power cost</t>
  </si>
  <si>
    <t>Gross margin</t>
  </si>
  <si>
    <t>Gross margin %</t>
  </si>
  <si>
    <t>Operating expenses, excluding power</t>
  </si>
  <si>
    <t>Production, excluding fuel and purchased power</t>
  </si>
  <si>
    <t>Transmission</t>
  </si>
  <si>
    <t>Distribution</t>
  </si>
  <si>
    <t>Customer accounts, service and sales</t>
  </si>
  <si>
    <t>Administrative and general</t>
  </si>
  <si>
    <t>Regional market and other</t>
  </si>
  <si>
    <t>Other O&amp;M</t>
  </si>
  <si>
    <t>Depreciation and amortization</t>
  </si>
  <si>
    <t>Taxes other than income</t>
  </si>
  <si>
    <t>Operating income before income taxes</t>
  </si>
  <si>
    <t>Operating margin %</t>
  </si>
  <si>
    <t>Volumes and unit economics</t>
  </si>
  <si>
    <t>Residential MWh</t>
  </si>
  <si>
    <t>Industrial MWh</t>
  </si>
  <si>
    <t>Total MWh sold, including wholesale</t>
  </si>
  <si>
    <t>Retail customers (average)</t>
  </si>
  <si>
    <t>Retail price, ¢/kWh</t>
  </si>
  <si>
    <t>Residential price, ¢/kWh</t>
  </si>
  <si>
    <t>Industrial price, ¢/kWh</t>
  </si>
  <si>
    <t>Power cost per MWh sold, $</t>
  </si>
  <si>
    <t>Other O&amp;M per customer, $</t>
  </si>
  <si>
    <t>Industrial share of retail MWh</t>
  </si>
  <si>
    <t>Price, volume and mix: where retail revenue growth came from</t>
  </si>
  <si>
    <t>Each class's change in MWh is valued at the earlier period's average price (volume) and at its own price's distance from that average (mix); price is the change in $/MWh on the later period's MWh. The three effects add up to every class's revenue change: column O is zero.</t>
  </si>
  <si>
    <t>Source line</t>
  </si>
  <si>
    <t>MWh before</t>
  </si>
  <si>
    <t>Revenue before</t>
  </si>
  <si>
    <t>MWh after</t>
  </si>
  <si>
    <t>Revenue after</t>
  </si>
  <si>
    <t>$/MWh before</t>
  </si>
  <si>
    <t>$/MWh after</t>
  </si>
  <si>
    <t>Volume</t>
  </si>
  <si>
    <t>Mix</t>
  </si>
  <si>
    <t>Price</t>
  </si>
  <si>
    <t>Effects, total</t>
  </si>
  <si>
    <t>Revenue change</t>
  </si>
  <si>
    <t>Unexplained</t>
  </si>
  <si>
    <t>Street lighting</t>
  </si>
  <si>
    <t>Public authorities</t>
  </si>
  <si>
    <t>Bridge for the chart: long view</t>
  </si>
  <si>
    <t>Monthly retail sales: EIA-861M, and how it ties to the FERC filing</t>
  </si>
  <si>
    <t>Key</t>
  </si>
  <si>
    <t>Prior year</t>
  </si>
  <si>
    <t>Change</t>
  </si>
  <si>
    <t>MWh</t>
  </si>
  <si>
    <t>Customers, latest</t>
  </si>
  <si>
    <t>A year earlier</t>
  </si>
  <si>
    <t>MWh per customer</t>
  </si>
  <si>
    <t>Retail revenue by month, all classes ($M)</t>
  </si>
  <si>
    <t>Two regulators, one utility: EIA's monthly survey summed to a year, against the FERC filing</t>
  </si>
  <si>
    <t>EIA MWh</t>
  </si>
  <si>
    <t>FERC MWh</t>
  </si>
  <si>
    <t>Difference</t>
  </si>
  <si>
    <t>EIA revenue</t>
  </si>
  <si>
    <t>FERC retail revenue</t>
  </si>
  <si>
    <t>Gap</t>
  </si>
  <si>
    <t>Gap %</t>
  </si>
  <si>
    <t>Volumes agree to within a few MWh a year. EIA's revenue runs 1–2.5% under FERC's: the monthly survey reports billed sales, the annual filing books accounting revenue (unbilled accruals, deferral amortization and other adjustments).</t>
  </si>
  <si>
    <t>Weather: how much of the load is the thermostat</t>
  </si>
  <si>
    <t>Monthly MWh per customer regressed with LINEST on heating and cooling degree days (Willamette Valley, base 65°F) and a time trend, fitted from the fit start to the December before the fiscal year.</t>
  </si>
  <si>
    <t>Regression data: one row per month</t>
  </si>
  <si>
    <t>Month</t>
  </si>
  <si>
    <t>Trend (years)</t>
  </si>
  <si>
    <t>HDD</t>
  </si>
  <si>
    <t>CDD</t>
  </si>
  <si>
    <t>Residential MWh/customer</t>
  </si>
  <si>
    <t>Commercial MWh/customer</t>
  </si>
  <si>
    <t>Residential fitted</t>
  </si>
  <si>
    <t>Commercial fitted</t>
  </si>
  <si>
    <t>In fit window</t>
  </si>
  <si>
    <t>Intercept</t>
  </si>
  <si>
    <t>Per HDD</t>
  </si>
  <si>
    <t>Per CDD</t>
  </si>
  <si>
    <t>Trend per year</t>
  </si>
  <si>
    <t>R²</t>
  </si>
  <si>
    <t>Months</t>
  </si>
  <si>
    <t>MWh per customer per month: per degree day, and per year of trend. LINEST returns the coefficients last variable first; the formula puts them back in reading order.</t>
  </si>
  <si>
    <t>Normal HDD</t>
  </si>
  <si>
    <t>Normal CDD</t>
  </si>
  <si>
    <t>HDD vs normal</t>
  </si>
  <si>
    <t>CDD vs normal</t>
  </si>
  <si>
    <t>Residential MWh per customer</t>
  </si>
  <si>
    <t>Residential customers</t>
  </si>
  <si>
    <t>Residential $</t>
  </si>
  <si>
    <t>Commercial MWh per customer</t>
  </si>
  <si>
    <t>Commercial customers</t>
  </si>
  <si>
    <t>Commercial MWh</t>
  </si>
  <si>
    <t>Commercial $</t>
  </si>
  <si>
    <t>Weather MWh</t>
  </si>
  <si>
    <t>Weather $</t>
  </si>
  <si>
    <t>Year to date</t>
  </si>
  <si>
    <t>Customers grow at last year's rate; residential and commercial use comes from the weather model at normal weather; industrial volume and every class's price grow at last year's rate. The bridge splits actual minus plan into customers, weather, usage and price, exactly.</t>
  </si>
  <si>
    <t>Plan year</t>
  </si>
  <si>
    <t>Change it to re-run the plan as of an earlier year-end; the backtest below does exactly that.</t>
  </si>
  <si>
    <t>Customers, Dec before</t>
  </si>
  <si>
    <t>Dec two before</t>
  </si>
  <si>
    <t>Customer growth</t>
  </si>
  <si>
    <t>MWh, year before</t>
  </si>
  <si>
    <t>Two before</t>
  </si>
  <si>
    <t>Volume growth</t>
  </si>
  <si>
    <t>$/MWh, year before</t>
  </si>
  <si>
    <t>Price growth</t>
  </si>
  <si>
    <t>Actual HDD</t>
  </si>
  <si>
    <t>Actual CDD</t>
  </si>
  <si>
    <t>Plan and actual, month by class</t>
  </si>
  <si>
    <t>Has actuals</t>
  </si>
  <si>
    <t>Plan customers</t>
  </si>
  <si>
    <t>Model MWh per customer</t>
  </si>
  <si>
    <t>Plan MWh</t>
  </si>
  <si>
    <t>Plan MWh per customer</t>
  </si>
  <si>
    <t>Plan $/MWh</t>
  </si>
  <si>
    <t>Plan revenue</t>
  </si>
  <si>
    <t>Actual customers</t>
  </si>
  <si>
    <t>Actual MWh</t>
  </si>
  <si>
    <t>Actual revenue</t>
  </si>
  <si>
    <t>Actual $/MWh</t>
  </si>
  <si>
    <t>Weather effect per customer</t>
  </si>
  <si>
    <t>Customers</t>
  </si>
  <si>
    <t>Weather</t>
  </si>
  <si>
    <t>Usage</t>
  </si>
  <si>
    <t>Check</t>
  </si>
  <si>
    <t>Plan</t>
  </si>
  <si>
    <t>Actual</t>
  </si>
  <si>
    <t>Actual vs plan</t>
  </si>
  <si>
    <t>%</t>
  </si>
  <si>
    <t>Accuracy: monthly totals, all classes</t>
  </si>
  <si>
    <t>Absolute miss</t>
  </si>
  <si>
    <t>Months with actuals</t>
  </si>
  <si>
    <t>Plan revenue, months with actuals</t>
  </si>
  <si>
    <t>Actual against plan</t>
  </si>
  <si>
    <t>Monthly revenue WAPE</t>
  </si>
  <si>
    <t>Monthly MWh WAPE</t>
  </si>
  <si>
    <t>Backtest: the same method, re-run as of each year-end (a what-if data table on Plan year)</t>
  </si>
  <si>
    <t>Revenue WAPE</t>
  </si>
  <si>
    <t>MWh WAPE</t>
  </si>
  <si>
    <t>Live</t>
  </si>
  <si>
    <t>Volume is forecastable: MWh misses by about 4% a month. Price is not, from history: PGE's rates move in steps set by rate cases, so a plan that extrapolates last year's increase overshoots when a big step does not repeat. Plan price from the rate case calendar.</t>
  </si>
  <si>
    <t>Customers and industrial volume grow at the year-to-date rate; residential and commercial use comes from the weather model, with NOAA's observed degree days where the month has passed and normal (times the scenario) where it has not. Price grows at the year-to-date rate, plus any rate change on Scenarios.</t>
  </si>
  <si>
    <t>Drivers, year to date</t>
  </si>
  <si>
    <t>MWh YTD</t>
  </si>
  <si>
    <t>Prior year YTD</t>
  </si>
  <si>
    <t>$/MWh YTD</t>
  </si>
  <si>
    <t>Degree days used: NOAA where observed, otherwise normal × scenario</t>
  </si>
  <si>
    <t>HDD used</t>
  </si>
  <si>
    <t>CDD used</t>
  </si>
  <si>
    <t>Source</t>
  </si>
  <si>
    <t>Forecast, month by class (open months only)</t>
  </si>
  <si>
    <t>Open</t>
  </si>
  <si>
    <t>$/MWh</t>
  </si>
  <si>
    <t>Actual YTD</t>
  </si>
  <si>
    <t>Forecast</t>
  </si>
  <si>
    <t>Full year</t>
  </si>
  <si>
    <t>Growth</t>
  </si>
  <si>
    <t>Against plan</t>
  </si>
  <si>
    <t>MWh, full year</t>
  </si>
  <si>
    <t>Monthly totals, all classes, and a statistical cross-check (FORECAST.ETS)</t>
  </si>
  <si>
    <t>FORECAST.ETS</t>
  </si>
  <si>
    <t>Driver vs ETS</t>
  </si>
  <si>
    <t>History feeding FORECAST.ETS: total retail revenue by month</t>
  </si>
  <si>
    <t>Index</t>
  </si>
  <si>
    <t>Change a lever and every sheet follows. The tables below are Excel what-if data tables: each re-runs the whole forecast with a lever changed, so nothing here is an approximation.</t>
  </si>
  <si>
    <t>Live outputs, full year</t>
  </si>
  <si>
    <t>Average price, ¢/kWh</t>
  </si>
  <si>
    <t>Open-month revenue</t>
  </si>
  <si>
    <t>Weather: a one-variable data table on the weather scenario</t>
  </si>
  <si>
    <t>Live selection</t>
  </si>
  <si>
    <t>Retail revenue: rate change on the open months down the side, new data-center MW across the top</t>
  </si>
  <si>
    <t>Rate ↓   MW →</t>
  </si>
  <si>
    <t>Tornado: full-year revenue impact of one step on each lever, from the base case</t>
  </si>
  <si>
    <t>Lever</t>
  </si>
  <si>
    <t>Step</t>
  </si>
  <si>
    <t>Base case</t>
  </si>
  <si>
    <t>With the step</t>
  </si>
  <si>
    <t>Impact</t>
  </si>
  <si>
    <t>Workings: one small data table per lever (base value, then the step)</t>
  </si>
  <si>
    <t>+1 point</t>
  </si>
  <si>
    <t>New data-center load</t>
  </si>
  <si>
    <t>+50 MW</t>
  </si>
  <si>
    <t>Heating degree days</t>
  </si>
  <si>
    <t>−10%</t>
  </si>
  <si>
    <t>Cooling degree days</t>
  </si>
  <si>
    <t>+10%</t>
  </si>
  <si>
    <t>+1%</t>
  </si>
  <si>
    <t>Chart data: sorted by size</t>
  </si>
  <si>
    <t>What would offset a mild autumn?</t>
  </si>
  <si>
    <t>Revenue lost if the open months are mild</t>
  </si>
  <si>
    <t>Rate change on the open months that recovers it</t>
  </si>
  <si>
    <t>Peers: PGE against four Pacific Northwest utilities (FERC Form 1)</t>
  </si>
  <si>
    <t>Metric</t>
  </si>
  <si>
    <t>PGE rank</t>
  </si>
  <si>
    <t>FERC respondent id</t>
  </si>
  <si>
    <t>Retail customers</t>
  </si>
  <si>
    <t>Retail MWh growth a year</t>
  </si>
  <si>
    <t>Industrial MWh growth a year</t>
  </si>
  <si>
    <t>Retail price growth a year</t>
  </si>
  <si>
    <t>Operating margin before income tax</t>
  </si>
  <si>
    <t>Explore: the same data, asked of the Power Pivot data model</t>
  </si>
  <si>
    <t>Slicers filter the PivotTable; the measures are DAX, defined once in the data model (Data &gt; Manage Data Model). Below, CUBEVALUE formulas read the same model and are held to SUMIFS on the worksheet table.</t>
  </si>
  <si>
    <t>PivotTable on the data model, filtered by slicers</t>
  </si>
  <si>
    <t>Revenue by class and year: CUBEVALUE against the data model</t>
  </si>
  <si>
    <t>YoY, DAX</t>
  </si>
  <si>
    <t>YoY, SUMIFS</t>
  </si>
  <si>
    <t>Agree</t>
  </si>
  <si>
    <t>Checks: the model proves its own numbers</t>
  </si>
  <si>
    <t>Controls</t>
  </si>
  <si>
    <t>#</t>
  </si>
  <si>
    <t>Expected</t>
  </si>
  <si>
    <t>Tolerance</t>
  </si>
  <si>
    <t>Status</t>
  </si>
  <si>
    <t>Why it matters</t>
  </si>
  <si>
    <t>EIA rows loaded = source</t>
  </si>
  <si>
    <t>Nothing dropped or duplicated.</t>
  </si>
  <si>
    <t>EIA megawatt-hours = source control total</t>
  </si>
  <si>
    <t>EIA revenue = source control total</t>
  </si>
  <si>
    <t>No month missing from EIA</t>
  </si>
  <si>
    <t>A gap would shift every year-over-year comparison.</t>
  </si>
  <si>
    <t>EIA classes add up to EIA's total: revenue</t>
  </si>
  <si>
    <t>The regulator's own arithmetic, checked.</t>
  </si>
  <si>
    <t>EIA classes add up to EIA's total: MWh</t>
  </si>
  <si>
    <t>Power Query unpivot keeps every value</t>
  </si>
  <si>
    <t>Four classes per month after the unpivot.</t>
  </si>
  <si>
    <t>Power Query dollars = EIA thousands × 1,000</t>
  </si>
  <si>
    <t>NOAA rows loaded = source</t>
  </si>
  <si>
    <t>NOAA parse: one row per month, no gaps</t>
  </si>
  <si>
    <t>Fixed-width parsing done in Power Query.</t>
  </si>
  <si>
    <t>FERC rows loaded = source</t>
  </si>
  <si>
    <t>FERC retail = the classes, every year</t>
  </si>
  <si>
    <t>The P&amp;L rebuilds retail from the classes; it must meet FERC's own subtotal.</t>
  </si>
  <si>
    <t>FERC total revenue = the lines, every year</t>
  </si>
  <si>
    <t>FERC O&amp;M schedule = the income statement, every year</t>
  </si>
  <si>
    <t>Two FERC schedules that must agree; they differ by a few dollars of rounding over twelve years.</t>
  </si>
  <si>
    <t>EIA and FERC agree on MWh, every full year</t>
  </si>
  <si>
    <t>Two regulators, two filings, the same volumes (within 0.1%).</t>
  </si>
  <si>
    <t>EIA and FERC revenue within 3%, every full year</t>
  </si>
  <si>
    <t>Billed against booked revenue: the gap is explained on Monthly.</t>
  </si>
  <si>
    <t>Weather model fitted on every month before this year</t>
  </si>
  <si>
    <t>Weather explains most residential use (R² ≥ 0.7)</t>
  </si>
  <si>
    <t>A weak fit would turn the weather effect into noise.</t>
  </si>
  <si>
    <t>PVM reconciles in every class: long view</t>
  </si>
  <si>
    <t>Volume + mix + price = the revenue change, class by class.</t>
  </si>
  <si>
    <t>PVM reconciles in every class: last year</t>
  </si>
  <si>
    <t>PVM reconciles in every class: year to date</t>
  </si>
  <si>
    <t>Plan bridge closes in every month and class</t>
  </si>
  <si>
    <t>Customers + weather + usage + price = actual − plan.</t>
  </si>
  <si>
    <t>Plan bridge total = actual − plan</t>
  </si>
  <si>
    <t>Outlook = actuals + forecast</t>
  </si>
  <si>
    <t>Outlook actuals = EIA year to date</t>
  </si>
  <si>
    <t>Weather table matches the live model</t>
  </si>
  <si>
    <t>The data table re-ran the same model the sheets show.</t>
  </si>
  <si>
    <t>Sensitivity grid matches the live model</t>
  </si>
  <si>
    <t>Rate tornado is exact: 1 point of rate = 1% of open-month revenue</t>
  </si>
  <si>
    <t>The brute-force data table agrees with the algebra.</t>
  </si>
  <si>
    <t>Data model = formulas: this year's revenue</t>
  </si>
  <si>
    <t>DAX and SUMIFS are independent engines.</t>
  </si>
  <si>
    <t>DAX year-over-year = formula year-over-year</t>
  </si>
  <si>
    <t>Time intelligence with TREATAS, checked against plain SUMIFS.</t>
  </si>
  <si>
    <t>Dashboard outlook tile = Forecast</t>
  </si>
  <si>
    <t>Source control totals, taken from the extracts when the workbook was built</t>
  </si>
  <si>
    <t>Control total</t>
  </si>
  <si>
    <t>EIA monthly rows</t>
  </si>
  <si>
    <t>data/eia_pge_monthly.csv, row count</t>
  </si>
  <si>
    <t>EIA total MWh</t>
  </si>
  <si>
    <t>data/eia_pge_monthly.csv, sum of total_mwh</t>
  </si>
  <si>
    <t>EIA total revenue ($000)</t>
  </si>
  <si>
    <t>data/eia_pge_monthly.csv, sum of total_revenue_k</t>
  </si>
  <si>
    <t>FERC rows, three schedules</t>
  </si>
  <si>
    <t>data/ferc_*.csv, row counts</t>
  </si>
  <si>
    <t>NOAA lines</t>
  </si>
  <si>
    <t>data/noaa_willamette_valley_degree_days.txt</t>
  </si>
  <si>
    <t>YEAR TO DATE AGAINST PLAN</t>
  </si>
  <si>
    <t>WEATHER AGAINST NORMAL, YTD</t>
  </si>
  <si>
    <t>INDUSTRIAL LOAD, YTD</t>
  </si>
  <si>
    <t>megawatt-hours, on last year</t>
  </si>
  <si>
    <t>AVERAGE RETAIL PRICE, YTD</t>
  </si>
  <si>
    <t>What the numbers say</t>
  </si>
  <si>
    <t>Chart data: the charts above read these cells, which read the model.</t>
  </si>
  <si>
    <t>Variance</t>
  </si>
  <si>
    <t>Independent analysis of public regulatory filings (EIA-861M, FERC Form 1 via Catalyst Cooperative's PUDL, NOAA nClimDiv). Not affiliated with or endorsed by Portland General Electric. Built in Excel by Kush Patel: github.com/KushPatel29/excel-fpa-model</t>
  </si>
  <si>
    <t>Portland General Electric</t>
  </si>
  <si>
    <t>Utility FP&amp;A model on public filings: FERC, EIA and NOAA</t>
  </si>
  <si>
    <t>Plan against actual · weather normalization · price-volume-mix · rolling forecast · scenarios · peers</t>
  </si>
  <si>
    <t>Every figure is a live formula, Power Query step or DAX measure over public regulatory data: PGE's monthly returns to the U.S. Energy Information Administration, its audited annual FERC Form 1 (processed by Catalyst Cooperative's PUDL project), and NOAA's degree days for the Willamette Valley.</t>
  </si>
  <si>
    <t>Independent analysis. Not affiliated with or endorsed by Portland General Electric.</t>
  </si>
  <si>
    <t>Built by Kush Patel · github.com/KushPatel29/excel-fpa-model</t>
  </si>
  <si>
    <t>Model status</t>
  </si>
  <si>
    <t>Open the checks →</t>
  </si>
  <si>
    <t>Five questions it answers, live from the model</t>
  </si>
  <si>
    <t>Is the year on plan, and if not, why?</t>
  </si>
  <si>
    <t>Plan →</t>
  </si>
  <si>
    <t>How much of that is the weather?</t>
  </si>
  <si>
    <t>Weather →</t>
  </si>
  <si>
    <t>Where did revenue growth come from?</t>
  </si>
  <si>
    <t>PVM →</t>
  </si>
  <si>
    <t>Where will the year land?</t>
  </si>
  <si>
    <t>Forecast →</t>
  </si>
  <si>
    <t>How does PGE compare with its neighbours?</t>
  </si>
  <si>
    <t>Peers →</t>
  </si>
  <si>
    <t>Sheets</t>
  </si>
  <si>
    <t>Sheet</t>
  </si>
  <si>
    <t>What it shows</t>
  </si>
  <si>
    <t>Excel on show</t>
  </si>
  <si>
    <t>Dashboard</t>
  </si>
  <si>
    <t>One page: plan against actual, weather, price mix, the outlook, and a summary written by formulas.</t>
  </si>
  <si>
    <t>Formula-driven commentary, waterfalls, combo chart, sparklines, LET</t>
  </si>
  <si>
    <t>PnL</t>
  </si>
  <si>
    <t>Twelve years of PGE's electric P&amp;L from FERC Form 1, with unit economics.</t>
  </si>
  <si>
    <t>SUMIFS over a long table with array criteria, named LAMBDAs, CAGR</t>
  </si>
  <si>
    <t>PVM</t>
  </si>
  <si>
    <t>Where retail revenue growth came from: volume, mix and price by customer class.</t>
  </si>
  <si>
    <t>Exact three-effect decomposition, waterfall</t>
  </si>
  <si>
    <t>Monthly</t>
  </si>
  <si>
    <t>EIA's monthly survey by class, a revenue heat map, and the EIA-to-FERC tie-out.</t>
  </si>
  <si>
    <t>SUMIFS, colour scales, cross-source reconciliation</t>
  </si>
  <si>
    <t>How much load follows the thermostat; this year's weather impact.</t>
  </si>
  <si>
    <t>LINEST on FILTER + HSTACK, normals with FILTER/AVERAGE</t>
  </si>
  <si>
    <t>A plan built only from data before the year, against actuals, split four ways; backtested.</t>
  </si>
  <si>
    <t>Month-by-class model, what-if data table on the plan year</t>
  </si>
  <si>
    <t>The rest of the year from drivers and observed weather; a FORECAST.ETS cross-check.</t>
  </si>
  <si>
    <t>XLOOKUP with fallbacks, FORECAST.ETS</t>
  </si>
  <si>
    <t>Scenarios</t>
  </si>
  <si>
    <t>Weather, rates, data-center load: tables that re-run the model, and a tornado.</t>
  </si>
  <si>
    <t>One- and two-variable data tables, SORTBY + HSTACK</t>
  </si>
  <si>
    <t>Peers</t>
  </si>
  <si>
    <t>PGE against four Pacific Northwest utilities on price, growth and cost.</t>
  </si>
  <si>
    <t>SUMIFS by respondent, RANK.EQ</t>
  </si>
  <si>
    <t>Explore</t>
  </si>
  <si>
    <t>The same data as a Power Pivot model: PivotTable, slicers, CUBEVALUE.</t>
  </si>
  <si>
    <t>Power Pivot, DAX (TREATAS time intelligence), CUBEVALUE</t>
  </si>
  <si>
    <t>Checks</t>
  </si>
  <si>
    <t>31 controls that prove the numbers, each with its own tolerance.</t>
  </si>
  <si>
    <t>Reconciliations</t>
  </si>
  <si>
    <t>Assumptions</t>
  </si>
  <si>
    <t>Model controls and weather scenarios.</t>
  </si>
  <si>
    <t>Named inputs, validation</t>
  </si>
  <si>
    <t>PQ_Monthly</t>
  </si>
  <si>
    <t>EIA's wide layout unpivoted to one row per month and class.</t>
  </si>
  <si>
    <t>Power Query: unpivot, split, pivot</t>
  </si>
  <si>
    <t>PQ_Weather</t>
  </si>
  <si>
    <t>NOAA's fixed-width text parsed into degree days by month.</t>
  </si>
  <si>
    <t>Power Query: split by position</t>
  </si>
  <si>
    <t>Data_EIA</t>
  </si>
  <si>
    <t>The public extracts, exactly as published.</t>
  </si>
  <si>
    <t>Excel tables, structured references</t>
  </si>
  <si>
    <t>How to use it</t>
  </si>
  <si>
    <t>1  Move a lever</t>
  </si>
  <si>
    <t>Scenarios!C4:C9: weather, a rate change, new data-center load. Every sheet follows.</t>
  </si>
  <si>
    <t>2  Re-run the plan as of another year</t>
  </si>
  <si>
    <t>Plan!C4. The backtest on the same sheet does it for four years.</t>
  </si>
  <si>
    <t>3  Explore the data model</t>
  </si>
  <si>
    <t>The slicers on Explore filter a PivotTable built on DAX measures.</t>
  </si>
  <si>
    <t>4  Refresh the data</t>
  </si>
  <si>
    <t>python pipeline/fetch_sources.py downloads the latest public releases; rebuild.</t>
  </si>
  <si>
    <t>Sources and conventions</t>
  </si>
  <si>
    <t>EIA-861M</t>
  </si>
  <si>
    <t>U.S. Energy Information Administration, monthly electric utility sales and revenue. Public domain.</t>
  </si>
  <si>
    <t>FERC Form 1</t>
  </si>
  <si>
    <t>Federal Energy Regulatory Commission annual report, via Catalyst Cooperative's PUDL (CC BY 4.0).</t>
  </si>
  <si>
    <t>NOAA nClimDiv</t>
  </si>
  <si>
    <t>NOAA National Centers for Environmental Information, divisional degree days. Public domain.</t>
  </si>
  <si>
    <t>Input: blue on yellow. Change these; everything else is calculated.</t>
  </si>
  <si>
    <t>+1,234   (1,234)</t>
  </si>
  <si>
    <t>Variances are signed so favourable is positive (green) and unfavourable is in brackets (red).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</si>
</sst>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164" formatCode="#,##0.000"/>
    <numFmt numFmtId="165" formatCode="mmmm\ yyyy"/>
    <numFmt numFmtId="166" formatCode="\+0.0%;\-0.0%;0.0%"/>
    <numFmt numFmtId="167" formatCode="0&quot; MW&quot;"/>
    <numFmt numFmtId="168" formatCode="0.00\x"/>
    <numFmt numFmtId="169" formatCode="&quot;scenario &quot;0"/>
    <numFmt numFmtId="170" formatCode="\$#,##0;\-\$#,##0;\$#,##0"/>
    <numFmt numFmtId="171" formatCode="0.0%;\-0.0%;0.0%"/>
    <numFmt numFmtId="172" formatCode="#,##0.0,,;\(#,##0.0,,\);&quot;–&quot;"/>
    <numFmt numFmtId="173" formatCode="\+0.0%;\(0.0%\);&quot;–&quot;"/>
    <numFmt numFmtId="174" formatCode="\+#,##0.0,,;\(#,##0.0,,\);&quot;–&quot;"/>
    <numFmt numFmtId="175" formatCode="0.0%;\(0.0%\);&quot;–&quot;"/>
    <numFmt numFmtId="176" formatCode="#,##0;\(#,##0\);&quot;–&quot;"/>
    <numFmt numFmtId="177" formatCode="\+#,##0;\(#,##0\);&quot;–&quot;"/>
    <numFmt numFmtId="178" formatCode="0.00&quot; ¢&quot;"/>
    <numFmt numFmtId="179" formatCode="\+#,##0.00;\(#,##0.00\);&quot;–&quot;"/>
    <numFmt numFmtId="180" formatCode="&quot;$&quot;#,##0.00"/>
    <numFmt numFmtId="181" formatCode="[&gt;=0.5]\+#,##0;[&lt;=-0.5]\(#,##0\);&quot;–&quot;"/>
    <numFmt numFmtId="182" formatCode="&quot;$&quot;#,##0,,&quot;M&quot;;\-&quot;$&quot;#,##0,,&quot;M&quot;"/>
    <numFmt numFmtId="183" formatCode="0.0;\(0.0\);&quot;&quot;"/>
    <numFmt numFmtId="184" formatCode="mmm\ yy"/>
    <numFmt numFmtId="185" formatCode="0.000"/>
    <numFmt numFmtId="186" formatCode="0.0000"/>
    <numFmt numFmtId="187" formatCode="0.000000"/>
    <numFmt numFmtId="188" formatCode="\+0;\-0;0"/>
    <numFmt numFmtId="189" formatCode="\+0.0000;\-0.0000;0"/>
    <numFmt numFmtId="190" formatCode="0.0000&quot;x&quot;"/>
    <numFmt numFmtId="191" formatCode="0.0"/>
    <numFmt numFmtId="192" formatCode="0.0%"/>
    <numFmt numFmtId="193" formatCode="&quot;$&quot;#,##0.0,,&quot;M&quot;;\-&quot;$&quot;#,##0.0,,&quot;M&quot;"/>
    <numFmt numFmtId="194" formatCode="mmm"/>
    <numFmt numFmtId="195" formatCode=";;;"/>
    <numFmt numFmtId="196" formatCode="\+0%;\-0%;0%"/>
    <numFmt numFmtId="197" formatCode="&quot;$&quot;#,##0.0,,&quot;M&quot;"/>
    <numFmt numFmtId="198" formatCode="0&quot; of 5&quot;"/>
    <numFmt numFmtId="199" formatCode="&quot;FY&quot;0"/>
    <numFmt numFmtId="200" formatCode="&quot;FY&quot;0&quot; YTD&quot;"/>
    <numFmt numFmtId="201" formatCode="#,##0.00;\(#,##0.00\);&quot;–&quot;"/>
    <numFmt numFmtId="202" formatCode="&quot;$&quot;#,##0.00,,,&quot;B&quot;"/>
    <numFmt numFmtId="203" formatCode="&quot;▲ &quot;0.0%&quot; on last year&quot;;&quot;▼ &quot;0.0%&quot; on last year&quot;"/>
    <numFmt numFmtId="204" formatCode="\+&quot;$&quot;#,##0.0,,&quot;M&quot;;\-&quot;$&quot;#,##0.0,,&quot;M&quot;;&quot;–&quot;"/>
    <numFmt numFmtId="205" formatCode="&quot;▲ &quot;0.0%&quot; over plan&quot;;&quot;▼ &quot;0.0%&quot; under plan&quot;;&quot;on plan&quot;"/>
    <numFmt numFmtId="206" formatCode="\+#,##0&quot; GWh&quot;;\-#,##0&quot; GWh&quot;;&quot;normal&quot;"/>
    <numFmt numFmtId="207" formatCode="&quot;▲ &quot;&quot;$&quot;#,##0.0,,&quot;M of revenue&quot;;&quot;▼ &quot;&quot;$&quot;#,##0.0,,&quot;M of revenue&quot;"/>
    <numFmt numFmtId="208" formatCode="\+0.0%;\-0.0%"/>
    <numFmt numFmtId="209" formatCode="0.00&quot; ¢/kWh&quot;"/>
    <numFmt numFmtId="211" formatCode="&quot;▲ &quot;0.0%&quot; pts since base&quot;;&quot;▼ &quot;0.0%&quot; pts since base&quot;"/>
    <numFmt numFmtId="212" formatCode="\+0.0%"/>
  </numFmts>
  <fonts count="28" x14ac:knownFonts="1">
    <font>
      <sz val="10"/>
      <color theme="1"/>
      <name val="Aptos Narrow"/>
      <family val="2"/>
      <scheme val="minor"/>
    </font>
    <font>
      <b/>
      <sz val="18"/>
      <color rgb="FF1F3A5F"/>
      <name val="Aptos Display"/>
      <family val="2"/>
    </font>
    <font>
      <sz val="10"/>
      <color rgb="FF5B6577"/>
      <name val="Aptos Narrow"/>
      <family val="2"/>
      <scheme val="minor"/>
    </font>
    <font>
      <sz val="9"/>
      <color theme="1"/>
      <name val="Consolas"/>
      <family val="3"/>
    </font>
    <font>
      <b/>
      <sz val="10"/>
      <color theme="1"/>
      <name val="Aptos Narrow"/>
      <family val="2"/>
      <scheme val="minor"/>
    </font>
    <font>
      <b/>
      <sz val="10"/>
      <color rgb="FFFFFFFF"/>
      <name val="Aptos Narrow"/>
      <family val="2"/>
      <scheme val="minor"/>
    </font>
    <font>
      <b/>
      <sz val="10"/>
      <color rgb="FF1D2433"/>
      <name val="Aptos Narrow"/>
      <family val="2"/>
      <scheme val="minor"/>
    </font>
    <font>
      <sz val="10"/>
      <color rgb="FF1546C8"/>
      <name val="Aptos Narrow"/>
      <family val="2"/>
      <scheme val="minor"/>
    </font>
    <font>
      <sz val="8"/>
      <name val="Aptos Narrow"/>
      <family val="2"/>
      <scheme val="minor"/>
    </font>
    <font>
      <i/>
      <sz val="10"/>
      <color rgb="FF5B6577"/>
      <name val="Aptos Narrow"/>
      <family val="2"/>
      <scheme val="minor"/>
    </font>
    <font>
      <i/>
      <sz val="8"/>
      <color rgb="FF5B6577"/>
      <name val="Aptos Narrow"/>
      <family val="2"/>
      <scheme val="minor"/>
    </font>
    <font>
      <b/>
      <sz val="8"/>
      <color rgb="FF5B6577"/>
      <name val="Aptos Narrow"/>
      <family val="2"/>
      <scheme val="minor"/>
    </font>
    <font>
      <sz val="8"/>
      <color rgb="FF5B6577"/>
      <name val="Aptos Narrow"/>
      <family val="2"/>
      <scheme val="minor"/>
    </font>
    <font>
      <b/>
      <sz val="10"/>
      <color rgb="FF5B6577"/>
      <name val="Aptos Narrow"/>
      <family val="2"/>
      <scheme val="minor"/>
    </font>
    <font>
      <i/>
      <sz val="10"/>
      <color rgb="FF1D2433"/>
      <name val="Aptos Narrow"/>
      <family val="2"/>
      <scheme val="minor"/>
    </font>
    <font>
      <b/>
      <sz val="10"/>
      <color rgb="FF1E7B34"/>
      <name val="Aptos Narrow"/>
      <family val="2"/>
      <scheme val="minor"/>
    </font>
    <font>
      <b/>
      <sz val="12"/>
      <color theme="1"/>
      <name val="Aptos Narrow"/>
      <family val="2"/>
      <scheme val="minor"/>
    </font>
    <font>
      <b/>
      <sz val="20"/>
      <color rgb="FF1F3A5F"/>
      <name val="Aptos Display"/>
      <family val="2"/>
    </font>
    <font>
      <b/>
      <sz val="9"/>
      <color theme="1"/>
      <name val="Aptos Narrow"/>
      <family val="2"/>
      <scheme val="minor"/>
    </font>
    <font>
      <b/>
      <sz val="9"/>
      <color rgb="FF5B6577"/>
      <name val="Aptos Narrow"/>
      <family val="2"/>
      <scheme val="minor"/>
    </font>
    <font>
      <sz val="9"/>
      <color rgb="FF5B6577"/>
      <name val="Aptos Narrow"/>
      <family val="2"/>
      <scheme val="minor"/>
    </font>
    <font>
      <sz val="9"/>
      <color rgb="FF1D2433"/>
      <name val="Aptos Narrow"/>
      <family val="2"/>
      <scheme val="minor"/>
    </font>
    <font>
      <sz val="10"/>
      <color rgb="FF1D2433"/>
      <name val="Aptos Narrow"/>
      <family val="2"/>
      <scheme val="minor"/>
    </font>
    <font>
      <b/>
      <sz val="9"/>
      <color rgb="FF1D2433"/>
      <name val="Aptos Narrow"/>
      <family val="2"/>
      <scheme val="minor"/>
    </font>
    <font>
      <b/>
      <sz val="28"/>
      <color rgb="FF1F3A5F"/>
      <name val="Aptos Display"/>
      <family val="2"/>
    </font>
    <font>
      <sz val="15"/>
      <color rgb="FF1D2433"/>
      <name val="Aptos Display"/>
      <family val="2"/>
    </font>
    <font>
      <b/>
      <sz val="10"/>
      <color rgb="FF0F766E"/>
      <name val="Aptos Narrow"/>
      <family val="2"/>
      <scheme val="minor"/>
    </font>
    <font>
      <u/>
      <sz val="10"/>
      <color theme="10"/>
      <name val="Aptos Narrow"/>
      <family val="2"/>
      <scheme val="minor"/>
    </font>
  </fonts>
  <fills count="7">
    <fill>
      <patternFill patternType="none"/>
    </fill>
    <fill>
      <patternFill patternType="gray125"/>
    </fill>
    <fill>
      <patternFill patternType="solid">
        <fgColor rgb="FF1F3A5F"/>
        <bgColor indexed="64"/>
      </patternFill>
    </fill>
    <fill>
      <patternFill patternType="solid">
        <fgColor rgb="FFEEF2F7"/>
        <bgColor indexed="64"/>
      </patternFill>
    </fill>
    <fill>
      <patternFill patternType="solid">
        <fgColor rgb="FFFFF5D6"/>
        <bgColor indexed="64"/>
      </patternFill>
    </fill>
    <fill>
      <patternFill patternType="solid">
        <fgColor rgb="FFEAF3FB"/>
        <bgColor indexed="64"/>
      </patternFill>
    </fill>
    <fill>
      <patternFill patternType="solid">
        <fgColor rgb="FFF6F8FB"/>
        <bgColor indexed="64"/>
      </patternFill>
    </fill>
  </fills>
  <borders count="18">
    <border>
      <left/>
      <right/>
      <top/>
      <bottom/>
      <diagonal/>
    </border>
    <border>
      <left/>
      <right/>
      <top/>
      <bottom style="thin">
        <color rgb="FF1F3A5F"/>
      </bottom>
      <diagonal/>
    </border>
    <border>
      <left style="thin">
        <color rgb="FFE8D48A"/>
      </left>
      <right/>
      <top style="thin">
        <color rgb="FFE8D48A"/>
      </top>
      <bottom/>
      <diagonal/>
    </border>
    <border>
      <left style="thin">
        <color rgb="FFE8D48A"/>
      </left>
      <right/>
      <top style="thin">
        <color rgb="FFE8D48A"/>
      </top>
      <bottom style="thin">
        <color rgb="FFE8D48A"/>
      </bottom>
      <diagonal/>
    </border>
    <border>
      <left style="thin">
        <color rgb="FFE8D48A"/>
      </left>
      <right style="thin">
        <color rgb="FFE8D48A"/>
      </right>
      <top style="thin">
        <color rgb="FFE8D48A"/>
      </top>
      <bottom style="thin">
        <color rgb="FFE8D48A"/>
      </bottom>
      <diagonal/>
    </border>
    <border>
      <left style="thin">
        <color rgb="FFE8D48A"/>
      </left>
      <right style="thin">
        <color rgb="FFE8D48A"/>
      </right>
      <top style="thin">
        <color rgb="FFE8D48A"/>
      </top>
      <bottom/>
      <diagonal/>
    </border>
    <border>
      <left/>
      <right style="thin">
        <color rgb="FFE8D48A"/>
      </right>
      <top style="thin">
        <color rgb="FFE8D48A"/>
      </top>
      <bottom style="thin">
        <color rgb="FFE8D48A"/>
      </bottom>
      <diagonal/>
    </border>
    <border>
      <left/>
      <right style="thin">
        <color rgb="FFE8D48A"/>
      </right>
      <top style="thin">
        <color rgb="FFE8D48A"/>
      </top>
      <bottom/>
      <diagonal/>
    </border>
    <border>
      <left/>
      <right/>
      <top style="thin">
        <color rgb="FF1D2433"/>
      </top>
      <bottom/>
      <diagonal/>
    </border>
    <border>
      <left/>
      <right/>
      <top style="thin">
        <color rgb="FF1D2433"/>
      </top>
      <bottom style="double">
        <color rgb="FF1D2433"/>
      </bottom>
      <diagonal/>
    </border>
    <border>
      <left style="thin">
        <color rgb="FFC9D1DC"/>
      </left>
      <right/>
      <top/>
      <bottom/>
      <diagonal/>
    </border>
    <border>
      <left style="thin">
        <color rgb="FFC9D1DC"/>
      </left>
      <right/>
      <top style="thin">
        <color rgb="FFC9D1DC"/>
      </top>
      <bottom/>
      <diagonal/>
    </border>
    <border>
      <left/>
      <right/>
      <top style="thin">
        <color rgb="FFC9D1DC"/>
      </top>
      <bottom/>
      <diagonal/>
    </border>
    <border>
      <left style="thin">
        <color rgb="FFC9D1DC"/>
      </left>
      <right/>
      <top/>
      <bottom style="thin">
        <color rgb="FFC9D1DC"/>
      </bottom>
      <diagonal/>
    </border>
    <border>
      <left/>
      <right/>
      <top/>
      <bottom style="thin">
        <color rgb="FFC9D1DC"/>
      </bottom>
      <diagonal/>
    </border>
    <border>
      <left/>
      <right style="thin">
        <color rgb="FFC9D1DC"/>
      </right>
      <top style="thin">
        <color rgb="FFC9D1DC"/>
      </top>
      <bottom/>
      <diagonal/>
    </border>
    <border>
      <left/>
      <right style="thin">
        <color rgb="FFC9D1DC"/>
      </right>
      <top/>
      <bottom/>
      <diagonal/>
    </border>
    <border>
      <left/>
      <right style="thin">
        <color rgb="FFC9D1DC"/>
      </right>
      <top/>
      <bottom style="thin">
        <color rgb="FFC9D1DC"/>
      </bottom>
      <diagonal/>
    </border>
  </borders>
  <cellStyleXfs count="2">
    <xf numFmtId="0" fontId="0" fillId="0" borderId="0"/>
    <xf numFmtId="0" fontId="27" fillId="0" borderId="0" applyNumberFormat="0" applyFill="0" applyBorder="0" applyAlignment="0" applyProtection="0"/>
  </cellStyleXfs>
  <cellXfs count="189">
    <xf numFmtId="0" fontId="0" fillId="0" borderId="0" xfId="0"/>
    <xf numFmtId="0" fontId="1" fillId="0" borderId="0" xfId="0" applyFont="1"/>
    <xf numFmtId="0" fontId="2" fillId="0" borderId="0" xfId="0" applyFont="1"/>
    <xf numFmtId="49" fontId="0" fillId="0" borderId="0" xfId="0" applyNumberFormat="1"/>
    <xf numFmtId="1" fontId="0" fillId="0" borderId="0" xfId="0" applyNumberFormat="1"/>
    <xf numFmtId="164" fontId="0" fillId="0" borderId="0" xfId="0" applyNumberFormat="1"/>
    <xf numFmtId="49" fontId="3" fillId="0" borderId="0" xfId="0" applyNumberFormat="1" applyFont="1"/>
    <xf numFmtId="0" fontId="5" fillId="2" borderId="0" xfId="0" applyFont="1" applyFill="1" applyAlignment="1">
      <alignment vertical="center"/>
    </xf>
    <xf numFmtId="0" fontId="6" fillId="3" borderId="1" xfId="0" applyFont="1" applyFill="1" applyBorder="1" applyAlignment="1">
      <alignment vertical="center"/>
    </xf>
    <xf numFmtId="0" fontId="6" fillId="3" borderId="1" xfId="0" applyFont="1" applyFill="1" applyBorder="1" applyAlignment="1">
      <alignment horizontal="right" vertical="center"/>
    </xf>
    <xf numFmtId="0" fontId="6" fillId="3" borderId="1" xfId="0" applyFont="1" applyFill="1" applyBorder="1" applyAlignment="1">
      <alignment horizontal="left" vertical="center"/>
    </xf>
    <xf numFmtId="14" fontId="0" fillId="0" borderId="0" xfId="0" applyNumberFormat="1"/>
    <xf numFmtId="165" fontId="0" fillId="0" borderId="0" xfId="0" applyNumberFormat="1"/>
    <xf numFmtId="165" fontId="7" fillId="4" borderId="5" xfId="0" applyNumberFormat="1" applyFont="1" applyFill="1" applyBorder="1"/>
    <xf numFmtId="1" fontId="7" fillId="4" borderId="4" xfId="0" applyNumberFormat="1" applyFont="1" applyFill="1" applyBorder="1"/>
    <xf numFmtId="1" fontId="7" fillId="4" borderId="5" xfId="0" applyNumberFormat="1" applyFont="1" applyFill="1" applyBorder="1"/>
    <xf numFmtId="2" fontId="0" fillId="0" borderId="0" xfId="0" applyNumberFormat="1"/>
    <xf numFmtId="2" fontId="7" fillId="4" borderId="2" xfId="0" applyNumberFormat="1" applyFont="1" applyFill="1" applyBorder="1"/>
    <xf numFmtId="2" fontId="7" fillId="4" borderId="3" xfId="0" applyNumberFormat="1" applyFont="1" applyFill="1" applyBorder="1"/>
    <xf numFmtId="2" fontId="7" fillId="4" borderId="4" xfId="0" applyNumberFormat="1" applyFont="1" applyFill="1" applyBorder="1"/>
    <xf numFmtId="0" fontId="6" fillId="3" borderId="0" xfId="0" applyFont="1" applyFill="1" applyBorder="1" applyAlignment="1">
      <alignment horizontal="right" vertical="center"/>
    </xf>
    <xf numFmtId="2" fontId="7" fillId="4" borderId="7" xfId="0" applyNumberFormat="1" applyFont="1" applyFill="1" applyBorder="1"/>
    <xf numFmtId="2" fontId="7" fillId="4" borderId="6" xfId="0" applyNumberFormat="1" applyFont="1" applyFill="1" applyBorder="1"/>
    <xf numFmtId="166" fontId="0" fillId="0" borderId="0" xfId="0" applyNumberFormat="1"/>
    <xf numFmtId="0" fontId="4" fillId="0" borderId="0" xfId="0" applyFont="1"/>
    <xf numFmtId="169" fontId="2" fillId="0" borderId="0" xfId="0" applyNumberFormat="1" applyFont="1"/>
    <xf numFmtId="0" fontId="0" fillId="0" borderId="0" xfId="0" pivotButton="1"/>
    <xf numFmtId="170" fontId="0" fillId="0" borderId="0" xfId="0" applyNumberFormat="1"/>
    <xf numFmtId="171" fontId="0" fillId="0" borderId="0" xfId="0" applyNumberFormat="1"/>
    <xf numFmtId="3" fontId="0" fillId="0" borderId="0" xfId="0" applyNumberFormat="1"/>
    <xf numFmtId="4" fontId="0" fillId="0" borderId="0" xfId="0" applyNumberFormat="1"/>
    <xf numFmtId="0" fontId="2" fillId="0" borderId="0" xfId="0" applyFont="1" applyAlignment="1">
      <alignment wrapText="1"/>
    </xf>
    <xf numFmtId="0" fontId="2" fillId="0" borderId="0" xfId="0" applyFont="1" applyAlignment="1">
      <alignment vertical="top" wrapText="1"/>
    </xf>
    <xf numFmtId="1" fontId="4" fillId="0" borderId="0" xfId="0" applyNumberFormat="1" applyFont="1"/>
    <xf numFmtId="0" fontId="4" fillId="0" borderId="0" xfId="0" applyFont="1" applyAlignment="1">
      <alignment horizontal="right"/>
    </xf>
    <xf numFmtId="0" fontId="4" fillId="0" borderId="1" xfId="0" applyFont="1" applyBorder="1"/>
    <xf numFmtId="1" fontId="4" fillId="0" borderId="1" xfId="0" applyNumberFormat="1" applyFont="1" applyBorder="1" applyAlignment="1">
      <alignment horizontal="right"/>
    </xf>
    <xf numFmtId="0" fontId="4" fillId="0" borderId="1" xfId="0" applyFont="1" applyBorder="1" applyAlignment="1">
      <alignment horizontal="right"/>
    </xf>
    <xf numFmtId="172" fontId="0" fillId="0" borderId="0" xfId="0" applyNumberFormat="1"/>
    <xf numFmtId="173" fontId="0" fillId="0" borderId="0" xfId="0" applyNumberFormat="1"/>
    <xf numFmtId="174" fontId="0" fillId="0" borderId="0" xfId="0" applyNumberFormat="1"/>
    <xf numFmtId="173" fontId="4" fillId="0" borderId="0" xfId="0" applyNumberFormat="1" applyFont="1"/>
    <xf numFmtId="0" fontId="4" fillId="0" borderId="8" xfId="0" applyFont="1" applyBorder="1"/>
    <xf numFmtId="172" fontId="4" fillId="0" borderId="8" xfId="0" applyNumberFormat="1" applyFont="1" applyBorder="1"/>
    <xf numFmtId="173" fontId="4" fillId="0" borderId="8" xfId="0" applyNumberFormat="1" applyFont="1" applyBorder="1"/>
    <xf numFmtId="174" fontId="4" fillId="0" borderId="8" xfId="0" applyNumberFormat="1" applyFont="1" applyBorder="1"/>
    <xf numFmtId="175" fontId="0" fillId="0" borderId="0" xfId="0" applyNumberFormat="1"/>
    <xf numFmtId="0" fontId="9" fillId="0" borderId="0" xfId="0" applyFont="1"/>
    <xf numFmtId="175" fontId="9" fillId="0" borderId="0" xfId="0" applyNumberFormat="1" applyFont="1"/>
    <xf numFmtId="173" fontId="9" fillId="0" borderId="0" xfId="0" applyNumberFormat="1" applyFont="1"/>
    <xf numFmtId="0" fontId="4" fillId="0" borderId="9" xfId="0" applyFont="1" applyBorder="1"/>
    <xf numFmtId="172" fontId="4" fillId="0" borderId="9" xfId="0" applyNumberFormat="1" applyFont="1" applyBorder="1"/>
    <xf numFmtId="173" fontId="4" fillId="0" borderId="9" xfId="0" applyNumberFormat="1" applyFont="1" applyBorder="1"/>
    <xf numFmtId="174" fontId="4" fillId="0" borderId="9" xfId="0" applyNumberFormat="1" applyFont="1" applyBorder="1"/>
    <xf numFmtId="176" fontId="0" fillId="0" borderId="0" xfId="0" applyNumberFormat="1"/>
    <xf numFmtId="177" fontId="0" fillId="0" borderId="0" xfId="0" applyNumberFormat="1"/>
    <xf numFmtId="178" fontId="0" fillId="0" borderId="0" xfId="0" applyNumberFormat="1"/>
    <xf numFmtId="179" fontId="0" fillId="0" borderId="0" xfId="0" applyNumberFormat="1"/>
    <xf numFmtId="180" fontId="0" fillId="0" borderId="0" xfId="0" applyNumberFormat="1"/>
    <xf numFmtId="0" fontId="10" fillId="0" borderId="0" xfId="0" applyFont="1"/>
    <xf numFmtId="0" fontId="11" fillId="2" borderId="0" xfId="0" applyFont="1" applyFill="1" applyAlignment="1">
      <alignment vertical="center"/>
    </xf>
    <xf numFmtId="0" fontId="12" fillId="0" borderId="0" xfId="0" applyFont="1"/>
    <xf numFmtId="0" fontId="11" fillId="0" borderId="8" xfId="0" applyFont="1" applyBorder="1"/>
    <xf numFmtId="0" fontId="11" fillId="0" borderId="9" xfId="0" applyFont="1" applyBorder="1"/>
    <xf numFmtId="0" fontId="6" fillId="3" borderId="1" xfId="0" applyFont="1" applyFill="1" applyBorder="1" applyAlignment="1">
      <alignment vertical="center" wrapText="1"/>
    </xf>
    <xf numFmtId="0" fontId="6" fillId="3" borderId="1" xfId="0" applyFont="1" applyFill="1" applyBorder="1" applyAlignment="1">
      <alignment horizontal="right" vertical="center" wrapText="1"/>
    </xf>
    <xf numFmtId="0" fontId="6" fillId="3" borderId="1" xfId="0" applyFont="1" applyFill="1" applyBorder="1" applyAlignment="1">
      <alignment horizontal="left" vertical="center" wrapText="1"/>
    </xf>
    <xf numFmtId="181" fontId="2" fillId="0" borderId="0" xfId="0" applyNumberFormat="1" applyFont="1"/>
    <xf numFmtId="176" fontId="4" fillId="0" borderId="0" xfId="0" applyNumberFormat="1" applyFont="1"/>
    <xf numFmtId="176" fontId="4" fillId="0" borderId="8" xfId="0" applyNumberFormat="1" applyFont="1" applyBorder="1"/>
    <xf numFmtId="176" fontId="4" fillId="0" borderId="9" xfId="0" applyNumberFormat="1" applyFont="1" applyBorder="1"/>
    <xf numFmtId="180" fontId="4" fillId="0" borderId="9" xfId="0" applyNumberFormat="1" applyFont="1" applyBorder="1"/>
    <xf numFmtId="177" fontId="4" fillId="0" borderId="9" xfId="0" applyNumberFormat="1" applyFont="1" applyBorder="1"/>
    <xf numFmtId="181" fontId="13" fillId="0" borderId="9" xfId="0" applyNumberFormat="1" applyFont="1" applyBorder="1"/>
    <xf numFmtId="182" fontId="0" fillId="0" borderId="0" xfId="0" applyNumberFormat="1"/>
    <xf numFmtId="178" fontId="4" fillId="0" borderId="9" xfId="0" applyNumberFormat="1" applyFont="1" applyBorder="1"/>
    <xf numFmtId="2" fontId="4" fillId="0" borderId="9" xfId="0" applyNumberFormat="1" applyFont="1" applyBorder="1"/>
    <xf numFmtId="183" fontId="0" fillId="0" borderId="0" xfId="0" applyNumberFormat="1"/>
    <xf numFmtId="183" fontId="4" fillId="0" borderId="0" xfId="0" applyNumberFormat="1" applyFont="1"/>
    <xf numFmtId="184" fontId="0" fillId="0" borderId="0" xfId="0" applyNumberFormat="1"/>
    <xf numFmtId="185" fontId="0" fillId="0" borderId="0" xfId="0" applyNumberFormat="1"/>
    <xf numFmtId="186" fontId="0" fillId="0" borderId="0" xfId="0" applyNumberFormat="1"/>
    <xf numFmtId="187" fontId="0" fillId="0" borderId="0" xfId="0" applyNumberFormat="1"/>
    <xf numFmtId="188" fontId="0" fillId="0" borderId="0" xfId="0" applyNumberFormat="1"/>
    <xf numFmtId="189" fontId="0" fillId="0" borderId="0" xfId="0" applyNumberFormat="1"/>
    <xf numFmtId="188" fontId="4" fillId="0" borderId="9" xfId="0" applyNumberFormat="1" applyFont="1" applyBorder="1"/>
    <xf numFmtId="189" fontId="4" fillId="0" borderId="9" xfId="0" applyNumberFormat="1" applyFont="1" applyBorder="1"/>
    <xf numFmtId="0" fontId="14" fillId="0" borderId="0" xfId="0" applyFont="1"/>
    <xf numFmtId="190" fontId="0" fillId="0" borderId="0" xfId="0" applyNumberFormat="1"/>
    <xf numFmtId="191" fontId="0" fillId="0" borderId="0" xfId="0" applyNumberFormat="1"/>
    <xf numFmtId="184" fontId="0" fillId="0" borderId="1" xfId="0" applyNumberFormat="1" applyBorder="1"/>
    <xf numFmtId="0" fontId="0" fillId="0" borderId="1" xfId="0" applyBorder="1"/>
    <xf numFmtId="176" fontId="0" fillId="0" borderId="1" xfId="0" applyNumberFormat="1" applyBorder="1"/>
    <xf numFmtId="186" fontId="0" fillId="0" borderId="1" xfId="0" applyNumberFormat="1" applyBorder="1"/>
    <xf numFmtId="180" fontId="0" fillId="0" borderId="1" xfId="0" applyNumberFormat="1" applyBorder="1"/>
    <xf numFmtId="189" fontId="0" fillId="0" borderId="1" xfId="0" applyNumberFormat="1" applyBorder="1"/>
    <xf numFmtId="177" fontId="0" fillId="0" borderId="1" xfId="0" applyNumberFormat="1" applyBorder="1"/>
    <xf numFmtId="181" fontId="2" fillId="0" borderId="1" xfId="0" applyNumberFormat="1" applyFont="1" applyBorder="1"/>
    <xf numFmtId="192" fontId="0" fillId="0" borderId="0" xfId="0" applyNumberFormat="1"/>
    <xf numFmtId="192" fontId="4" fillId="0" borderId="0" xfId="0" applyNumberFormat="1" applyFont="1"/>
    <xf numFmtId="1" fontId="9" fillId="0" borderId="0" xfId="0" applyNumberFormat="1" applyFont="1"/>
    <xf numFmtId="176" fontId="9" fillId="0" borderId="0" xfId="0" applyNumberFormat="1" applyFont="1"/>
    <xf numFmtId="192" fontId="9" fillId="0" borderId="0" xfId="0" applyNumberFormat="1" applyFont="1"/>
    <xf numFmtId="193" fontId="0" fillId="0" borderId="0" xfId="0" applyNumberFormat="1"/>
    <xf numFmtId="193" fontId="12" fillId="0" borderId="0" xfId="0" applyNumberFormat="1" applyFont="1"/>
    <xf numFmtId="194" fontId="4" fillId="0" borderId="0" xfId="0" applyNumberFormat="1" applyFont="1" applyAlignment="1">
      <alignment horizontal="right"/>
    </xf>
    <xf numFmtId="191" fontId="0" fillId="0" borderId="0" xfId="0" applyNumberFormat="1" applyAlignment="1">
      <alignment horizontal="right"/>
    </xf>
    <xf numFmtId="0" fontId="12" fillId="0" borderId="0" xfId="0" applyFont="1" applyAlignment="1">
      <alignment horizontal="right"/>
    </xf>
    <xf numFmtId="191" fontId="0" fillId="0" borderId="1" xfId="0" applyNumberFormat="1" applyBorder="1"/>
    <xf numFmtId="166" fontId="4" fillId="0" borderId="8" xfId="0" applyNumberFormat="1" applyFont="1" applyBorder="1"/>
    <xf numFmtId="176" fontId="15" fillId="0" borderId="0" xfId="0" applyNumberFormat="1" applyFont="1"/>
    <xf numFmtId="178" fontId="15" fillId="0" borderId="0" xfId="0" applyNumberFormat="1" applyFont="1"/>
    <xf numFmtId="173" fontId="15" fillId="0" borderId="0" xfId="0" applyNumberFormat="1" applyFont="1"/>
    <xf numFmtId="177" fontId="15" fillId="0" borderId="0" xfId="0" applyNumberFormat="1" applyFont="1"/>
    <xf numFmtId="178" fontId="9" fillId="0" borderId="0" xfId="0" applyNumberFormat="1" applyFont="1"/>
    <xf numFmtId="177" fontId="9" fillId="0" borderId="0" xfId="0" applyNumberFormat="1" applyFont="1"/>
    <xf numFmtId="195" fontId="0" fillId="0" borderId="0" xfId="0" applyNumberFormat="1"/>
    <xf numFmtId="197" fontId="0" fillId="0" borderId="0" xfId="0" applyNumberFormat="1"/>
    <xf numFmtId="167" fontId="4" fillId="0" borderId="0" xfId="0" applyNumberFormat="1" applyFont="1"/>
    <xf numFmtId="196" fontId="4" fillId="0" borderId="0" xfId="0" applyNumberFormat="1" applyFont="1"/>
    <xf numFmtId="176" fontId="12" fillId="0" borderId="0" xfId="0" applyNumberFormat="1" applyFont="1"/>
    <xf numFmtId="49" fontId="0" fillId="0" borderId="0" xfId="0" applyNumberFormat="1" applyAlignment="1">
      <alignment horizontal="right"/>
    </xf>
    <xf numFmtId="177" fontId="2" fillId="0" borderId="0" xfId="0" applyNumberFormat="1" applyFont="1"/>
    <xf numFmtId="10" fontId="4" fillId="0" borderId="0" xfId="0" applyNumberFormat="1" applyFont="1"/>
    <xf numFmtId="49" fontId="7" fillId="4" borderId="5" xfId="0" applyNumberFormat="1" applyFont="1" applyFill="1" applyBorder="1" applyAlignment="1">
      <alignment horizontal="right"/>
    </xf>
    <xf numFmtId="166" fontId="7" fillId="4" borderId="5" xfId="0" applyNumberFormat="1" applyFont="1" applyFill="1" applyBorder="1" applyAlignment="1">
      <alignment horizontal="right"/>
    </xf>
    <xf numFmtId="167" fontId="7" fillId="4" borderId="5" xfId="0" applyNumberFormat="1" applyFont="1" applyFill="1" applyBorder="1" applyAlignment="1">
      <alignment horizontal="right"/>
    </xf>
    <xf numFmtId="168" fontId="7" fillId="4" borderId="5" xfId="0" applyNumberFormat="1" applyFont="1" applyFill="1" applyBorder="1" applyAlignment="1">
      <alignment horizontal="right"/>
    </xf>
    <xf numFmtId="168" fontId="7" fillId="4" borderId="4" xfId="0" applyNumberFormat="1" applyFont="1" applyFill="1" applyBorder="1" applyAlignment="1">
      <alignment horizontal="right"/>
    </xf>
    <xf numFmtId="0" fontId="0" fillId="0" borderId="0" xfId="0" applyAlignment="1">
      <alignment horizontal="right"/>
    </xf>
    <xf numFmtId="198" fontId="0" fillId="0" borderId="0" xfId="0" applyNumberFormat="1"/>
    <xf numFmtId="176" fontId="4" fillId="5" borderId="0" xfId="0" applyNumberFormat="1" applyFont="1" applyFill="1"/>
    <xf numFmtId="178" fontId="4" fillId="5" borderId="0" xfId="0" applyNumberFormat="1" applyFont="1" applyFill="1"/>
    <xf numFmtId="175" fontId="4" fillId="5" borderId="0" xfId="0" applyNumberFormat="1" applyFont="1" applyFill="1"/>
    <xf numFmtId="173" fontId="4" fillId="5" borderId="0" xfId="0" applyNumberFormat="1" applyFont="1" applyFill="1"/>
    <xf numFmtId="180" fontId="4" fillId="5" borderId="0" xfId="0" applyNumberFormat="1" applyFont="1" applyFill="1"/>
    <xf numFmtId="199" fontId="6" fillId="3" borderId="1" xfId="0" applyNumberFormat="1" applyFont="1" applyFill="1" applyBorder="1" applyAlignment="1">
      <alignment horizontal="right" vertical="center" wrapText="1"/>
    </xf>
    <xf numFmtId="200" fontId="6" fillId="3" borderId="1" xfId="0" applyNumberFormat="1" applyFont="1" applyFill="1" applyBorder="1" applyAlignment="1">
      <alignment horizontal="right" vertical="center" wrapText="1"/>
    </xf>
    <xf numFmtId="0" fontId="0" fillId="0" borderId="0" xfId="0" applyAlignment="1">
      <alignment horizontal="center"/>
    </xf>
    <xf numFmtId="0" fontId="4" fillId="0" borderId="0" xfId="0" applyFont="1" applyAlignment="1">
      <alignment horizontal="center"/>
    </xf>
    <xf numFmtId="0" fontId="4" fillId="0" borderId="9" xfId="0" applyFont="1" applyBorder="1" applyAlignment="1">
      <alignment horizontal="center"/>
    </xf>
    <xf numFmtId="201" fontId="0" fillId="0" borderId="0" xfId="0" applyNumberFormat="1"/>
    <xf numFmtId="0" fontId="2" fillId="0" borderId="0" xfId="0" applyNumberFormat="1" applyFont="1"/>
    <xf numFmtId="0" fontId="16" fillId="0" borderId="0" xfId="0" applyFont="1"/>
    <xf numFmtId="0" fontId="6" fillId="3" borderId="0" xfId="0" applyFont="1" applyFill="1" applyBorder="1" applyAlignment="1">
      <alignment horizontal="right" vertical="center" wrapText="1"/>
    </xf>
    <xf numFmtId="3" fontId="7" fillId="4" borderId="4" xfId="0" applyNumberFormat="1" applyFont="1" applyFill="1" applyBorder="1"/>
    <xf numFmtId="3" fontId="7" fillId="4" borderId="5" xfId="0" applyNumberFormat="1" applyFont="1" applyFill="1" applyBorder="1"/>
    <xf numFmtId="164" fontId="7" fillId="4" borderId="5" xfId="0" applyNumberFormat="1" applyFont="1" applyFill="1" applyBorder="1"/>
    <xf numFmtId="0" fontId="17" fillId="0" borderId="0" xfId="0" applyFont="1"/>
    <xf numFmtId="0" fontId="0" fillId="6" borderId="12" xfId="0" applyFill="1" applyBorder="1" applyAlignment="1">
      <alignment horizontal="left" indent="1"/>
    </xf>
    <xf numFmtId="0" fontId="0" fillId="6" borderId="15" xfId="0" applyFill="1" applyBorder="1" applyAlignment="1">
      <alignment horizontal="left" indent="1"/>
    </xf>
    <xf numFmtId="0" fontId="0" fillId="6" borderId="10" xfId="0" applyFill="1" applyBorder="1" applyAlignment="1">
      <alignment horizontal="left" indent="1"/>
    </xf>
    <xf numFmtId="0" fontId="0" fillId="6" borderId="0" xfId="0" applyFill="1" applyBorder="1" applyAlignment="1">
      <alignment horizontal="left" indent="1"/>
    </xf>
    <xf numFmtId="0" fontId="0" fillId="6" borderId="16" xfId="0" applyFill="1" applyBorder="1" applyAlignment="1">
      <alignment horizontal="left" indent="1"/>
    </xf>
    <xf numFmtId="0" fontId="0" fillId="6" borderId="14" xfId="0" applyFill="1" applyBorder="1" applyAlignment="1">
      <alignment horizontal="left" indent="1"/>
    </xf>
    <xf numFmtId="0" fontId="0" fillId="6" borderId="17" xfId="0" applyFill="1" applyBorder="1" applyAlignment="1">
      <alignment horizontal="left" indent="1"/>
    </xf>
    <xf numFmtId="0" fontId="19" fillId="6" borderId="11" xfId="0" applyFont="1" applyFill="1" applyBorder="1" applyAlignment="1">
      <alignment horizontal="left" indent="1"/>
    </xf>
    <xf numFmtId="202" fontId="17" fillId="6" borderId="10" xfId="0" applyNumberFormat="1" applyFont="1" applyFill="1" applyBorder="1" applyAlignment="1">
      <alignment horizontal="left" indent="1"/>
    </xf>
    <xf numFmtId="203" fontId="18" fillId="6" borderId="10" xfId="0" applyNumberFormat="1" applyFont="1" applyFill="1" applyBorder="1" applyAlignment="1">
      <alignment horizontal="left" indent="1"/>
    </xf>
    <xf numFmtId="0" fontId="20" fillId="6" borderId="13" xfId="0" applyFont="1" applyFill="1" applyBorder="1" applyAlignment="1">
      <alignment horizontal="left" indent="1"/>
    </xf>
    <xf numFmtId="204" fontId="17" fillId="6" borderId="10" xfId="0" applyNumberFormat="1" applyFont="1" applyFill="1" applyBorder="1" applyAlignment="1">
      <alignment horizontal="left" indent="1"/>
    </xf>
    <xf numFmtId="205" fontId="18" fillId="6" borderId="10" xfId="0" applyNumberFormat="1" applyFont="1" applyFill="1" applyBorder="1" applyAlignment="1">
      <alignment horizontal="left" indent="1"/>
    </xf>
    <xf numFmtId="0" fontId="21" fillId="6" borderId="10" xfId="0" applyFont="1" applyFill="1" applyBorder="1" applyAlignment="1">
      <alignment horizontal="left" indent="1"/>
    </xf>
    <xf numFmtId="206" fontId="17" fillId="6" borderId="10" xfId="0" applyNumberFormat="1" applyFont="1" applyFill="1" applyBorder="1" applyAlignment="1">
      <alignment horizontal="left" indent="1"/>
    </xf>
    <xf numFmtId="207" fontId="18" fillId="6" borderId="10" xfId="0" applyNumberFormat="1" applyFont="1" applyFill="1" applyBorder="1" applyAlignment="1">
      <alignment horizontal="left" indent="1"/>
    </xf>
    <xf numFmtId="208" fontId="17" fillId="6" borderId="10" xfId="0" applyNumberFormat="1" applyFont="1" applyFill="1" applyBorder="1" applyAlignment="1">
      <alignment horizontal="left" indent="1"/>
    </xf>
    <xf numFmtId="0" fontId="20" fillId="6" borderId="10" xfId="0" applyFont="1" applyFill="1" applyBorder="1" applyAlignment="1">
      <alignment horizontal="left" indent="1"/>
    </xf>
    <xf numFmtId="209" fontId="17" fillId="6" borderId="10" xfId="0" applyNumberFormat="1" applyFont="1" applyFill="1" applyBorder="1" applyAlignment="1">
      <alignment horizontal="left" indent="1"/>
    </xf>
    <xf numFmtId="192" fontId="17" fillId="6" borderId="10" xfId="0" applyNumberFormat="1" applyFont="1" applyFill="1" applyBorder="1" applyAlignment="1">
      <alignment horizontal="left" indent="1"/>
    </xf>
    <xf numFmtId="211" fontId="18" fillId="6" borderId="10" xfId="0" applyNumberFormat="1" applyFont="1" applyFill="1" applyBorder="1" applyAlignment="1">
      <alignment horizontal="left" indent="1"/>
    </xf>
    <xf numFmtId="0" fontId="0" fillId="0" borderId="0" xfId="0" applyAlignment="1">
      <alignment wrapText="1"/>
    </xf>
    <xf numFmtId="0" fontId="0" fillId="0" borderId="0" xfId="0" applyAlignment="1">
      <alignment vertical="center" wrapText="1"/>
    </xf>
    <xf numFmtId="0" fontId="22" fillId="0" borderId="0" xfId="0" applyFont="1" applyAlignment="1">
      <alignment vertical="center" wrapText="1"/>
    </xf>
    <xf numFmtId="204" fontId="0" fillId="0" borderId="0" xfId="0" applyNumberFormat="1"/>
    <xf numFmtId="0" fontId="23" fillId="0" borderId="1" xfId="0" applyFont="1" applyBorder="1"/>
    <xf numFmtId="0" fontId="23" fillId="0" borderId="1" xfId="0" applyFont="1" applyBorder="1" applyAlignment="1">
      <alignment horizontal="right"/>
    </xf>
    <xf numFmtId="197" fontId="4" fillId="0" borderId="0" xfId="0" applyNumberFormat="1" applyFont="1"/>
    <xf numFmtId="204" fontId="4" fillId="0" borderId="0" xfId="0" applyNumberFormat="1" applyFont="1"/>
    <xf numFmtId="0" fontId="24" fillId="0" borderId="0" xfId="0" applyFont="1"/>
    <xf numFmtId="0" fontId="25" fillId="0" borderId="0" xfId="0" applyFont="1"/>
    <xf numFmtId="0" fontId="26" fillId="0" borderId="0" xfId="0" applyFont="1"/>
    <xf numFmtId="0" fontId="27" fillId="0" borderId="0" xfId="1"/>
    <xf numFmtId="0" fontId="27" fillId="0" borderId="0" xfId="1" applyFont="1"/>
    <xf numFmtId="0" fontId="0" fillId="0" borderId="0" xfId="0" applyAlignment="1">
      <alignment wrapText="1"/>
    </xf>
    <xf numFmtId="0" fontId="4" fillId="0" borderId="0" xfId="0" applyFont="1" applyAlignment="1">
      <alignment vertical="top"/>
    </xf>
    <xf numFmtId="0" fontId="0" fillId="0" borderId="0" xfId="0" applyAlignment="1">
      <alignment vertical="top" wrapText="1"/>
    </xf>
    <xf numFmtId="0" fontId="27" fillId="0" borderId="0" xfId="1" applyAlignment="1">
      <alignment vertical="top"/>
    </xf>
    <xf numFmtId="0" fontId="2" fillId="0" borderId="0" xfId="0" applyFont="1" applyAlignment="1">
      <alignment wrapText="1"/>
    </xf>
    <xf numFmtId="212" fontId="7" fillId="4" borderId="4" xfId="0" applyNumberFormat="1" applyFont="1" applyFill="1" applyBorder="1" applyAlignment="1">
      <alignment horizontal="center"/>
    </xf>
  </cellXfs>
  <cellStyles count="2">
    <cellStyle name="Hyperlink" xfId="1" builtinId="8"/>
    <cellStyle name="Normal" xfId="0" builtinId="0" customBuiltin="1"/>
  </cellStyles>
  <dxfs count="109">
    <dxf>
      <font>
        <color rgb="FFB42318"/>
      </font>
    </dxf>
    <dxf>
      <font>
        <color rgb="FF1E7B34"/>
      </font>
    </dxf>
    <dxf>
      <font>
        <color rgb="FFB42318"/>
      </font>
    </dxf>
    <dxf>
      <font>
        <color rgb="FF1E7B34"/>
      </font>
    </dxf>
    <dxf>
      <font>
        <color rgb="FFB42318"/>
      </font>
    </dxf>
    <dxf>
      <font>
        <color rgb="FF1E7B34"/>
      </font>
    </dxf>
    <dxf>
      <font>
        <color rgb="FFB42318"/>
      </font>
    </dxf>
    <dxf>
      <font>
        <color rgb="FF1E7B34"/>
      </font>
    </dxf>
    <dxf>
      <font>
        <color rgb="FFB42318"/>
      </font>
    </dxf>
    <dxf>
      <font>
        <color rgb="FF1E7B34"/>
      </font>
    </dxf>
    <dxf>
      <font>
        <color rgb="FFB42318"/>
      </font>
    </dxf>
    <dxf>
      <font>
        <color rgb="FF1E7B34"/>
      </font>
    </dxf>
    <dxf>
      <font>
        <color rgb="FFB42318"/>
      </font>
    </dxf>
    <dxf>
      <font>
        <color rgb="FF1E7B34"/>
      </font>
    </dxf>
    <dxf>
      <font>
        <color rgb="FFB42318"/>
      </font>
    </dxf>
    <dxf>
      <font>
        <color rgb="FF1E7B34"/>
      </font>
    </dxf>
    <dxf>
      <font>
        <color rgb="FFB42318"/>
      </font>
    </dxf>
    <dxf>
      <font>
        <color rgb="FF1E7B34"/>
      </font>
    </dxf>
    <dxf>
      <font>
        <color rgb="FFB42318"/>
      </font>
      <fill>
        <patternFill>
          <bgColor rgb="FFFBE0DC"/>
        </patternFill>
      </fill>
    </dxf>
    <dxf>
      <font>
        <color rgb="FF1E7B34"/>
      </font>
      <fill>
        <patternFill>
          <bgColor rgb="FFDDF3E4"/>
        </patternFill>
      </fill>
    </dxf>
    <dxf>
      <font>
        <color rgb="FFB42318"/>
      </font>
    </dxf>
    <dxf>
      <font>
        <color rgb="FF1E7B34"/>
      </font>
    </dxf>
    <dxf>
      <font>
        <color rgb="FFB42318"/>
      </font>
    </dxf>
    <dxf>
      <font>
        <color rgb="FF1E7B34"/>
      </font>
    </dxf>
    <dxf>
      <font>
        <color rgb="FFB42318"/>
      </font>
    </dxf>
    <dxf>
      <font>
        <color rgb="FF1E7B34"/>
      </font>
    </dxf>
    <dxf>
      <font>
        <color rgb="FFB42318"/>
      </font>
    </dxf>
    <dxf>
      <font>
        <color rgb="FF1E7B34"/>
      </font>
    </dxf>
    <dxf>
      <font>
        <color rgb="FFB42318"/>
      </font>
    </dxf>
    <dxf>
      <font>
        <color rgb="FF1E7B34"/>
      </font>
    </dxf>
    <dxf>
      <font>
        <color rgb="FFB8C0CC"/>
      </font>
    </dxf>
    <dxf>
      <font>
        <color rgb="FFB42318"/>
      </font>
    </dxf>
    <dxf>
      <font>
        <color rgb="FF1E7B34"/>
      </font>
    </dxf>
    <dxf>
      <font>
        <color rgb="FFB42318"/>
      </font>
    </dxf>
    <dxf>
      <font>
        <color rgb="FF1E7B34"/>
      </font>
    </dxf>
    <dxf>
      <fill>
        <patternFill>
          <bgColor rgb="FFEAF3FB"/>
        </patternFill>
      </fill>
    </dxf>
    <dxf>
      <font>
        <color rgb="FFB42318"/>
      </font>
    </dxf>
    <dxf>
      <font>
        <color rgb="FF1E7B34"/>
      </font>
    </dxf>
    <dxf>
      <font>
        <color rgb="FFB42318"/>
      </font>
    </dxf>
    <dxf>
      <font>
        <color rgb="FF1E7B34"/>
      </font>
    </dxf>
    <dxf>
      <font>
        <color rgb="FFB42318"/>
      </font>
    </dxf>
    <dxf>
      <font>
        <color rgb="FF1E7B34"/>
      </font>
    </dxf>
    <dxf>
      <font>
        <color rgb="FFB42318"/>
      </font>
    </dxf>
    <dxf>
      <font>
        <color rgb="FF1E7B34"/>
      </font>
    </dxf>
    <dxf>
      <font>
        <color rgb="FFB42318"/>
      </font>
    </dxf>
    <dxf>
      <font>
        <color rgb="FF1E7B34"/>
      </font>
    </dxf>
    <dxf>
      <font>
        <color rgb="FFB42318"/>
      </font>
    </dxf>
    <dxf>
      <font>
        <color rgb="FF1E7B34"/>
      </font>
    </dxf>
    <dxf>
      <font>
        <color rgb="FFB42318"/>
      </font>
    </dxf>
    <dxf>
      <font>
        <color rgb="FF1E7B34"/>
      </font>
    </dxf>
    <dxf>
      <font>
        <color rgb="FFB42318"/>
      </font>
    </dxf>
    <dxf>
      <font>
        <color rgb="FF1E7B34"/>
      </font>
    </dxf>
    <dxf>
      <font>
        <color rgb="FFB42318"/>
      </font>
    </dxf>
    <dxf>
      <font>
        <color rgb="FF1E7B34"/>
      </font>
    </dxf>
    <dxf>
      <font>
        <color rgb="FFB42318"/>
      </font>
    </dxf>
    <dxf>
      <font>
        <color rgb="FF1E7B34"/>
      </font>
    </dxf>
    <dxf>
      <font>
        <color rgb="FFB42318"/>
      </font>
    </dxf>
    <dxf>
      <font>
        <color rgb="FF1E7B34"/>
      </font>
    </dxf>
    <dxf>
      <numFmt numFmtId="19" formatCode="yyyy/mm/dd"/>
    </dxf>
    <dxf>
      <numFmt numFmtId="19" formatCode="yyyy/mm/dd"/>
    </dxf>
    <dxf>
      <font>
        <b val="0"/>
        <i val="0"/>
        <strike val="0"/>
        <outline val="0"/>
        <shadow val="0"/>
        <u val="none"/>
        <vertAlign val="baseline"/>
        <sz val="9"/>
        <color theme="1"/>
        <name val="Consolas"/>
        <family val="3"/>
        <scheme val="none"/>
      </font>
    </dxf>
    <dxf>
      <font>
        <b val="0"/>
        <i val="0"/>
        <strike val="0"/>
        <outline val="0"/>
        <shadow val="0"/>
        <u val="none"/>
        <vertAlign val="baseline"/>
        <sz val="9"/>
        <color theme="1"/>
        <name val="Consolas"/>
        <family val="3"/>
        <scheme val="none"/>
      </font>
      <numFmt numFmtId="30" formatCode="@"/>
    </dxf>
    <dxf>
      <numFmt numFmtId="30" formatCode="@"/>
    </dxf>
    <dxf>
      <numFmt numFmtId="30" formatCode="@"/>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 formatCode="0"/>
    </dxf>
    <dxf>
      <numFmt numFmtId="30" formatCode="@"/>
    </dxf>
    <dxf>
      <numFmt numFmtId="164" formatCode="#,##0.000"/>
    </dxf>
    <dxf>
      <numFmt numFmtId="30" formatCode="@"/>
    </dxf>
    <dxf>
      <numFmt numFmtId="1" formatCode="0"/>
    </dxf>
    <dxf>
      <numFmt numFmtId="1" formatCode="0"/>
    </dxf>
    <dxf>
      <numFmt numFmtId="30" formatCode="@"/>
    </dxf>
    <dxf>
      <numFmt numFmtId="164" formatCode="#,##0.000"/>
    </dxf>
    <dxf>
      <numFmt numFmtId="30" formatCode="@"/>
    </dxf>
    <dxf>
      <numFmt numFmtId="1" formatCode="0"/>
    </dxf>
    <dxf>
      <numFmt numFmtId="1" formatCode="0"/>
    </dxf>
    <dxf>
      <numFmt numFmtId="30" formatCode="@"/>
    </dxf>
    <dxf>
      <numFmt numFmtId="164" formatCode="#,##0.000"/>
    </dxf>
    <dxf>
      <numFmt numFmtId="164" formatCode="#,##0.000"/>
    </dxf>
    <dxf>
      <numFmt numFmtId="164" formatCode="#,##0.000"/>
    </dxf>
    <dxf>
      <numFmt numFmtId="30" formatCode="@"/>
    </dxf>
    <dxf>
      <numFmt numFmtId="1" formatCode="0"/>
    </dxf>
    <dxf>
      <numFmt numFmtId="1" formatCode="0"/>
    </dxf>
    <dxf>
      <numFmt numFmtId="30" formatCode="@"/>
    </dxf>
    <dxf>
      <numFmt numFmtId="1" formatCode="0"/>
    </dxf>
    <dxf>
      <numFmt numFmtId="164" formatCode="#,##0.000"/>
    </dxf>
    <dxf>
      <numFmt numFmtId="164" formatCode="#,##0.000"/>
    </dxf>
    <dxf>
      <numFmt numFmtId="1" formatCode="0"/>
    </dxf>
    <dxf>
      <numFmt numFmtId="164" formatCode="#,##0.000"/>
    </dxf>
    <dxf>
      <numFmt numFmtId="164" formatCode="#,##0.000"/>
    </dxf>
    <dxf>
      <numFmt numFmtId="1" formatCode="0"/>
    </dxf>
    <dxf>
      <numFmt numFmtId="164" formatCode="#,##0.000"/>
    </dxf>
    <dxf>
      <numFmt numFmtId="164" formatCode="#,##0.000"/>
    </dxf>
    <dxf>
      <numFmt numFmtId="1" formatCode="0"/>
    </dxf>
    <dxf>
      <numFmt numFmtId="164" formatCode="#,##0.000"/>
    </dxf>
    <dxf>
      <numFmt numFmtId="164" formatCode="#,##0.000"/>
    </dxf>
    <dxf>
      <numFmt numFmtId="1" formatCode="0"/>
    </dxf>
    <dxf>
      <numFmt numFmtId="164" formatCode="#,##0.000"/>
    </dxf>
    <dxf>
      <numFmt numFmtId="164" formatCode="#,##0.000"/>
    </dxf>
    <dxf>
      <numFmt numFmtId="30" formatCode="@"/>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D30" s="11"/>
        <tr r="F28" s="11"/>
        <tr r="C30" s="11"/>
        <tr r="E28" s="11"/>
        <tr r="C29" s="11"/>
        <tr r="E32" s="11"/>
        <tr r="F32" s="11"/>
        <tr r="F31" s="11"/>
        <tr r="C28" s="11"/>
        <tr r="F30" s="11"/>
        <tr r="C32" s="11"/>
        <tr r="E29" s="11"/>
        <tr r="F29" s="11"/>
        <tr r="C31" s="11"/>
        <tr r="E31" s="11"/>
        <tr r="D29" s="11"/>
        <tr r="D28" s="11"/>
        <tr r="E30" s="11"/>
        <tr r="D32" s="11"/>
        <tr r="D31" s="11"/>
        <tr r="G30" s="11"/>
        <tr r="G31" s="11"/>
        <tr r="G29" s="11"/>
        <tr r="G32" s="11"/>
        <tr r="G28" s="11"/>
      </tp>
    </main>
  </volType>
</volType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volatileDependencies" Target="volatileDependenci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styles" Target="styles.xml"/><Relationship Id="rId30" Type="http://schemas.openxmlformats.org/officeDocument/2006/relationships/powerPivotData" Target="model/item.data"/><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595959"/>
                </a:solidFill>
                <a:latin typeface="+mn-lt"/>
                <a:ea typeface="+mn-ea"/>
                <a:cs typeface="+mn-cs"/>
              </a:defRPr>
            </a:pPr>
            <a:r>
              <a:rPr lang="en-CA" sz="1400" b="0">
                <a:solidFill>
                  <a:srgbClr val="595959"/>
                </a:solidFill>
              </a:rPr>
              <a:t>Retail revenue by month: actual, forecast, plan and last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95959"/>
              </a:solidFill>
              <a:latin typeface="+mn-lt"/>
              <a:ea typeface="+mn-ea"/>
              <a:cs typeface="+mn-cs"/>
            </a:defRPr>
          </a:pPr>
          <a:endParaRPr lang="en-US"/>
        </a:p>
      </c:txPr>
    </c:title>
    <c:autoTitleDeleted val="0"/>
    <c:plotArea>
      <c:layout/>
      <c:barChart>
        <c:barDir val="col"/>
        <c:grouping val="stacked"/>
        <c:varyColors val="0"/>
        <c:ser>
          <c:idx val="0"/>
          <c:order val="0"/>
          <c:tx>
            <c:v>Actual</c:v>
          </c:tx>
          <c:spPr>
            <a:solidFill>
              <a:srgbClr val="1F3A5F"/>
            </a:solidFill>
            <a:ln>
              <a:noFill/>
            </a:ln>
            <a:effectLst/>
          </c:spPr>
          <c:invertIfNegative val="0"/>
          <c:cat>
            <c:strRef>
              <c:f>Dashboard!$B$72:$B$83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Dashboard!$C$72:$C$83</c:f>
              <c:numCache>
                <c:formatCode>#,##0;\(#,##0\);"–"</c:formatCode>
                <c:ptCount val="12"/>
                <c:pt idx="0">
                  <c:v>271495430</c:v>
                </c:pt>
                <c:pt idx="1">
                  <c:v>236446919</c:v>
                </c:pt>
                <c:pt idx="2">
                  <c:v>241516825</c:v>
                </c:pt>
                <c:pt idx="3">
                  <c:v>233585146</c:v>
                </c:pt>
                <c:pt idx="4">
                  <c:v>239271154</c:v>
                </c:pt>
                <c:pt idx="5">
                  <c:v>247646681</c:v>
                </c:pt>
                <c:pt idx="6">
                  <c:v>0</c:v>
                </c:pt>
                <c:pt idx="7">
                  <c:v>0</c:v>
                </c:pt>
                <c:pt idx="8">
                  <c:v>0</c:v>
                </c:pt>
                <c:pt idx="9">
                  <c:v>0</c:v>
                </c:pt>
                <c:pt idx="10">
                  <c:v>0</c:v>
                </c:pt>
                <c:pt idx="11">
                  <c:v>0</c:v>
                </c:pt>
              </c:numCache>
            </c:numRef>
          </c:val>
          <c:extLst>
            <c:ext xmlns:c16="http://schemas.microsoft.com/office/drawing/2014/chart" uri="{C3380CC4-5D6E-409C-BE32-E72D297353CC}">
              <c16:uniqueId val="{00000001-65C1-4134-A27E-9C3BC38E231E}"/>
            </c:ext>
          </c:extLst>
        </c:ser>
        <c:ser>
          <c:idx val="1"/>
          <c:order val="1"/>
          <c:tx>
            <c:v>Forecast</c:v>
          </c:tx>
          <c:spPr>
            <a:solidFill>
              <a:srgbClr val="9DB4CF"/>
            </a:solidFill>
            <a:ln>
              <a:noFill/>
            </a:ln>
            <a:effectLst/>
          </c:spPr>
          <c:invertIfNegative val="0"/>
          <c:cat>
            <c:strRef>
              <c:f>Dashboard!$B$72:$B$83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Dashboard!$D$72:$D$83</c:f>
              <c:numCache>
                <c:formatCode>#,##0;\(#,##0\);"–"</c:formatCode>
                <c:ptCount val="12"/>
                <c:pt idx="0">
                  <c:v>0</c:v>
                </c:pt>
                <c:pt idx="1">
                  <c:v>0</c:v>
                </c:pt>
                <c:pt idx="2">
                  <c:v>0</c:v>
                </c:pt>
                <c:pt idx="3">
                  <c:v>0</c:v>
                </c:pt>
                <c:pt idx="4">
                  <c:v>0</c:v>
                </c:pt>
                <c:pt idx="5">
                  <c:v>0</c:v>
                </c:pt>
                <c:pt idx="6">
                  <c:v>249765756.93287402</c:v>
                </c:pt>
                <c:pt idx="7">
                  <c:v>261871304.79094505</c:v>
                </c:pt>
                <c:pt idx="8">
                  <c:v>233295188.66523248</c:v>
                </c:pt>
                <c:pt idx="9">
                  <c:v>242431371.7977902</c:v>
                </c:pt>
                <c:pt idx="10">
                  <c:v>266289804.2440725</c:v>
                </c:pt>
                <c:pt idx="11">
                  <c:v>284049255.41110104</c:v>
                </c:pt>
              </c:numCache>
            </c:numRef>
          </c:val>
          <c:extLst>
            <c:ext xmlns:c16="http://schemas.microsoft.com/office/drawing/2014/chart" uri="{C3380CC4-5D6E-409C-BE32-E72D297353CC}">
              <c16:uniqueId val="{00000002-65C1-4134-A27E-9C3BC38E231E}"/>
            </c:ext>
          </c:extLst>
        </c:ser>
        <c:dLbls>
          <c:showLegendKey val="0"/>
          <c:showVal val="0"/>
          <c:showCatName val="0"/>
          <c:showSerName val="0"/>
          <c:showPercent val="0"/>
          <c:showBubbleSize val="0"/>
        </c:dLbls>
        <c:gapWidth val="45"/>
        <c:overlap val="100"/>
        <c:axId val="1337524960"/>
        <c:axId val="1173244272"/>
      </c:barChart>
      <c:lineChart>
        <c:grouping val="standard"/>
        <c:varyColors val="0"/>
        <c:ser>
          <c:idx val="2"/>
          <c:order val="2"/>
          <c:tx>
            <c:v>Plan</c:v>
          </c:tx>
          <c:spPr>
            <a:ln w="28575" cap="rnd">
              <a:solidFill>
                <a:srgbClr val="0F766E"/>
              </a:solidFill>
              <a:round/>
            </a:ln>
            <a:effectLst/>
          </c:spPr>
          <c:marker>
            <c:symbol val="none"/>
          </c:marker>
          <c:cat>
            <c:strRef>
              <c:f>Dashboard!$B$72:$B$83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Dashboard!$E$72:$E$83</c:f>
              <c:numCache>
                <c:formatCode>#,##0;\(#,##0\);"–"</c:formatCode>
                <c:ptCount val="12"/>
                <c:pt idx="0">
                  <c:v>283013384.4544363</c:v>
                </c:pt>
                <c:pt idx="1">
                  <c:v>278331997.90309078</c:v>
                </c:pt>
                <c:pt idx="2">
                  <c:v>278534819.09507304</c:v>
                </c:pt>
                <c:pt idx="3">
                  <c:v>258377317.47637573</c:v>
                </c:pt>
                <c:pt idx="4">
                  <c:v>241140122.72129312</c:v>
                </c:pt>
                <c:pt idx="5">
                  <c:v>231505490.72670346</c:v>
                </c:pt>
                <c:pt idx="6">
                  <c:v>271905951.22630715</c:v>
                </c:pt>
                <c:pt idx="7">
                  <c:v>282850946.04563272</c:v>
                </c:pt>
                <c:pt idx="8">
                  <c:v>242720940.82044315</c:v>
                </c:pt>
                <c:pt idx="9">
                  <c:v>252029999.89322755</c:v>
                </c:pt>
                <c:pt idx="10">
                  <c:v>276514241.51783502</c:v>
                </c:pt>
                <c:pt idx="11">
                  <c:v>294983141.47881377</c:v>
                </c:pt>
              </c:numCache>
            </c:numRef>
          </c:val>
          <c:smooth val="0"/>
          <c:extLst>
            <c:ext xmlns:c16="http://schemas.microsoft.com/office/drawing/2014/chart" uri="{C3380CC4-5D6E-409C-BE32-E72D297353CC}">
              <c16:uniqueId val="{00000003-65C1-4134-A27E-9C3BC38E231E}"/>
            </c:ext>
          </c:extLst>
        </c:ser>
        <c:ser>
          <c:idx val="3"/>
          <c:order val="3"/>
          <c:tx>
            <c:v>Prior year</c:v>
          </c:tx>
          <c:spPr>
            <a:ln w="19050" cap="rnd">
              <a:solidFill>
                <a:srgbClr val="98A2B3"/>
              </a:solidFill>
              <a:prstDash val="dash"/>
              <a:round/>
            </a:ln>
            <a:effectLst/>
          </c:spPr>
          <c:marker>
            <c:symbol val="none"/>
          </c:marker>
          <c:cat>
            <c:strRef>
              <c:f>Dashboard!$B$72:$B$83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Dashboard!$F$72:$F$83</c:f>
              <c:numCache>
                <c:formatCode>#,##0;\(#,##0\);"–"</c:formatCode>
                <c:ptCount val="12"/>
                <c:pt idx="0">
                  <c:v>280461721</c:v>
                </c:pt>
                <c:pt idx="1">
                  <c:v>252288295</c:v>
                </c:pt>
                <c:pt idx="2">
                  <c:v>247602397</c:v>
                </c:pt>
                <c:pt idx="3">
                  <c:v>217637842</c:v>
                </c:pt>
                <c:pt idx="4">
                  <c:v>216290531</c:v>
                </c:pt>
                <c:pt idx="5">
                  <c:v>228083828</c:v>
                </c:pt>
                <c:pt idx="6">
                  <c:v>260233530</c:v>
                </c:pt>
                <c:pt idx="7">
                  <c:v>268274378</c:v>
                </c:pt>
                <c:pt idx="8">
                  <c:v>230382555</c:v>
                </c:pt>
                <c:pt idx="9">
                  <c:v>226390278</c:v>
                </c:pt>
                <c:pt idx="10">
                  <c:v>236444019</c:v>
                </c:pt>
                <c:pt idx="11">
                  <c:v>264090576</c:v>
                </c:pt>
              </c:numCache>
            </c:numRef>
          </c:val>
          <c:smooth val="0"/>
          <c:extLst>
            <c:ext xmlns:c16="http://schemas.microsoft.com/office/drawing/2014/chart" uri="{C3380CC4-5D6E-409C-BE32-E72D297353CC}">
              <c16:uniqueId val="{00000004-65C1-4134-A27E-9C3BC38E231E}"/>
            </c:ext>
          </c:extLst>
        </c:ser>
        <c:dLbls>
          <c:showLegendKey val="0"/>
          <c:showVal val="0"/>
          <c:showCatName val="0"/>
          <c:showSerName val="0"/>
          <c:showPercent val="0"/>
          <c:showBubbleSize val="0"/>
        </c:dLbls>
        <c:marker val="1"/>
        <c:smooth val="0"/>
        <c:axId val="1337524960"/>
        <c:axId val="1173244272"/>
      </c:lineChart>
      <c:catAx>
        <c:axId val="133752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D2433"/>
                </a:solidFill>
                <a:latin typeface="+mn-lt"/>
                <a:ea typeface="+mn-ea"/>
                <a:cs typeface="+mn-cs"/>
              </a:defRPr>
            </a:pPr>
            <a:endParaRPr lang="en-US"/>
          </a:p>
        </c:txPr>
        <c:crossAx val="1173244272"/>
        <c:crosses val="autoZero"/>
        <c:auto val="1"/>
        <c:lblAlgn val="ctr"/>
        <c:lblOffset val="100"/>
        <c:noMultiLvlLbl val="0"/>
      </c:catAx>
      <c:valAx>
        <c:axId val="1173244272"/>
        <c:scaling>
          <c:orientation val="minMax"/>
        </c:scaling>
        <c:delete val="0"/>
        <c:axPos val="l"/>
        <c:majorGridlines>
          <c:spPr>
            <a:ln w="9525" cap="flat" cmpd="sng" algn="ctr">
              <a:solidFill>
                <a:srgbClr val="E4E8EE"/>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D2433"/>
                </a:solidFill>
                <a:latin typeface="+mn-lt"/>
                <a:ea typeface="+mn-ea"/>
                <a:cs typeface="+mn-cs"/>
              </a:defRPr>
            </a:pPr>
            <a:endParaRPr lang="en-US"/>
          </a:p>
        </c:txPr>
        <c:crossAx val="1337524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1D243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D9D9"/>
      </a:solidFill>
      <a:round/>
    </a:ln>
    <a:effectLst/>
  </c:spPr>
  <c:txPr>
    <a:bodyPr/>
    <a:lstStyle/>
    <a:p>
      <a:pPr>
        <a:defRPr sz="900">
          <a:solidFill>
            <a:srgbClr val="1D2433"/>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595959"/>
                </a:solidFill>
                <a:latin typeface="+mn-lt"/>
                <a:ea typeface="+mn-ea"/>
                <a:cs typeface="+mn-cs"/>
              </a:defRPr>
            </a:pPr>
            <a:r>
              <a:rPr lang="en-CA" sz="1400" b="0">
                <a:solidFill>
                  <a:srgbClr val="595959"/>
                </a:solidFill>
              </a:rPr>
              <a:t>Industrial load growth a year: PGE and its peers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95959"/>
              </a:solidFill>
              <a:latin typeface="+mn-lt"/>
              <a:ea typeface="+mn-ea"/>
              <a:cs typeface="+mn-cs"/>
            </a:defRPr>
          </a:pPr>
          <a:endParaRPr lang="en-US"/>
        </a:p>
      </c:txPr>
    </c:title>
    <c:autoTitleDeleted val="0"/>
    <c:plotArea>
      <c:layout/>
      <c:barChart>
        <c:barDir val="col"/>
        <c:grouping val="clustered"/>
        <c:varyColors val="0"/>
        <c:ser>
          <c:idx val="0"/>
          <c:order val="0"/>
          <c:tx>
            <c:v>Industrial MWh growth a year</c:v>
          </c:tx>
          <c:spPr>
            <a:solidFill>
              <a:srgbClr val="9DB4CF"/>
            </a:solidFill>
            <a:ln>
              <a:noFill/>
            </a:ln>
            <a:effectLst/>
          </c:spPr>
          <c:invertIfNegative val="0"/>
          <c:dPt>
            <c:idx val="0"/>
            <c:invertIfNegative val="0"/>
            <c:bubble3D val="0"/>
            <c:spPr>
              <a:solidFill>
                <a:srgbClr val="1F3A5F"/>
              </a:solidFill>
              <a:ln>
                <a:noFill/>
              </a:ln>
              <a:effectLst/>
            </c:spPr>
            <c:extLst>
              <c:ext xmlns:c16="http://schemas.microsoft.com/office/drawing/2014/chart" uri="{C3380CC4-5D6E-409C-BE32-E72D297353CC}">
                <c16:uniqueId val="{00000002-7082-4599-A2AF-71BF3B4A4F6F}"/>
              </c:ext>
            </c:extLst>
          </c:dPt>
          <c:dLbls>
            <c:numFmt formatCode="0.0%" sourceLinked="0"/>
            <c:spPr>
              <a:noFill/>
              <a:ln>
                <a:noFill/>
              </a:ln>
              <a:effectLst/>
            </c:spPr>
            <c:txPr>
              <a:bodyPr rot="0" spcFirstLastPara="1" vertOverflow="ellipsis" vert="horz" wrap="square" anchor="ctr" anchorCtr="1"/>
              <a:lstStyle/>
              <a:p>
                <a:pPr>
                  <a:defRPr sz="900" b="0" i="0" u="none" strike="noStrike" kern="1200" baseline="0">
                    <a:solidFill>
                      <a:srgbClr val="1D2433"/>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Peers!$C$4:$G$4</c:f>
              <c:strCache>
                <c:ptCount val="5"/>
                <c:pt idx="0">
                  <c:v>PGE</c:v>
                </c:pt>
                <c:pt idx="1">
                  <c:v>PacifiCorp</c:v>
                </c:pt>
                <c:pt idx="2">
                  <c:v>Puget Sound Energy</c:v>
                </c:pt>
                <c:pt idx="3">
                  <c:v>Avista</c:v>
                </c:pt>
                <c:pt idx="4">
                  <c:v>Idaho Power</c:v>
                </c:pt>
              </c:strCache>
            </c:strRef>
          </c:cat>
          <c:val>
            <c:numRef>
              <c:f>Peers!$C$14:$G$14</c:f>
              <c:numCache>
                <c:formatCode>\+0.0%;\(0.0%\);"–"</c:formatCode>
                <c:ptCount val="5"/>
                <c:pt idx="0">
                  <c:v>0.1085886412197552</c:v>
                </c:pt>
                <c:pt idx="1">
                  <c:v>-1.9097226670755307E-2</c:v>
                </c:pt>
                <c:pt idx="2">
                  <c:v>-1.8055409980379133E-2</c:v>
                </c:pt>
                <c:pt idx="3">
                  <c:v>2.6527819977373968E-2</c:v>
                </c:pt>
                <c:pt idx="4">
                  <c:v>1.7116589606506638E-2</c:v>
                </c:pt>
              </c:numCache>
            </c:numRef>
          </c:val>
          <c:extLst>
            <c:ext xmlns:c16="http://schemas.microsoft.com/office/drawing/2014/chart" uri="{C3380CC4-5D6E-409C-BE32-E72D297353CC}">
              <c16:uniqueId val="{00000001-7082-4599-A2AF-71BF3B4A4F6F}"/>
            </c:ext>
          </c:extLst>
        </c:ser>
        <c:dLbls>
          <c:showLegendKey val="0"/>
          <c:showVal val="0"/>
          <c:showCatName val="0"/>
          <c:showSerName val="0"/>
          <c:showPercent val="0"/>
          <c:showBubbleSize val="0"/>
        </c:dLbls>
        <c:gapWidth val="219"/>
        <c:overlap val="-27"/>
        <c:axId val="1364142624"/>
        <c:axId val="1173240432"/>
      </c:barChart>
      <c:catAx>
        <c:axId val="136414262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D2433"/>
                </a:solidFill>
                <a:latin typeface="+mn-lt"/>
                <a:ea typeface="+mn-ea"/>
                <a:cs typeface="+mn-cs"/>
              </a:defRPr>
            </a:pPr>
            <a:endParaRPr lang="en-US"/>
          </a:p>
        </c:txPr>
        <c:crossAx val="1173240432"/>
        <c:crosses val="autoZero"/>
        <c:auto val="1"/>
        <c:lblAlgn val="ctr"/>
        <c:lblOffset val="100"/>
        <c:noMultiLvlLbl val="0"/>
      </c:catAx>
      <c:valAx>
        <c:axId val="1173240432"/>
        <c:scaling>
          <c:orientation val="minMax"/>
        </c:scaling>
        <c:delete val="0"/>
        <c:axPos val="l"/>
        <c:majorGridlines>
          <c:spPr>
            <a:ln w="9525" cap="flat" cmpd="sng" algn="ctr">
              <a:solidFill>
                <a:srgbClr val="E4E8EE"/>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D2433"/>
                </a:solidFill>
                <a:latin typeface="+mn-lt"/>
                <a:ea typeface="+mn-ea"/>
                <a:cs typeface="+mn-cs"/>
              </a:defRPr>
            </a:pPr>
            <a:endParaRPr lang="en-US"/>
          </a:p>
        </c:txPr>
        <c:crossAx val="136414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D9D9"/>
      </a:solidFill>
      <a:round/>
    </a:ln>
    <a:effectLst/>
  </c:spPr>
  <c:txPr>
    <a:bodyPr/>
    <a:lstStyle/>
    <a:p>
      <a:pPr>
        <a:defRPr sz="900">
          <a:solidFill>
            <a:srgbClr val="1D2433"/>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595959"/>
                </a:solidFill>
                <a:latin typeface="+mn-lt"/>
                <a:ea typeface="+mn-ea"/>
                <a:cs typeface="+mn-cs"/>
              </a:defRPr>
            </a:pPr>
            <a:r>
              <a:rPr lang="en-CA" sz="1400" b="0">
                <a:solidFill>
                  <a:srgbClr val="595959"/>
                </a:solidFill>
              </a:rPr>
              <a:t>Residential MWh per customer: actual against the weather model</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95959"/>
              </a:solidFill>
              <a:latin typeface="+mn-lt"/>
              <a:ea typeface="+mn-ea"/>
              <a:cs typeface="+mn-cs"/>
            </a:defRPr>
          </a:pPr>
          <a:endParaRPr lang="en-US"/>
        </a:p>
      </c:txPr>
    </c:title>
    <c:autoTitleDeleted val="0"/>
    <c:plotArea>
      <c:layout/>
      <c:lineChart>
        <c:grouping val="standard"/>
        <c:varyColors val="0"/>
        <c:ser>
          <c:idx val="0"/>
          <c:order val="0"/>
          <c:tx>
            <c:v>Actual</c:v>
          </c:tx>
          <c:spPr>
            <a:ln w="28575" cap="rnd">
              <a:solidFill>
                <a:srgbClr val="1F3A5F"/>
              </a:solidFill>
              <a:round/>
            </a:ln>
            <a:effectLst/>
          </c:spPr>
          <c:marker>
            <c:symbol val="none"/>
          </c:marker>
          <c:cat>
            <c:numRef>
              <c:f>[0]!wx_months</c:f>
              <c:numCache>
                <c:formatCode>mmm\ yy</c:formatCode>
                <c:ptCount val="114"/>
                <c:pt idx="0">
                  <c:v>42736</c:v>
                </c:pt>
                <c:pt idx="1">
                  <c:v>42767</c:v>
                </c:pt>
                <c:pt idx="2">
                  <c:v>42795</c:v>
                </c:pt>
                <c:pt idx="3">
                  <c:v>42826</c:v>
                </c:pt>
                <c:pt idx="4">
                  <c:v>42856</c:v>
                </c:pt>
                <c:pt idx="5">
                  <c:v>42887</c:v>
                </c:pt>
                <c:pt idx="6">
                  <c:v>42917</c:v>
                </c:pt>
                <c:pt idx="7">
                  <c:v>42948</c:v>
                </c:pt>
                <c:pt idx="8">
                  <c:v>42979</c:v>
                </c:pt>
                <c:pt idx="9">
                  <c:v>43009</c:v>
                </c:pt>
                <c:pt idx="10">
                  <c:v>43040</c:v>
                </c:pt>
                <c:pt idx="11">
                  <c:v>43070</c:v>
                </c:pt>
                <c:pt idx="12">
                  <c:v>43101</c:v>
                </c:pt>
                <c:pt idx="13">
                  <c:v>43132</c:v>
                </c:pt>
                <c:pt idx="14">
                  <c:v>43160</c:v>
                </c:pt>
                <c:pt idx="15">
                  <c:v>43191</c:v>
                </c:pt>
                <c:pt idx="16">
                  <c:v>43221</c:v>
                </c:pt>
                <c:pt idx="17">
                  <c:v>43252</c:v>
                </c:pt>
                <c:pt idx="18">
                  <c:v>43282</c:v>
                </c:pt>
                <c:pt idx="19">
                  <c:v>43313</c:v>
                </c:pt>
                <c:pt idx="20">
                  <c:v>43344</c:v>
                </c:pt>
                <c:pt idx="21">
                  <c:v>43374</c:v>
                </c:pt>
                <c:pt idx="22">
                  <c:v>43405</c:v>
                </c:pt>
                <c:pt idx="23">
                  <c:v>43435</c:v>
                </c:pt>
                <c:pt idx="24">
                  <c:v>43466</c:v>
                </c:pt>
                <c:pt idx="25">
                  <c:v>43497</c:v>
                </c:pt>
                <c:pt idx="26">
                  <c:v>43525</c:v>
                </c:pt>
                <c:pt idx="27">
                  <c:v>43556</c:v>
                </c:pt>
                <c:pt idx="28">
                  <c:v>43586</c:v>
                </c:pt>
                <c:pt idx="29">
                  <c:v>43617</c:v>
                </c:pt>
                <c:pt idx="30">
                  <c:v>43647</c:v>
                </c:pt>
                <c:pt idx="31">
                  <c:v>43678</c:v>
                </c:pt>
                <c:pt idx="32">
                  <c:v>43709</c:v>
                </c:pt>
                <c:pt idx="33">
                  <c:v>43739</c:v>
                </c:pt>
                <c:pt idx="34">
                  <c:v>43770</c:v>
                </c:pt>
                <c:pt idx="35">
                  <c:v>43800</c:v>
                </c:pt>
                <c:pt idx="36">
                  <c:v>43831</c:v>
                </c:pt>
                <c:pt idx="37">
                  <c:v>43862</c:v>
                </c:pt>
                <c:pt idx="38">
                  <c:v>43891</c:v>
                </c:pt>
                <c:pt idx="39">
                  <c:v>43922</c:v>
                </c:pt>
                <c:pt idx="40">
                  <c:v>43952</c:v>
                </c:pt>
                <c:pt idx="41">
                  <c:v>43983</c:v>
                </c:pt>
                <c:pt idx="42">
                  <c:v>44013</c:v>
                </c:pt>
                <c:pt idx="43">
                  <c:v>44044</c:v>
                </c:pt>
                <c:pt idx="44">
                  <c:v>44075</c:v>
                </c:pt>
                <c:pt idx="45">
                  <c:v>44105</c:v>
                </c:pt>
                <c:pt idx="46">
                  <c:v>44136</c:v>
                </c:pt>
                <c:pt idx="47">
                  <c:v>44166</c:v>
                </c:pt>
                <c:pt idx="48">
                  <c:v>44197</c:v>
                </c:pt>
                <c:pt idx="49">
                  <c:v>44228</c:v>
                </c:pt>
                <c:pt idx="50">
                  <c:v>44256</c:v>
                </c:pt>
                <c:pt idx="51">
                  <c:v>44287</c:v>
                </c:pt>
                <c:pt idx="52">
                  <c:v>44317</c:v>
                </c:pt>
                <c:pt idx="53">
                  <c:v>44348</c:v>
                </c:pt>
                <c:pt idx="54">
                  <c:v>44378</c:v>
                </c:pt>
                <c:pt idx="55">
                  <c:v>44409</c:v>
                </c:pt>
                <c:pt idx="56">
                  <c:v>44440</c:v>
                </c:pt>
                <c:pt idx="57">
                  <c:v>44470</c:v>
                </c:pt>
                <c:pt idx="58">
                  <c:v>44501</c:v>
                </c:pt>
                <c:pt idx="59">
                  <c:v>44531</c:v>
                </c:pt>
                <c:pt idx="60">
                  <c:v>44562</c:v>
                </c:pt>
                <c:pt idx="61">
                  <c:v>44593</c:v>
                </c:pt>
                <c:pt idx="62">
                  <c:v>44621</c:v>
                </c:pt>
                <c:pt idx="63">
                  <c:v>44652</c:v>
                </c:pt>
                <c:pt idx="64">
                  <c:v>44682</c:v>
                </c:pt>
                <c:pt idx="65">
                  <c:v>44713</c:v>
                </c:pt>
                <c:pt idx="66">
                  <c:v>44743</c:v>
                </c:pt>
                <c:pt idx="67">
                  <c:v>44774</c:v>
                </c:pt>
                <c:pt idx="68">
                  <c:v>44805</c:v>
                </c:pt>
                <c:pt idx="69">
                  <c:v>44835</c:v>
                </c:pt>
                <c:pt idx="70">
                  <c:v>44866</c:v>
                </c:pt>
                <c:pt idx="71">
                  <c:v>44896</c:v>
                </c:pt>
                <c:pt idx="72">
                  <c:v>44927</c:v>
                </c:pt>
                <c:pt idx="73">
                  <c:v>44958</c:v>
                </c:pt>
                <c:pt idx="74">
                  <c:v>44986</c:v>
                </c:pt>
                <c:pt idx="75">
                  <c:v>45017</c:v>
                </c:pt>
                <c:pt idx="76">
                  <c:v>45047</c:v>
                </c:pt>
                <c:pt idx="77">
                  <c:v>45078</c:v>
                </c:pt>
                <c:pt idx="78">
                  <c:v>45108</c:v>
                </c:pt>
                <c:pt idx="79">
                  <c:v>45139</c:v>
                </c:pt>
                <c:pt idx="80">
                  <c:v>45170</c:v>
                </c:pt>
                <c:pt idx="81">
                  <c:v>45200</c:v>
                </c:pt>
                <c:pt idx="82">
                  <c:v>45231</c:v>
                </c:pt>
                <c:pt idx="83">
                  <c:v>45261</c:v>
                </c:pt>
                <c:pt idx="84">
                  <c:v>45292</c:v>
                </c:pt>
                <c:pt idx="85">
                  <c:v>45323</c:v>
                </c:pt>
                <c:pt idx="86">
                  <c:v>45352</c:v>
                </c:pt>
                <c:pt idx="87">
                  <c:v>45383</c:v>
                </c:pt>
                <c:pt idx="88">
                  <c:v>45413</c:v>
                </c:pt>
                <c:pt idx="89">
                  <c:v>45444</c:v>
                </c:pt>
                <c:pt idx="90">
                  <c:v>45474</c:v>
                </c:pt>
                <c:pt idx="91">
                  <c:v>45505</c:v>
                </c:pt>
                <c:pt idx="92">
                  <c:v>45536</c:v>
                </c:pt>
                <c:pt idx="93">
                  <c:v>45566</c:v>
                </c:pt>
                <c:pt idx="94">
                  <c:v>45597</c:v>
                </c:pt>
                <c:pt idx="95">
                  <c:v>45627</c:v>
                </c:pt>
                <c:pt idx="96">
                  <c:v>45658</c:v>
                </c:pt>
                <c:pt idx="97">
                  <c:v>45689</c:v>
                </c:pt>
                <c:pt idx="98">
                  <c:v>45717</c:v>
                </c:pt>
                <c:pt idx="99">
                  <c:v>45748</c:v>
                </c:pt>
                <c:pt idx="100">
                  <c:v>45778</c:v>
                </c:pt>
                <c:pt idx="101">
                  <c:v>45809</c:v>
                </c:pt>
                <c:pt idx="102">
                  <c:v>45839</c:v>
                </c:pt>
                <c:pt idx="103">
                  <c:v>45870</c:v>
                </c:pt>
                <c:pt idx="104">
                  <c:v>45901</c:v>
                </c:pt>
                <c:pt idx="105">
                  <c:v>45931</c:v>
                </c:pt>
                <c:pt idx="106">
                  <c:v>45962</c:v>
                </c:pt>
                <c:pt idx="107">
                  <c:v>45992</c:v>
                </c:pt>
                <c:pt idx="108">
                  <c:v>46023</c:v>
                </c:pt>
                <c:pt idx="109">
                  <c:v>46054</c:v>
                </c:pt>
                <c:pt idx="110">
                  <c:v>46082</c:v>
                </c:pt>
                <c:pt idx="111">
                  <c:v>46113</c:v>
                </c:pt>
                <c:pt idx="112">
                  <c:v>46143</c:v>
                </c:pt>
                <c:pt idx="113">
                  <c:v>46174</c:v>
                </c:pt>
              </c:numCache>
            </c:numRef>
          </c:cat>
          <c:val>
            <c:numRef>
              <c:f>[0]!wx_actual</c:f>
              <c:numCache>
                <c:formatCode>0.0000</c:formatCode>
                <c:ptCount val="114"/>
                <c:pt idx="0">
                  <c:v>1.3082339250790029</c:v>
                </c:pt>
                <c:pt idx="1">
                  <c:v>0.93255015797840413</c:v>
                </c:pt>
                <c:pt idx="2">
                  <c:v>0.90375568250689065</c:v>
                </c:pt>
                <c:pt idx="3">
                  <c:v>0.73774359676035817</c:v>
                </c:pt>
                <c:pt idx="4">
                  <c:v>0.72638642165643241</c:v>
                </c:pt>
                <c:pt idx="5">
                  <c:v>0.67114024705212949</c:v>
                </c:pt>
                <c:pt idx="6">
                  <c:v>0.77283544918932934</c:v>
                </c:pt>
                <c:pt idx="7">
                  <c:v>0.89887262187813166</c:v>
                </c:pt>
                <c:pt idx="8">
                  <c:v>0.70813210543403693</c:v>
                </c:pt>
                <c:pt idx="9">
                  <c:v>0.66853480208935467</c:v>
                </c:pt>
                <c:pt idx="10">
                  <c:v>0.86222176043718357</c:v>
                </c:pt>
                <c:pt idx="11">
                  <c:v>1.1497487640349826</c:v>
                </c:pt>
                <c:pt idx="12">
                  <c:v>1.0189858817095085</c:v>
                </c:pt>
                <c:pt idx="13">
                  <c:v>0.86804717541863108</c:v>
                </c:pt>
                <c:pt idx="14">
                  <c:v>0.88752795570005838</c:v>
                </c:pt>
                <c:pt idx="15">
                  <c:v>0.77710293545273379</c:v>
                </c:pt>
                <c:pt idx="16">
                  <c:v>0.66505878763400195</c:v>
                </c:pt>
                <c:pt idx="17">
                  <c:v>0.60125136582679506</c:v>
                </c:pt>
                <c:pt idx="18">
                  <c:v>0.78315644318133337</c:v>
                </c:pt>
                <c:pt idx="19">
                  <c:v>0.80870391048468526</c:v>
                </c:pt>
                <c:pt idx="20">
                  <c:v>0.62376492767916281</c:v>
                </c:pt>
                <c:pt idx="21">
                  <c:v>0.64622573631560731</c:v>
                </c:pt>
                <c:pt idx="22">
                  <c:v>0.80939240940343027</c:v>
                </c:pt>
                <c:pt idx="23">
                  <c:v>1.0697669964326526</c:v>
                </c:pt>
                <c:pt idx="24">
                  <c:v>0.99029453846956561</c:v>
                </c:pt>
                <c:pt idx="25">
                  <c:v>0.99753009605370346</c:v>
                </c:pt>
                <c:pt idx="26">
                  <c:v>0.91919436209617678</c:v>
                </c:pt>
                <c:pt idx="27">
                  <c:v>0.66108761850117004</c:v>
                </c:pt>
                <c:pt idx="28">
                  <c:v>0.64989305942629805</c:v>
                </c:pt>
                <c:pt idx="29">
                  <c:v>0.6519027334257711</c:v>
                </c:pt>
                <c:pt idx="30">
                  <c:v>0.6993854461488811</c:v>
                </c:pt>
                <c:pt idx="31">
                  <c:v>0.75839611754175007</c:v>
                </c:pt>
                <c:pt idx="32">
                  <c:v>0.64893484624681086</c:v>
                </c:pt>
                <c:pt idx="33">
                  <c:v>0.70893307256603699</c:v>
                </c:pt>
                <c:pt idx="34">
                  <c:v>0.86566792952969196</c:v>
                </c:pt>
                <c:pt idx="35">
                  <c:v>1.0314260521741792</c:v>
                </c:pt>
                <c:pt idx="36">
                  <c:v>0.9627929379098511</c:v>
                </c:pt>
                <c:pt idx="37">
                  <c:v>0.86169965902416323</c:v>
                </c:pt>
                <c:pt idx="38">
                  <c:v>0.88281916605130473</c:v>
                </c:pt>
                <c:pt idx="39">
                  <c:v>0.73263210070172469</c:v>
                </c:pt>
                <c:pt idx="40">
                  <c:v>0.70839634215809644</c:v>
                </c:pt>
                <c:pt idx="41">
                  <c:v>0.65758368660551303</c:v>
                </c:pt>
                <c:pt idx="42">
                  <c:v>0.78664918275492246</c:v>
                </c:pt>
                <c:pt idx="43">
                  <c:v>0.82795333479745847</c:v>
                </c:pt>
                <c:pt idx="44">
                  <c:v>0.69864594686326198</c:v>
                </c:pt>
                <c:pt idx="45">
                  <c:v>0.73200317681366722</c:v>
                </c:pt>
                <c:pt idx="46">
                  <c:v>0.90374395820465181</c:v>
                </c:pt>
                <c:pt idx="47">
                  <c:v>1.0485666056298608</c:v>
                </c:pt>
                <c:pt idx="48">
                  <c:v>0.9925323916818698</c:v>
                </c:pt>
                <c:pt idx="49">
                  <c:v>0.91321962915601018</c:v>
                </c:pt>
                <c:pt idx="50">
                  <c:v>0.90179738851347113</c:v>
                </c:pt>
                <c:pt idx="51">
                  <c:v>0.70400431366411009</c:v>
                </c:pt>
                <c:pt idx="52">
                  <c:v>0.67338389990048197</c:v>
                </c:pt>
                <c:pt idx="53">
                  <c:v>0.82984166390599123</c:v>
                </c:pt>
                <c:pt idx="54">
                  <c:v>0.84330901258060442</c:v>
                </c:pt>
                <c:pt idx="55">
                  <c:v>0.84208579488902235</c:v>
                </c:pt>
                <c:pt idx="56">
                  <c:v>0.65217830978121327</c:v>
                </c:pt>
                <c:pt idx="57">
                  <c:v>0.7259272684239374</c:v>
                </c:pt>
                <c:pt idx="58">
                  <c:v>0.77577817068094701</c:v>
                </c:pt>
                <c:pt idx="59">
                  <c:v>1.1139386059477936</c:v>
                </c:pt>
                <c:pt idx="60">
                  <c:v>1.0414261610814246</c:v>
                </c:pt>
                <c:pt idx="61">
                  <c:v>0.88112355261199582</c:v>
                </c:pt>
                <c:pt idx="62">
                  <c:v>0.82500161154170826</c:v>
                </c:pt>
                <c:pt idx="63">
                  <c:v>0.78766045533293017</c:v>
                </c:pt>
                <c:pt idx="64">
                  <c:v>0.68951608133635311</c:v>
                </c:pt>
                <c:pt idx="65">
                  <c:v>0.65467838884949237</c:v>
                </c:pt>
                <c:pt idx="66">
                  <c:v>0.85992343407515648</c:v>
                </c:pt>
                <c:pt idx="67">
                  <c:v>0.87416742552986826</c:v>
                </c:pt>
                <c:pt idx="68">
                  <c:v>0.65866884906407852</c:v>
                </c:pt>
                <c:pt idx="69">
                  <c:v>0.67138543650099636</c:v>
                </c:pt>
                <c:pt idx="70">
                  <c:v>0.93782327243893215</c:v>
                </c:pt>
                <c:pt idx="71">
                  <c:v>1.1093318599199584</c:v>
                </c:pt>
                <c:pt idx="72">
                  <c:v>0.98956377400513296</c:v>
                </c:pt>
                <c:pt idx="73">
                  <c:v>0.9338512950363288</c:v>
                </c:pt>
                <c:pt idx="74">
                  <c:v>0.9354524833146064</c:v>
                </c:pt>
                <c:pt idx="75">
                  <c:v>0.78236431948997998</c:v>
                </c:pt>
                <c:pt idx="76">
                  <c:v>0.68840872382533191</c:v>
                </c:pt>
                <c:pt idx="77">
                  <c:v>0.65415985240957208</c:v>
                </c:pt>
                <c:pt idx="78">
                  <c:v>0.83775454726158161</c:v>
                </c:pt>
                <c:pt idx="79">
                  <c:v>0.86339673435579745</c:v>
                </c:pt>
                <c:pt idx="80">
                  <c:v>0.61699801029260326</c:v>
                </c:pt>
                <c:pt idx="81">
                  <c:v>0.67368994800333037</c:v>
                </c:pt>
                <c:pt idx="82">
                  <c:v>0.8224598753907767</c:v>
                </c:pt>
                <c:pt idx="83">
                  <c:v>0.94861065935846933</c:v>
                </c:pt>
                <c:pt idx="84">
                  <c:v>1.0563713100949115</c:v>
                </c:pt>
                <c:pt idx="85">
                  <c:v>0.84382567958427579</c:v>
                </c:pt>
                <c:pt idx="86">
                  <c:v>0.82108314987175846</c:v>
                </c:pt>
                <c:pt idx="87">
                  <c:v>0.66513729223392459</c:v>
                </c:pt>
                <c:pt idx="88">
                  <c:v>0.64615479717734292</c:v>
                </c:pt>
                <c:pt idx="89">
                  <c:v>0.63045531554375045</c:v>
                </c:pt>
                <c:pt idx="90">
                  <c:v>0.86104919086295517</c:v>
                </c:pt>
                <c:pt idx="91">
                  <c:v>0.74251078649174396</c:v>
                </c:pt>
                <c:pt idx="92">
                  <c:v>0.64376999141395563</c:v>
                </c:pt>
                <c:pt idx="93">
                  <c:v>0.64216182811187128</c:v>
                </c:pt>
                <c:pt idx="94">
                  <c:v>0.81809864897767848</c:v>
                </c:pt>
                <c:pt idx="95">
                  <c:v>0.9597903762373392</c:v>
                </c:pt>
                <c:pt idx="96">
                  <c:v>0.99708528550819198</c:v>
                </c:pt>
                <c:pt idx="97">
                  <c:v>0.88107084705135208</c:v>
                </c:pt>
                <c:pt idx="98">
                  <c:v>0.78101197344800233</c:v>
                </c:pt>
                <c:pt idx="99">
                  <c:v>0.62520434657270219</c:v>
                </c:pt>
                <c:pt idx="100">
                  <c:v>0.59607376291851211</c:v>
                </c:pt>
                <c:pt idx="101">
                  <c:v>0.64980473381229908</c:v>
                </c:pt>
                <c:pt idx="102">
                  <c:v>0.81222714929220297</c:v>
                </c:pt>
                <c:pt idx="103">
                  <c:v>0.82885320746462765</c:v>
                </c:pt>
                <c:pt idx="104">
                  <c:v>0.63027276571533097</c:v>
                </c:pt>
                <c:pt idx="105">
                  <c:v>0.64524913783387816</c:v>
                </c:pt>
                <c:pt idx="106">
                  <c:v>0.73622824064796955</c:v>
                </c:pt>
                <c:pt idx="107">
                  <c:v>0.8569722435414564</c:v>
                </c:pt>
                <c:pt idx="108">
                  <c:v>0.94817929684680369</c:v>
                </c:pt>
                <c:pt idx="109">
                  <c:v>0.77868122982514043</c:v>
                </c:pt>
                <c:pt idx="110">
                  <c:v>0.741139091487244</c:v>
                </c:pt>
                <c:pt idx="111">
                  <c:v>0.62619919413919412</c:v>
                </c:pt>
                <c:pt idx="112">
                  <c:v>0.59669860207036796</c:v>
                </c:pt>
                <c:pt idx="113">
                  <c:v>0.65704872548220439</c:v>
                </c:pt>
              </c:numCache>
            </c:numRef>
          </c:val>
          <c:smooth val="0"/>
          <c:extLst>
            <c:ext xmlns:c16="http://schemas.microsoft.com/office/drawing/2014/chart" uri="{C3380CC4-5D6E-409C-BE32-E72D297353CC}">
              <c16:uniqueId val="{00000002-E4F6-408A-9CA0-0D40ED60983F}"/>
            </c:ext>
          </c:extLst>
        </c:ser>
        <c:ser>
          <c:idx val="1"/>
          <c:order val="1"/>
          <c:tx>
            <c:v>Weather model</c:v>
          </c:tx>
          <c:spPr>
            <a:ln w="28575" cap="rnd">
              <a:solidFill>
                <a:srgbClr val="0F766E"/>
              </a:solidFill>
              <a:prstDash val="dash"/>
              <a:round/>
            </a:ln>
            <a:effectLst/>
          </c:spPr>
          <c:marker>
            <c:symbol val="none"/>
          </c:marker>
          <c:cat>
            <c:numRef>
              <c:f>[0]!wx_months</c:f>
              <c:numCache>
                <c:formatCode>mmm\ yy</c:formatCode>
                <c:ptCount val="114"/>
                <c:pt idx="0">
                  <c:v>42736</c:v>
                </c:pt>
                <c:pt idx="1">
                  <c:v>42767</c:v>
                </c:pt>
                <c:pt idx="2">
                  <c:v>42795</c:v>
                </c:pt>
                <c:pt idx="3">
                  <c:v>42826</c:v>
                </c:pt>
                <c:pt idx="4">
                  <c:v>42856</c:v>
                </c:pt>
                <c:pt idx="5">
                  <c:v>42887</c:v>
                </c:pt>
                <c:pt idx="6">
                  <c:v>42917</c:v>
                </c:pt>
                <c:pt idx="7">
                  <c:v>42948</c:v>
                </c:pt>
                <c:pt idx="8">
                  <c:v>42979</c:v>
                </c:pt>
                <c:pt idx="9">
                  <c:v>43009</c:v>
                </c:pt>
                <c:pt idx="10">
                  <c:v>43040</c:v>
                </c:pt>
                <c:pt idx="11">
                  <c:v>43070</c:v>
                </c:pt>
                <c:pt idx="12">
                  <c:v>43101</c:v>
                </c:pt>
                <c:pt idx="13">
                  <c:v>43132</c:v>
                </c:pt>
                <c:pt idx="14">
                  <c:v>43160</c:v>
                </c:pt>
                <c:pt idx="15">
                  <c:v>43191</c:v>
                </c:pt>
                <c:pt idx="16">
                  <c:v>43221</c:v>
                </c:pt>
                <c:pt idx="17">
                  <c:v>43252</c:v>
                </c:pt>
                <c:pt idx="18">
                  <c:v>43282</c:v>
                </c:pt>
                <c:pt idx="19">
                  <c:v>43313</c:v>
                </c:pt>
                <c:pt idx="20">
                  <c:v>43344</c:v>
                </c:pt>
                <c:pt idx="21">
                  <c:v>43374</c:v>
                </c:pt>
                <c:pt idx="22">
                  <c:v>43405</c:v>
                </c:pt>
                <c:pt idx="23">
                  <c:v>43435</c:v>
                </c:pt>
                <c:pt idx="24">
                  <c:v>43466</c:v>
                </c:pt>
                <c:pt idx="25">
                  <c:v>43497</c:v>
                </c:pt>
                <c:pt idx="26">
                  <c:v>43525</c:v>
                </c:pt>
                <c:pt idx="27">
                  <c:v>43556</c:v>
                </c:pt>
                <c:pt idx="28">
                  <c:v>43586</c:v>
                </c:pt>
                <c:pt idx="29">
                  <c:v>43617</c:v>
                </c:pt>
                <c:pt idx="30">
                  <c:v>43647</c:v>
                </c:pt>
                <c:pt idx="31">
                  <c:v>43678</c:v>
                </c:pt>
                <c:pt idx="32">
                  <c:v>43709</c:v>
                </c:pt>
                <c:pt idx="33">
                  <c:v>43739</c:v>
                </c:pt>
                <c:pt idx="34">
                  <c:v>43770</c:v>
                </c:pt>
                <c:pt idx="35">
                  <c:v>43800</c:v>
                </c:pt>
                <c:pt idx="36">
                  <c:v>43831</c:v>
                </c:pt>
                <c:pt idx="37">
                  <c:v>43862</c:v>
                </c:pt>
                <c:pt idx="38">
                  <c:v>43891</c:v>
                </c:pt>
                <c:pt idx="39">
                  <c:v>43922</c:v>
                </c:pt>
                <c:pt idx="40">
                  <c:v>43952</c:v>
                </c:pt>
                <c:pt idx="41">
                  <c:v>43983</c:v>
                </c:pt>
                <c:pt idx="42">
                  <c:v>44013</c:v>
                </c:pt>
                <c:pt idx="43">
                  <c:v>44044</c:v>
                </c:pt>
                <c:pt idx="44">
                  <c:v>44075</c:v>
                </c:pt>
                <c:pt idx="45">
                  <c:v>44105</c:v>
                </c:pt>
                <c:pt idx="46">
                  <c:v>44136</c:v>
                </c:pt>
                <c:pt idx="47">
                  <c:v>44166</c:v>
                </c:pt>
                <c:pt idx="48">
                  <c:v>44197</c:v>
                </c:pt>
                <c:pt idx="49">
                  <c:v>44228</c:v>
                </c:pt>
                <c:pt idx="50">
                  <c:v>44256</c:v>
                </c:pt>
                <c:pt idx="51">
                  <c:v>44287</c:v>
                </c:pt>
                <c:pt idx="52">
                  <c:v>44317</c:v>
                </c:pt>
                <c:pt idx="53">
                  <c:v>44348</c:v>
                </c:pt>
                <c:pt idx="54">
                  <c:v>44378</c:v>
                </c:pt>
                <c:pt idx="55">
                  <c:v>44409</c:v>
                </c:pt>
                <c:pt idx="56">
                  <c:v>44440</c:v>
                </c:pt>
                <c:pt idx="57">
                  <c:v>44470</c:v>
                </c:pt>
                <c:pt idx="58">
                  <c:v>44501</c:v>
                </c:pt>
                <c:pt idx="59">
                  <c:v>44531</c:v>
                </c:pt>
                <c:pt idx="60">
                  <c:v>44562</c:v>
                </c:pt>
                <c:pt idx="61">
                  <c:v>44593</c:v>
                </c:pt>
                <c:pt idx="62">
                  <c:v>44621</c:v>
                </c:pt>
                <c:pt idx="63">
                  <c:v>44652</c:v>
                </c:pt>
                <c:pt idx="64">
                  <c:v>44682</c:v>
                </c:pt>
                <c:pt idx="65">
                  <c:v>44713</c:v>
                </c:pt>
                <c:pt idx="66">
                  <c:v>44743</c:v>
                </c:pt>
                <c:pt idx="67">
                  <c:v>44774</c:v>
                </c:pt>
                <c:pt idx="68">
                  <c:v>44805</c:v>
                </c:pt>
                <c:pt idx="69">
                  <c:v>44835</c:v>
                </c:pt>
                <c:pt idx="70">
                  <c:v>44866</c:v>
                </c:pt>
                <c:pt idx="71">
                  <c:v>44896</c:v>
                </c:pt>
                <c:pt idx="72">
                  <c:v>44927</c:v>
                </c:pt>
                <c:pt idx="73">
                  <c:v>44958</c:v>
                </c:pt>
                <c:pt idx="74">
                  <c:v>44986</c:v>
                </c:pt>
                <c:pt idx="75">
                  <c:v>45017</c:v>
                </c:pt>
                <c:pt idx="76">
                  <c:v>45047</c:v>
                </c:pt>
                <c:pt idx="77">
                  <c:v>45078</c:v>
                </c:pt>
                <c:pt idx="78">
                  <c:v>45108</c:v>
                </c:pt>
                <c:pt idx="79">
                  <c:v>45139</c:v>
                </c:pt>
                <c:pt idx="80">
                  <c:v>45170</c:v>
                </c:pt>
                <c:pt idx="81">
                  <c:v>45200</c:v>
                </c:pt>
                <c:pt idx="82">
                  <c:v>45231</c:v>
                </c:pt>
                <c:pt idx="83">
                  <c:v>45261</c:v>
                </c:pt>
                <c:pt idx="84">
                  <c:v>45292</c:v>
                </c:pt>
                <c:pt idx="85">
                  <c:v>45323</c:v>
                </c:pt>
                <c:pt idx="86">
                  <c:v>45352</c:v>
                </c:pt>
                <c:pt idx="87">
                  <c:v>45383</c:v>
                </c:pt>
                <c:pt idx="88">
                  <c:v>45413</c:v>
                </c:pt>
                <c:pt idx="89">
                  <c:v>45444</c:v>
                </c:pt>
                <c:pt idx="90">
                  <c:v>45474</c:v>
                </c:pt>
                <c:pt idx="91">
                  <c:v>45505</c:v>
                </c:pt>
                <c:pt idx="92">
                  <c:v>45536</c:v>
                </c:pt>
                <c:pt idx="93">
                  <c:v>45566</c:v>
                </c:pt>
                <c:pt idx="94">
                  <c:v>45597</c:v>
                </c:pt>
                <c:pt idx="95">
                  <c:v>45627</c:v>
                </c:pt>
                <c:pt idx="96">
                  <c:v>45658</c:v>
                </c:pt>
                <c:pt idx="97">
                  <c:v>45689</c:v>
                </c:pt>
                <c:pt idx="98">
                  <c:v>45717</c:v>
                </c:pt>
                <c:pt idx="99">
                  <c:v>45748</c:v>
                </c:pt>
                <c:pt idx="100">
                  <c:v>45778</c:v>
                </c:pt>
                <c:pt idx="101">
                  <c:v>45809</c:v>
                </c:pt>
                <c:pt idx="102">
                  <c:v>45839</c:v>
                </c:pt>
                <c:pt idx="103">
                  <c:v>45870</c:v>
                </c:pt>
                <c:pt idx="104">
                  <c:v>45901</c:v>
                </c:pt>
                <c:pt idx="105">
                  <c:v>45931</c:v>
                </c:pt>
                <c:pt idx="106">
                  <c:v>45962</c:v>
                </c:pt>
                <c:pt idx="107">
                  <c:v>45992</c:v>
                </c:pt>
                <c:pt idx="108">
                  <c:v>46023</c:v>
                </c:pt>
                <c:pt idx="109">
                  <c:v>46054</c:v>
                </c:pt>
                <c:pt idx="110">
                  <c:v>46082</c:v>
                </c:pt>
                <c:pt idx="111">
                  <c:v>46113</c:v>
                </c:pt>
                <c:pt idx="112">
                  <c:v>46143</c:v>
                </c:pt>
                <c:pt idx="113">
                  <c:v>46174</c:v>
                </c:pt>
              </c:numCache>
            </c:numRef>
          </c:cat>
          <c:val>
            <c:numRef>
              <c:f>[0]!wx_fitted</c:f>
              <c:numCache>
                <c:formatCode>0.0000</c:formatCode>
                <c:ptCount val="114"/>
                <c:pt idx="0">
                  <c:v>1.1220843432796195</c:v>
                </c:pt>
                <c:pt idx="1">
                  <c:v>0.95611931225014457</c:v>
                </c:pt>
                <c:pt idx="2">
                  <c:v>0.91280291770163413</c:v>
                </c:pt>
                <c:pt idx="3">
                  <c:v>0.85390133730195139</c:v>
                </c:pt>
                <c:pt idx="4">
                  <c:v>0.69319450371382785</c:v>
                </c:pt>
                <c:pt idx="5">
                  <c:v>0.63383726036443866</c:v>
                </c:pt>
                <c:pt idx="6">
                  <c:v>0.77435933303047189</c:v>
                </c:pt>
                <c:pt idx="7">
                  <c:v>0.97167102547788908</c:v>
                </c:pt>
                <c:pt idx="8">
                  <c:v>0.67580157608821556</c:v>
                </c:pt>
                <c:pt idx="9">
                  <c:v>0.76340716404537001</c:v>
                </c:pt>
                <c:pt idx="10">
                  <c:v>0.90236968227796133</c:v>
                </c:pt>
                <c:pt idx="11">
                  <c:v>1.02913509854007</c:v>
                </c:pt>
                <c:pt idx="12">
                  <c:v>0.94245123031873246</c:v>
                </c:pt>
                <c:pt idx="13">
                  <c:v>0.96012034562263515</c:v>
                </c:pt>
                <c:pt idx="14">
                  <c:v>0.93848768791053838</c:v>
                </c:pt>
                <c:pt idx="15">
                  <c:v>0.80775872924023562</c:v>
                </c:pt>
                <c:pt idx="16">
                  <c:v>0.67131591017887537</c:v>
                </c:pt>
                <c:pt idx="17">
                  <c:v>0.62377107820578503</c:v>
                </c:pt>
                <c:pt idx="18">
                  <c:v>0.87379493448091505</c:v>
                </c:pt>
                <c:pt idx="19">
                  <c:v>0.79025052660870687</c:v>
                </c:pt>
                <c:pt idx="20">
                  <c:v>0.63337840309111582</c:v>
                </c:pt>
                <c:pt idx="21">
                  <c:v>0.71184362177455085</c:v>
                </c:pt>
                <c:pt idx="22">
                  <c:v>0.87045702651514201</c:v>
                </c:pt>
                <c:pt idx="23">
                  <c:v>0.98976865823973337</c:v>
                </c:pt>
                <c:pt idx="24">
                  <c:v>0.96610315019922288</c:v>
                </c:pt>
                <c:pt idx="25">
                  <c:v>1.0379816075941597</c:v>
                </c:pt>
                <c:pt idx="26">
                  <c:v>0.92690353543185677</c:v>
                </c:pt>
                <c:pt idx="27">
                  <c:v>0.78194462446265767</c:v>
                </c:pt>
                <c:pt idx="28">
                  <c:v>0.67199395437777731</c:v>
                </c:pt>
                <c:pt idx="29">
                  <c:v>0.61676750639231659</c:v>
                </c:pt>
                <c:pt idx="30">
                  <c:v>0.69660287303631252</c:v>
                </c:pt>
                <c:pt idx="31">
                  <c:v>0.77805385206098809</c:v>
                </c:pt>
                <c:pt idx="32">
                  <c:v>0.62657011539895013</c:v>
                </c:pt>
                <c:pt idx="33">
                  <c:v>0.81952002189614404</c:v>
                </c:pt>
                <c:pt idx="34">
                  <c:v>0.88123422764901183</c:v>
                </c:pt>
                <c:pt idx="35">
                  <c:v>0.97411880510422422</c:v>
                </c:pt>
                <c:pt idx="36">
                  <c:v>0.94164427897392067</c:v>
                </c:pt>
                <c:pt idx="37">
                  <c:v>0.92068923803796165</c:v>
                </c:pt>
                <c:pt idx="38">
                  <c:v>0.93225980235662331</c:v>
                </c:pt>
                <c:pt idx="39">
                  <c:v>0.76629477132714852</c:v>
                </c:pt>
                <c:pt idx="40">
                  <c:v>0.66334810047850068</c:v>
                </c:pt>
                <c:pt idx="41">
                  <c:v>0.61157483108083044</c:v>
                </c:pt>
                <c:pt idx="42">
                  <c:v>0.7217668855884094</c:v>
                </c:pt>
                <c:pt idx="43">
                  <c:v>0.74782190338594912</c:v>
                </c:pt>
                <c:pt idx="44">
                  <c:v>0.67257163359514849</c:v>
                </c:pt>
                <c:pt idx="45">
                  <c:v>0.70290526911608397</c:v>
                </c:pt>
                <c:pt idx="46">
                  <c:v>0.90014283009653684</c:v>
                </c:pt>
                <c:pt idx="47">
                  <c:v>0.9577913351925772</c:v>
                </c:pt>
                <c:pt idx="48">
                  <c:v>0.94496769557027338</c:v>
                </c:pt>
                <c:pt idx="49">
                  <c:v>0.93959784048548667</c:v>
                </c:pt>
                <c:pt idx="50">
                  <c:v>0.91864279954952777</c:v>
                </c:pt>
                <c:pt idx="51">
                  <c:v>0.74861206786322532</c:v>
                </c:pt>
                <c:pt idx="52">
                  <c:v>0.67005960095554296</c:v>
                </c:pt>
                <c:pt idx="53">
                  <c:v>0.69216147456519173</c:v>
                </c:pt>
                <c:pt idx="54">
                  <c:v>0.85123957901535274</c:v>
                </c:pt>
                <c:pt idx="55">
                  <c:v>0.79108628477246723</c:v>
                </c:pt>
                <c:pt idx="56">
                  <c:v>0.61917640276564001</c:v>
                </c:pt>
                <c:pt idx="57">
                  <c:v>0.75840517747505687</c:v>
                </c:pt>
                <c:pt idx="58">
                  <c:v>0.82554031743702816</c:v>
                </c:pt>
                <c:pt idx="59">
                  <c:v>1.0092255428947225</c:v>
                </c:pt>
                <c:pt idx="60">
                  <c:v>0.96658676512234998</c:v>
                </c:pt>
                <c:pt idx="61">
                  <c:v>0.90565233439425352</c:v>
                </c:pt>
                <c:pt idx="62">
                  <c:v>0.84336267011388122</c:v>
                </c:pt>
                <c:pt idx="63">
                  <c:v>0.85696608476095637</c:v>
                </c:pt>
                <c:pt idx="64">
                  <c:v>0.73301329385203295</c:v>
                </c:pt>
                <c:pt idx="65">
                  <c:v>0.59644028537647087</c:v>
                </c:pt>
                <c:pt idx="66">
                  <c:v>0.8270085392649037</c:v>
                </c:pt>
                <c:pt idx="67">
                  <c:v>0.89794312340687721</c:v>
                </c:pt>
                <c:pt idx="68">
                  <c:v>0.66953654780062033</c:v>
                </c:pt>
                <c:pt idx="69">
                  <c:v>0.60723196911196275</c:v>
                </c:pt>
                <c:pt idx="70">
                  <c:v>0.9521899872904831</c:v>
                </c:pt>
                <c:pt idx="71">
                  <c:v>1.0057727917296961</c:v>
                </c:pt>
                <c:pt idx="72">
                  <c:v>0.96313401395732345</c:v>
                </c:pt>
                <c:pt idx="73">
                  <c:v>0.94759990723046794</c:v>
                </c:pt>
                <c:pt idx="74">
                  <c:v>0.96459140575823288</c:v>
                </c:pt>
                <c:pt idx="75">
                  <c:v>0.81692202768448197</c:v>
                </c:pt>
                <c:pt idx="76">
                  <c:v>0.62004112613264462</c:v>
                </c:pt>
                <c:pt idx="77">
                  <c:v>0.59198444389980176</c:v>
                </c:pt>
                <c:pt idx="78">
                  <c:v>0.80209988273831667</c:v>
                </c:pt>
                <c:pt idx="79">
                  <c:v>0.91920417206989857</c:v>
                </c:pt>
                <c:pt idx="80">
                  <c:v>0.59559085986054261</c:v>
                </c:pt>
                <c:pt idx="81">
                  <c:v>0.67425136266528041</c:v>
                </c:pt>
                <c:pt idx="82">
                  <c:v>0.85116042036159545</c:v>
                </c:pt>
                <c:pt idx="83">
                  <c:v>0.87899378730756716</c:v>
                </c:pt>
                <c:pt idx="84">
                  <c:v>0.94951701115022802</c:v>
                </c:pt>
                <c:pt idx="85">
                  <c:v>0.85808982549592494</c:v>
                </c:pt>
                <c:pt idx="86">
                  <c:v>0.86017375494865544</c:v>
                </c:pt>
                <c:pt idx="87">
                  <c:v>0.77077941962276619</c:v>
                </c:pt>
                <c:pt idx="88">
                  <c:v>0.67393129975935973</c:v>
                </c:pt>
                <c:pt idx="89">
                  <c:v>0.57795020314497214</c:v>
                </c:pt>
                <c:pt idx="90">
                  <c:v>0.89960027592099745</c:v>
                </c:pt>
                <c:pt idx="91">
                  <c:v>0.70239074172221383</c:v>
                </c:pt>
                <c:pt idx="92">
                  <c:v>0.61920435473906077</c:v>
                </c:pt>
                <c:pt idx="93">
                  <c:v>0.67079861150025377</c:v>
                </c:pt>
                <c:pt idx="94">
                  <c:v>0.87006902280912046</c:v>
                </c:pt>
                <c:pt idx="95">
                  <c:v>0.91348757560626437</c:v>
                </c:pt>
                <c:pt idx="96">
                  <c:v>0.96707038004547718</c:v>
                </c:pt>
                <c:pt idx="97">
                  <c:v>0.91358973385489783</c:v>
                </c:pt>
                <c:pt idx="98">
                  <c:v>0.83368203339493951</c:v>
                </c:pt>
                <c:pt idx="99">
                  <c:v>0.71853826057580894</c:v>
                </c:pt>
                <c:pt idx="100">
                  <c:v>0.64337387754881614</c:v>
                </c:pt>
                <c:pt idx="101">
                  <c:v>0.57756006232513057</c:v>
                </c:pt>
                <c:pt idx="102">
                  <c:v>0.79909734429733892</c:v>
                </c:pt>
                <c:pt idx="103">
                  <c:v>0.8753877679413149</c:v>
                </c:pt>
                <c:pt idx="104">
                  <c:v>0.63965759721174253</c:v>
                </c:pt>
                <c:pt idx="105">
                  <c:v>0.71816711854557158</c:v>
                </c:pt>
                <c:pt idx="106">
                  <c:v>0.78123655785071533</c:v>
                </c:pt>
                <c:pt idx="107">
                  <c:v>0.85311501524565214</c:v>
                </c:pt>
                <c:pt idx="108">
                  <c:v>0.90330973580417528</c:v>
                </c:pt>
                <c:pt idx="109">
                  <c:v>0.83356628698628588</c:v>
                </c:pt>
                <c:pt idx="110">
                  <c:v>0.78211849112412035</c:v>
                </c:pt>
                <c:pt idx="111">
                  <c:v>0.70288840744029979</c:v>
                </c:pt>
                <c:pt idx="112">
                  <c:v>0.61052322618145505</c:v>
                </c:pt>
                <c:pt idx="113">
                  <c:v>0.57400966909945272</c:v>
                </c:pt>
              </c:numCache>
            </c:numRef>
          </c:val>
          <c:smooth val="0"/>
          <c:extLst>
            <c:ext xmlns:c16="http://schemas.microsoft.com/office/drawing/2014/chart" uri="{C3380CC4-5D6E-409C-BE32-E72D297353CC}">
              <c16:uniqueId val="{00000003-E4F6-408A-9CA0-0D40ED60983F}"/>
            </c:ext>
          </c:extLst>
        </c:ser>
        <c:dLbls>
          <c:showLegendKey val="0"/>
          <c:showVal val="0"/>
          <c:showCatName val="0"/>
          <c:showSerName val="0"/>
          <c:showPercent val="0"/>
          <c:showBubbleSize val="0"/>
        </c:dLbls>
        <c:smooth val="0"/>
        <c:axId val="1337543056"/>
        <c:axId val="1173256272"/>
      </c:lineChart>
      <c:catAx>
        <c:axId val="1337543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900" b="0" i="0" u="none" strike="noStrike" kern="1200" baseline="0">
                <a:solidFill>
                  <a:srgbClr val="1D2433"/>
                </a:solidFill>
                <a:latin typeface="+mn-lt"/>
                <a:ea typeface="+mn-ea"/>
                <a:cs typeface="+mn-cs"/>
              </a:defRPr>
            </a:pPr>
            <a:endParaRPr lang="en-US"/>
          </a:p>
        </c:txPr>
        <c:crossAx val="1173256272"/>
        <c:crosses val="autoZero"/>
        <c:auto val="0"/>
        <c:lblAlgn val="ctr"/>
        <c:lblOffset val="100"/>
        <c:tickLblSkip val="12"/>
        <c:tickMarkSkip val="12"/>
        <c:noMultiLvlLbl val="0"/>
      </c:catAx>
      <c:valAx>
        <c:axId val="1173256272"/>
        <c:scaling>
          <c:orientation val="minMax"/>
        </c:scaling>
        <c:delete val="0"/>
        <c:axPos val="l"/>
        <c:majorGridlines>
          <c:spPr>
            <a:ln w="9525" cap="flat" cmpd="sng" algn="ctr">
              <a:solidFill>
                <a:srgbClr val="E4E8EE"/>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D2433"/>
                </a:solidFill>
                <a:latin typeface="+mn-lt"/>
                <a:ea typeface="+mn-ea"/>
                <a:cs typeface="+mn-cs"/>
              </a:defRPr>
            </a:pPr>
            <a:endParaRPr lang="en-US"/>
          </a:p>
        </c:txPr>
        <c:crossAx val="1337543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1D243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D9D9"/>
      </a:solidFill>
      <a:round/>
    </a:ln>
    <a:effectLst/>
  </c:spPr>
  <c:txPr>
    <a:bodyPr/>
    <a:lstStyle/>
    <a:p>
      <a:pPr>
        <a:defRPr sz="900">
          <a:solidFill>
            <a:srgbClr val="1D2433"/>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595959"/>
                </a:solidFill>
                <a:latin typeface="+mn-lt"/>
                <a:ea typeface="+mn-ea"/>
                <a:cs typeface="+mn-cs"/>
              </a:defRPr>
            </a:pPr>
            <a:r>
              <a:rPr lang="en-CA" sz="1400" b="0">
                <a:solidFill>
                  <a:srgbClr val="595959"/>
                </a:solidFill>
              </a:rPr>
              <a:t>Full-year revenue impact of one step on each lever</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95959"/>
              </a:solidFill>
              <a:latin typeface="+mn-lt"/>
              <a:ea typeface="+mn-ea"/>
              <a:cs typeface="+mn-cs"/>
            </a:defRPr>
          </a:pPr>
          <a:endParaRPr lang="en-US"/>
        </a:p>
      </c:txPr>
    </c:title>
    <c:autoTitleDeleted val="0"/>
    <c:plotArea>
      <c:layout/>
      <c:barChart>
        <c:barDir val="bar"/>
        <c:grouping val="clustered"/>
        <c:varyColors val="0"/>
        <c:ser>
          <c:idx val="0"/>
          <c:order val="0"/>
          <c:tx>
            <c:v>FY revenue impact</c:v>
          </c:tx>
          <c:spPr>
            <a:solidFill>
              <a:srgbClr val="0F766E"/>
            </a:solidFill>
            <a:ln>
              <a:noFill/>
            </a:ln>
            <a:effectLst/>
          </c:spPr>
          <c:invertIfNegative val="1"/>
          <c:cat>
            <c:strRef>
              <c:f>Scenarios!$S$39:$S$43</c:f>
              <c:strCache>
                <c:ptCount val="5"/>
                <c:pt idx="0">
                  <c:v>Cooling degree days</c:v>
                </c:pt>
                <c:pt idx="1">
                  <c:v>Rate change on open months</c:v>
                </c:pt>
                <c:pt idx="2">
                  <c:v>Customers</c:v>
                </c:pt>
                <c:pt idx="3">
                  <c:v>New data-center load</c:v>
                </c:pt>
                <c:pt idx="4">
                  <c:v>Heating degree days</c:v>
                </c:pt>
              </c:strCache>
            </c:strRef>
          </c:cat>
          <c:val>
            <c:numRef>
              <c:f>Scenarios!$T$39:$T$43</c:f>
              <c:numCache>
                <c:formatCode>\+#,##0;\(#,##0\);"–"</c:formatCode>
                <c:ptCount val="5"/>
                <c:pt idx="0">
                  <c:v>2013299.0033082962</c:v>
                </c:pt>
                <c:pt idx="1">
                  <c:v>15377026.818420887</c:v>
                </c:pt>
                <c:pt idx="2">
                  <c:v>15377026.818420887</c:v>
                </c:pt>
                <c:pt idx="3">
                  <c:v>21100848.829989433</c:v>
                </c:pt>
                <c:pt idx="4">
                  <c:v>-22084791.065924644</c:v>
                </c:pt>
              </c:numCache>
            </c:numRef>
          </c:val>
          <c:extLst>
            <c:ext xmlns:c14="http://schemas.microsoft.com/office/drawing/2007/8/2/chart" uri="{6F2FDCE9-48DA-4B69-8628-5D25D57E5C99}">
              <c14:invertSolidFillFmt>
                <c14:spPr xmlns:c14="http://schemas.microsoft.com/office/drawing/2007/8/2/chart">
                  <a:solidFill>
                    <a:srgbClr val="B42318"/>
                  </a:solidFill>
                  <a:ln>
                    <a:noFill/>
                  </a:ln>
                  <a:effectLst/>
                </c14:spPr>
              </c14:invertSolidFillFmt>
            </c:ext>
            <c:ext xmlns:c16="http://schemas.microsoft.com/office/drawing/2014/chart" uri="{C3380CC4-5D6E-409C-BE32-E72D297353CC}">
              <c16:uniqueId val="{00000002-2DBB-4430-A836-F8CF99D11D00}"/>
            </c:ext>
          </c:extLst>
        </c:ser>
        <c:dLbls>
          <c:showLegendKey val="0"/>
          <c:showVal val="0"/>
          <c:showCatName val="0"/>
          <c:showSerName val="0"/>
          <c:showPercent val="0"/>
          <c:showBubbleSize val="0"/>
        </c:dLbls>
        <c:gapWidth val="60"/>
        <c:axId val="1337546768"/>
        <c:axId val="1173227472"/>
      </c:barChart>
      <c:catAx>
        <c:axId val="1337546768"/>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D2433"/>
                </a:solidFill>
                <a:latin typeface="+mn-lt"/>
                <a:ea typeface="+mn-ea"/>
                <a:cs typeface="+mn-cs"/>
              </a:defRPr>
            </a:pPr>
            <a:endParaRPr lang="en-US"/>
          </a:p>
        </c:txPr>
        <c:crossAx val="1173227472"/>
        <c:crosses val="autoZero"/>
        <c:auto val="1"/>
        <c:lblAlgn val="ctr"/>
        <c:lblOffset val="100"/>
        <c:noMultiLvlLbl val="0"/>
      </c:catAx>
      <c:valAx>
        <c:axId val="1173227472"/>
        <c:scaling>
          <c:orientation val="minMax"/>
        </c:scaling>
        <c:delete val="0"/>
        <c:axPos val="b"/>
        <c:majorGridlines>
          <c:spPr>
            <a:ln w="9525" cap="flat" cmpd="sng" algn="ctr">
              <a:solidFill>
                <a:srgbClr val="E4E8EE"/>
              </a:solidFill>
              <a:round/>
            </a:ln>
            <a:effectLst/>
          </c:spPr>
        </c:majorGridlines>
        <c:numFmt formatCode="&quot;$&quot;#,##0.0,,&quot;M&quot;;\-&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D2433"/>
                </a:solidFill>
                <a:latin typeface="+mn-lt"/>
                <a:ea typeface="+mn-ea"/>
                <a:cs typeface="+mn-cs"/>
              </a:defRPr>
            </a:pPr>
            <a:endParaRPr lang="en-US"/>
          </a:p>
        </c:txPr>
        <c:crossAx val="133754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D9D9"/>
      </a:solidFill>
      <a:round/>
    </a:ln>
    <a:effectLst/>
  </c:spPr>
  <c:txPr>
    <a:bodyPr/>
    <a:lstStyle/>
    <a:p>
      <a:pPr>
        <a:defRPr sz="900">
          <a:solidFill>
            <a:srgbClr val="1D2433"/>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595959"/>
                </a:solidFill>
                <a:latin typeface="+mn-lt"/>
                <a:ea typeface="+mn-ea"/>
                <a:cs typeface="+mn-cs"/>
              </a:defRPr>
            </a:pPr>
            <a:r>
              <a:rPr lang="en-CA" sz="1400" b="0">
                <a:solidFill>
                  <a:srgbClr val="595959"/>
                </a:solidFill>
              </a:rPr>
              <a:t>Industrial MWh growth a year since the base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95959"/>
              </a:solidFill>
              <a:latin typeface="+mn-lt"/>
              <a:ea typeface="+mn-ea"/>
              <a:cs typeface="+mn-cs"/>
            </a:defRPr>
          </a:pPr>
          <a:endParaRPr lang="en-US"/>
        </a:p>
      </c:txPr>
    </c:title>
    <c:autoTitleDeleted val="0"/>
    <c:plotArea>
      <c:layout/>
      <c:barChart>
        <c:barDir val="col"/>
        <c:grouping val="clustered"/>
        <c:varyColors val="0"/>
        <c:ser>
          <c:idx val="0"/>
          <c:order val="0"/>
          <c:tx>
            <c:v>Industrial MWh growth a year</c:v>
          </c:tx>
          <c:spPr>
            <a:solidFill>
              <a:srgbClr val="0F766E"/>
            </a:solidFill>
            <a:ln>
              <a:noFill/>
            </a:ln>
            <a:effectLst/>
          </c:spPr>
          <c:invertIfNegative val="0"/>
          <c:dPt>
            <c:idx val="0"/>
            <c:invertIfNegative val="0"/>
            <c:bubble3D val="0"/>
            <c:spPr>
              <a:solidFill>
                <a:srgbClr val="1F3A5F"/>
              </a:solidFill>
              <a:ln>
                <a:noFill/>
              </a:ln>
              <a:effectLst/>
            </c:spPr>
            <c:extLst>
              <c:ext xmlns:c16="http://schemas.microsoft.com/office/drawing/2014/chart" uri="{C3380CC4-5D6E-409C-BE32-E72D297353CC}">
                <c16:uniqueId val="{00000003-1C47-43D8-98D1-9DD976E75587}"/>
              </c:ext>
            </c:extLst>
          </c:dPt>
          <c:cat>
            <c:strRef>
              <c:f>Peers!$C$4:$G$4</c:f>
              <c:strCache>
                <c:ptCount val="5"/>
                <c:pt idx="0">
                  <c:v>PGE</c:v>
                </c:pt>
                <c:pt idx="1">
                  <c:v>PacifiCorp</c:v>
                </c:pt>
                <c:pt idx="2">
                  <c:v>Puget Sound Energy</c:v>
                </c:pt>
                <c:pt idx="3">
                  <c:v>Avista</c:v>
                </c:pt>
                <c:pt idx="4">
                  <c:v>Idaho Power</c:v>
                </c:pt>
              </c:strCache>
            </c:strRef>
          </c:cat>
          <c:val>
            <c:numRef>
              <c:f>Peers!$C$14:$G$14</c:f>
              <c:numCache>
                <c:formatCode>\+0.0%;\(0.0%\);"–"</c:formatCode>
                <c:ptCount val="5"/>
                <c:pt idx="0">
                  <c:v>0.1085886412197552</c:v>
                </c:pt>
                <c:pt idx="1">
                  <c:v>-1.9097226670755307E-2</c:v>
                </c:pt>
                <c:pt idx="2">
                  <c:v>-1.8055409980379133E-2</c:v>
                </c:pt>
                <c:pt idx="3">
                  <c:v>2.6527819977373968E-2</c:v>
                </c:pt>
                <c:pt idx="4">
                  <c:v>1.7116589606506638E-2</c:v>
                </c:pt>
              </c:numCache>
            </c:numRef>
          </c:val>
          <c:extLst>
            <c:ext xmlns:c16="http://schemas.microsoft.com/office/drawing/2014/chart" uri="{C3380CC4-5D6E-409C-BE32-E72D297353CC}">
              <c16:uniqueId val="{00000002-1C47-43D8-98D1-9DD976E75587}"/>
            </c:ext>
          </c:extLst>
        </c:ser>
        <c:dLbls>
          <c:showLegendKey val="0"/>
          <c:showVal val="0"/>
          <c:showCatName val="0"/>
          <c:showSerName val="0"/>
          <c:showPercent val="0"/>
          <c:showBubbleSize val="0"/>
        </c:dLbls>
        <c:gapWidth val="219"/>
        <c:overlap val="-27"/>
        <c:axId val="1337518464"/>
        <c:axId val="1173243312"/>
      </c:barChart>
      <c:catAx>
        <c:axId val="133751846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D2433"/>
                </a:solidFill>
                <a:latin typeface="+mn-lt"/>
                <a:ea typeface="+mn-ea"/>
                <a:cs typeface="+mn-cs"/>
              </a:defRPr>
            </a:pPr>
            <a:endParaRPr lang="en-US"/>
          </a:p>
        </c:txPr>
        <c:crossAx val="1173243312"/>
        <c:crosses val="autoZero"/>
        <c:auto val="1"/>
        <c:lblAlgn val="ctr"/>
        <c:lblOffset val="100"/>
        <c:noMultiLvlLbl val="0"/>
      </c:catAx>
      <c:valAx>
        <c:axId val="1173243312"/>
        <c:scaling>
          <c:orientation val="minMax"/>
        </c:scaling>
        <c:delete val="0"/>
        <c:axPos val="l"/>
        <c:majorGridlines>
          <c:spPr>
            <a:ln w="9525" cap="flat" cmpd="sng" algn="ctr">
              <a:solidFill>
                <a:srgbClr val="E4E8EE"/>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D2433"/>
                </a:solidFill>
                <a:latin typeface="+mn-lt"/>
                <a:ea typeface="+mn-ea"/>
                <a:cs typeface="+mn-cs"/>
              </a:defRPr>
            </a:pPr>
            <a:endParaRPr lang="en-US"/>
          </a:p>
        </c:txPr>
        <c:crossAx val="1337518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D9D9"/>
      </a:solidFill>
      <a:round/>
    </a:ln>
    <a:effectLst/>
  </c:spPr>
  <c:txPr>
    <a:bodyPr/>
    <a:lstStyle/>
    <a:p>
      <a:pPr>
        <a:defRPr sz="900">
          <a:solidFill>
            <a:srgbClr val="1D2433"/>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595959"/>
                </a:solidFill>
                <a:latin typeface="+mn-lt"/>
                <a:ea typeface="+mn-ea"/>
                <a:cs typeface="+mn-cs"/>
              </a:defRPr>
            </a:pPr>
            <a:r>
              <a:rPr lang="en-CA" sz="1400" b="0">
                <a:solidFill>
                  <a:srgbClr val="595959"/>
                </a:solidFill>
              </a:rPr>
              <a:t>Retail price, cents per kWh</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95959"/>
              </a:solidFill>
              <a:latin typeface="+mn-lt"/>
              <a:ea typeface="+mn-ea"/>
              <a:cs typeface="+mn-cs"/>
            </a:defRPr>
          </a:pPr>
          <a:endParaRPr lang="en-US"/>
        </a:p>
      </c:txPr>
    </c:title>
    <c:autoTitleDeleted val="0"/>
    <c:plotArea>
      <c:layout/>
      <c:barChart>
        <c:barDir val="col"/>
        <c:grouping val="clustered"/>
        <c:varyColors val="0"/>
        <c:ser>
          <c:idx val="0"/>
          <c:order val="0"/>
          <c:tx>
            <c:v>Retail price, ¢/kWh</c:v>
          </c:tx>
          <c:spPr>
            <a:solidFill>
              <a:srgbClr val="9DB4CF"/>
            </a:solidFill>
            <a:ln>
              <a:noFill/>
            </a:ln>
            <a:effectLst/>
          </c:spPr>
          <c:invertIfNegative val="0"/>
          <c:dPt>
            <c:idx val="0"/>
            <c:invertIfNegative val="0"/>
            <c:bubble3D val="0"/>
            <c:spPr>
              <a:solidFill>
                <a:srgbClr val="1F3A5F"/>
              </a:solidFill>
              <a:ln>
                <a:noFill/>
              </a:ln>
              <a:effectLst/>
            </c:spPr>
            <c:extLst>
              <c:ext xmlns:c16="http://schemas.microsoft.com/office/drawing/2014/chart" uri="{C3380CC4-5D6E-409C-BE32-E72D297353CC}">
                <c16:uniqueId val="{00000003-98D6-413F-A844-67276C5048A6}"/>
              </c:ext>
            </c:extLst>
          </c:dPt>
          <c:cat>
            <c:strRef>
              <c:f>Peers!$C$4:$G$4</c:f>
              <c:strCache>
                <c:ptCount val="5"/>
                <c:pt idx="0">
                  <c:v>PGE</c:v>
                </c:pt>
                <c:pt idx="1">
                  <c:v>PacifiCorp</c:v>
                </c:pt>
                <c:pt idx="2">
                  <c:v>Puget Sound Energy</c:v>
                </c:pt>
                <c:pt idx="3">
                  <c:v>Avista</c:v>
                </c:pt>
                <c:pt idx="4">
                  <c:v>Idaho Power</c:v>
                </c:pt>
              </c:strCache>
            </c:strRef>
          </c:cat>
          <c:val>
            <c:numRef>
              <c:f>Peers!$C$10:$G$10</c:f>
              <c:numCache>
                <c:formatCode>0.00" ¢"</c:formatCode>
                <c:ptCount val="5"/>
                <c:pt idx="0">
                  <c:v>14.870401574666317</c:v>
                </c:pt>
                <c:pt idx="1">
                  <c:v>11.764799772721215</c:v>
                </c:pt>
                <c:pt idx="2">
                  <c:v>16.389483795260809</c:v>
                </c:pt>
                <c:pt idx="3">
                  <c:v>11.517182817070189</c:v>
                </c:pt>
                <c:pt idx="4">
                  <c:v>9.7130097974259204</c:v>
                </c:pt>
              </c:numCache>
            </c:numRef>
          </c:val>
          <c:extLst>
            <c:ext xmlns:c16="http://schemas.microsoft.com/office/drawing/2014/chart" uri="{C3380CC4-5D6E-409C-BE32-E72D297353CC}">
              <c16:uniqueId val="{00000002-98D6-413F-A844-67276C5048A6}"/>
            </c:ext>
          </c:extLst>
        </c:ser>
        <c:dLbls>
          <c:showLegendKey val="0"/>
          <c:showVal val="0"/>
          <c:showCatName val="0"/>
          <c:showSerName val="0"/>
          <c:showPercent val="0"/>
          <c:showBubbleSize val="0"/>
        </c:dLbls>
        <c:gapWidth val="219"/>
        <c:overlap val="-27"/>
        <c:axId val="1337538880"/>
        <c:axId val="1173245712"/>
      </c:barChart>
      <c:catAx>
        <c:axId val="133753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D2433"/>
                </a:solidFill>
                <a:latin typeface="+mn-lt"/>
                <a:ea typeface="+mn-ea"/>
                <a:cs typeface="+mn-cs"/>
              </a:defRPr>
            </a:pPr>
            <a:endParaRPr lang="en-US"/>
          </a:p>
        </c:txPr>
        <c:crossAx val="1173245712"/>
        <c:crosses val="autoZero"/>
        <c:auto val="1"/>
        <c:lblAlgn val="ctr"/>
        <c:lblOffset val="100"/>
        <c:noMultiLvlLbl val="0"/>
      </c:catAx>
      <c:valAx>
        <c:axId val="1173245712"/>
        <c:scaling>
          <c:orientation val="minMax"/>
        </c:scaling>
        <c:delete val="0"/>
        <c:axPos val="l"/>
        <c:majorGridlines>
          <c:spPr>
            <a:ln w="9525" cap="flat" cmpd="sng" algn="ctr">
              <a:solidFill>
                <a:srgbClr val="E4E8EE"/>
              </a:solidFill>
              <a:round/>
            </a:ln>
            <a:effectLst/>
          </c:spPr>
        </c:majorGridlines>
        <c:numFmt formatCode="0.00&quot; ¢&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D2433"/>
                </a:solidFill>
                <a:latin typeface="+mn-lt"/>
                <a:ea typeface="+mn-ea"/>
                <a:cs typeface="+mn-cs"/>
              </a:defRPr>
            </a:pPr>
            <a:endParaRPr lang="en-US"/>
          </a:p>
        </c:txPr>
        <c:crossAx val="133753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D9D9"/>
      </a:solidFill>
      <a:round/>
    </a:ln>
    <a:effectLst/>
  </c:spPr>
  <c:txPr>
    <a:bodyPr/>
    <a:lstStyle/>
    <a:p>
      <a:pPr>
        <a:defRPr sz="900">
          <a:solidFill>
            <a:srgbClr val="1D2433"/>
          </a:solidFill>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Plan to actual, year to date</cx:v>
        </cx:txData>
      </cx:tx>
    </cx:title>
    <cx:plotArea>
      <cx:plotAreaRegion>
        <cx:series layoutId="waterfall" uniqueId="{00000000-C35D-47BD-9DFC-56F9335A2A4F}">
          <cx:dataLabels pos="outEnd">
            <cx:visibility seriesName="0" categoryName="0" value="1"/>
          </cx:dataLabels>
          <cx:dataId val="0"/>
          <cx:layoutPr>
            <cx:visibility connectorLines="1"/>
            <cx:subtotals>
              <cx:idx val="0"/>
              <cx:idx val="5"/>
            </cx:subtotals>
          </cx:layoutPr>
        </cx:series>
      </cx:plotAreaRegion>
      <cx:axis id="0">
        <cx:catScaling gapWidth="0.5"/>
        <cx:tickLabels/>
      </cx:axis>
      <cx:axis id="1">
        <cx:valScaling/>
        <cx:majorGridlines/>
        <cx:tickLabels/>
        <cx:spPr>
          <a:ln>
            <a:solidFill>
              <a:srgbClr val="E4E8EE"/>
            </a:solidFill>
          </a:ln>
        </cx:spPr>
      </cx:axis>
    </cx:plotArea>
  </cx:chart>
  <cx:spPr>
    <a:ln w="9525">
      <a:solidFill>
        <a:srgbClr val="D9D9D9"/>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tx>
        <cx:txData>
          <cx:v>Retail revenue since the base year</cx:v>
        </cx:txData>
      </cx:tx>
    </cx:title>
    <cx:plotArea>
      <cx:plotAreaRegion>
        <cx:series layoutId="waterfall" uniqueId="{00000000-E67D-4D43-94B7-1AECE76FEC17}">
          <cx:dataLabels pos="outEnd">
            <cx:visibility seriesName="0" categoryName="0" value="1"/>
          </cx:dataLabels>
          <cx:dataId val="0"/>
          <cx:layoutPr>
            <cx:visibility connectorLines="1"/>
            <cx:subtotals>
              <cx:idx val="0"/>
              <cx:idx val="4"/>
            </cx:subtotals>
          </cx:layoutPr>
        </cx:series>
      </cx:plotAreaRegion>
      <cx:axis id="0">
        <cx:catScaling gapWidth="0.5"/>
        <cx:tickLabels/>
      </cx:axis>
      <cx:axis id="1">
        <cx:valScaling/>
        <cx:majorGridlines/>
        <cx:tickLabels/>
        <cx:spPr>
          <a:ln>
            <a:solidFill>
              <a:srgbClr val="E4E8EE"/>
            </a:solidFill>
          </a:ln>
        </cx:spPr>
      </cx:axis>
    </cx:plotArea>
  </cx:chart>
  <cx:spPr>
    <a:ln w="9525">
      <a:solidFill>
        <a:srgbClr val="D9D9D9"/>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title pos="t" align="ctr" overlay="0">
      <cx:tx>
        <cx:txData>
          <cx:v>Retail revenue bridge, long view</cx:v>
        </cx:txData>
      </cx:tx>
    </cx:title>
    <cx:plotArea>
      <cx:plotAreaRegion>
        <cx:series layoutId="waterfall" uniqueId="{00000000-E91F-4139-A9AB-D2AF374F76E1}">
          <cx:dataLabels pos="outEnd">
            <cx:visibility seriesName="0" categoryName="0" value="1"/>
          </cx:dataLabels>
          <cx:dataId val="0"/>
          <cx:layoutPr>
            <cx:visibility connectorLines="1"/>
            <cx:subtotals>
              <cx:idx val="0"/>
              <cx:idx val="4"/>
            </cx:subtotals>
          </cx:layoutPr>
        </cx:series>
      </cx:plotAreaRegion>
      <cx:axis id="0">
        <cx:catScaling gapWidth="0.5"/>
        <cx:tickLabels/>
      </cx:axis>
      <cx:axis id="1">
        <cx:valScaling/>
        <cx:majorGridlines/>
        <cx:tickLabels/>
        <cx:spPr>
          <a:ln>
            <a:solidFill>
              <a:srgbClr val="E4E8EE"/>
            </a:solidFill>
          </a:ln>
        </cx:spPr>
      </cx:axis>
    </cx:plotArea>
  </cx:chart>
  <cx:spPr>
    <a:ln w="9525">
      <a:solidFill>
        <a:srgbClr val="D9D9D9"/>
      </a:solid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_xlchart.v1.7</cx:f>
      </cx:numDim>
    </cx:data>
  </cx:chartData>
  <cx:chart>
    <cx:title pos="t" align="ctr" overlay="0">
      <cx:tx>
        <cx:txData>
          <cx:v>Plan to actual, year to date</cx:v>
        </cx:txData>
      </cx:tx>
    </cx:title>
    <cx:plotArea>
      <cx:plotAreaRegion>
        <cx:series layoutId="waterfall" uniqueId="{00000000-F4EA-430E-8CB4-BA82DAB4A785}">
          <cx:dataLabels pos="outEnd">
            <cx:visibility seriesName="0" categoryName="0" value="1"/>
          </cx:dataLabels>
          <cx:dataId val="0"/>
          <cx:layoutPr>
            <cx:visibility connectorLines="1"/>
            <cx:subtotals>
              <cx:idx val="0"/>
              <cx:idx val="5"/>
            </cx:subtotals>
          </cx:layoutPr>
        </cx:series>
      </cx:plotAreaRegion>
      <cx:axis id="0">
        <cx:catScaling gapWidth="0.5"/>
        <cx:tickLabels/>
      </cx:axis>
      <cx:axis id="1">
        <cx:valScaling/>
        <cx:majorGridlines/>
        <cx:tickLabels/>
        <cx:spPr>
          <a:ln>
            <a:solidFill>
              <a:srgbClr val="E4E8EE"/>
            </a:solidFill>
          </a:ln>
        </cx:spPr>
      </cx:axis>
    </cx:plotArea>
  </cx:chart>
  <cx:spPr>
    <a:ln w="9525">
      <a:solidFill>
        <a:srgbClr val="D9D9D9"/>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microsoft.com/office/2014/relationships/chartEx" Target="../charts/chartEx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0</xdr:colOff>
      <xdr:row>16</xdr:row>
      <xdr:rowOff>0</xdr:rowOff>
    </xdr:from>
    <xdr:to>
      <xdr:col>10</xdr:col>
      <xdr:colOff>0</xdr:colOff>
      <xdr:row>34</xdr:row>
      <xdr:rowOff>0</xdr:rowOff>
    </xdr:to>
    <xdr:graphicFrame macro="">
      <xdr:nvGraphicFramePr>
        <xdr:cNvPr id="2" name="Chart 1">
          <a:extLst>
            <a:ext uri="{FF2B5EF4-FFF2-40B4-BE49-F238E27FC236}">
              <a16:creationId xmlns:a16="http://schemas.microsoft.com/office/drawing/2014/main" id="{6E24FF35-B534-AF04-F662-A617435065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16</xdr:row>
      <xdr:rowOff>0</xdr:rowOff>
    </xdr:from>
    <xdr:to>
      <xdr:col>19</xdr:col>
      <xdr:colOff>0</xdr:colOff>
      <xdr:row>34</xdr:row>
      <xdr:rowOff>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BC34925-5DBE-D6BC-EE42-A4CBD52E64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943600" y="4546600"/>
              <a:ext cx="5772150" cy="342900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0</xdr:colOff>
      <xdr:row>35</xdr:row>
      <xdr:rowOff>0</xdr:rowOff>
    </xdr:from>
    <xdr:to>
      <xdr:col>10</xdr:col>
      <xdr:colOff>0</xdr:colOff>
      <xdr:row>53</xdr:row>
      <xdr:rowOff>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6B2802E3-1217-F09D-B963-9185532C27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71450" y="8166100"/>
              <a:ext cx="5772150" cy="342900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0</xdr:colOff>
      <xdr:row>35</xdr:row>
      <xdr:rowOff>0</xdr:rowOff>
    </xdr:from>
    <xdr:to>
      <xdr:col>19</xdr:col>
      <xdr:colOff>0</xdr:colOff>
      <xdr:row>53</xdr:row>
      <xdr:rowOff>0</xdr:rowOff>
    </xdr:to>
    <xdr:graphicFrame macro="">
      <xdr:nvGraphicFramePr>
        <xdr:cNvPr id="5" name="Chart 4">
          <a:extLst>
            <a:ext uri="{FF2B5EF4-FFF2-40B4-BE49-F238E27FC236}">
              <a16:creationId xmlns:a16="http://schemas.microsoft.com/office/drawing/2014/main" id="{62BFE85A-440C-3C0F-88CB-5CBDC9EAF7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33</xdr:row>
      <xdr:rowOff>0</xdr:rowOff>
    </xdr:from>
    <xdr:to>
      <xdr:col>11</xdr:col>
      <xdr:colOff>0</xdr:colOff>
      <xdr:row>51</xdr:row>
      <xdr:rowOff>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B05AF78-F31E-1C6B-F14C-F6C52D5B02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305050" y="6642100"/>
              <a:ext cx="4781550" cy="297180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33</xdr:row>
      <xdr:rowOff>0</xdr:rowOff>
    </xdr:from>
    <xdr:to>
      <xdr:col>14</xdr:col>
      <xdr:colOff>0</xdr:colOff>
      <xdr:row>53</xdr:row>
      <xdr:rowOff>0</xdr:rowOff>
    </xdr:to>
    <xdr:graphicFrame macro="">
      <xdr:nvGraphicFramePr>
        <xdr:cNvPr id="2" name="Chart 1">
          <a:extLst>
            <a:ext uri="{FF2B5EF4-FFF2-40B4-BE49-F238E27FC236}">
              <a16:creationId xmlns:a16="http://schemas.microsoft.com/office/drawing/2014/main" id="{4C379E27-84AF-2B6B-CA13-0B56D3BA20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0</xdr:colOff>
      <xdr:row>86</xdr:row>
      <xdr:rowOff>0</xdr:rowOff>
    </xdr:from>
    <xdr:to>
      <xdr:col>21</xdr:col>
      <xdr:colOff>0</xdr:colOff>
      <xdr:row>105</xdr:row>
      <xdr:rowOff>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851E117-A731-7F7D-C070-107CD98CAAB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334500" y="16090900"/>
              <a:ext cx="4883150" cy="336550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13</xdr:col>
      <xdr:colOff>0</xdr:colOff>
      <xdr:row>10</xdr:row>
      <xdr:rowOff>0</xdr:rowOff>
    </xdr:from>
    <xdr:to>
      <xdr:col>20</xdr:col>
      <xdr:colOff>0</xdr:colOff>
      <xdr:row>35</xdr:row>
      <xdr:rowOff>0</xdr:rowOff>
    </xdr:to>
    <xdr:graphicFrame macro="">
      <xdr:nvGraphicFramePr>
        <xdr:cNvPr id="2" name="Chart 1">
          <a:extLst>
            <a:ext uri="{FF2B5EF4-FFF2-40B4-BE49-F238E27FC236}">
              <a16:creationId xmlns:a16="http://schemas.microsoft.com/office/drawing/2014/main" id="{AF5D1CBF-4841-3F91-91F8-621DA65463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20</xdr:row>
      <xdr:rowOff>0</xdr:rowOff>
    </xdr:from>
    <xdr:to>
      <xdr:col>5</xdr:col>
      <xdr:colOff>0</xdr:colOff>
      <xdr:row>38</xdr:row>
      <xdr:rowOff>0</xdr:rowOff>
    </xdr:to>
    <xdr:graphicFrame macro="">
      <xdr:nvGraphicFramePr>
        <xdr:cNvPr id="2" name="Chart 1">
          <a:extLst>
            <a:ext uri="{FF2B5EF4-FFF2-40B4-BE49-F238E27FC236}">
              <a16:creationId xmlns:a16="http://schemas.microsoft.com/office/drawing/2014/main" id="{E1570870-4428-A64D-28EA-56BF6CBAF9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20</xdr:row>
      <xdr:rowOff>0</xdr:rowOff>
    </xdr:from>
    <xdr:to>
      <xdr:col>10</xdr:col>
      <xdr:colOff>0</xdr:colOff>
      <xdr:row>38</xdr:row>
      <xdr:rowOff>0</xdr:rowOff>
    </xdr:to>
    <xdr:graphicFrame macro="">
      <xdr:nvGraphicFramePr>
        <xdr:cNvPr id="3" name="Chart 2">
          <a:extLst>
            <a:ext uri="{FF2B5EF4-FFF2-40B4-BE49-F238E27FC236}">
              <a16:creationId xmlns:a16="http://schemas.microsoft.com/office/drawing/2014/main" id="{79415B54-69F4-AFC1-0284-9302FC098C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4</xdr:col>
      <xdr:colOff>577850</xdr:colOff>
      <xdr:row>13</xdr:row>
      <xdr:rowOff>0</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025CF569-4FC3-1474-E3B0-9323706452A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69333" y="1284111"/>
              <a:ext cx="3625850" cy="129822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5</xdr:row>
      <xdr:rowOff>0</xdr:rowOff>
    </xdr:from>
    <xdr:to>
      <xdr:col>7</xdr:col>
      <xdr:colOff>615950</xdr:colOff>
      <xdr:row>13</xdr:row>
      <xdr:rowOff>0</xdr:rowOff>
    </xdr:to>
    <mc:AlternateContent xmlns:mc="http://schemas.openxmlformats.org/markup-compatibility/2006">
      <mc:Choice xmlns:a14="http://schemas.microsoft.com/office/drawing/2010/main" Requires="a14">
        <xdr:graphicFrame macro="">
          <xdr:nvGraphicFramePr>
            <xdr:cNvPr id="3" name="Quarter">
              <a:extLst>
                <a:ext uri="{FF2B5EF4-FFF2-40B4-BE49-F238E27FC236}">
                  <a16:creationId xmlns:a16="http://schemas.microsoft.com/office/drawing/2014/main" id="{3B4E3CA3-2BE0-6414-6945-E3F319993A96}"/>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5080000" y="1284111"/>
              <a:ext cx="1547283" cy="129822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sh Patel" refreshedDate="46289.17406365741" createdVersion="8" refreshedVersion="8" minRefreshableVersion="3" recordCount="0" supportSubquery="1" supportAdvancedDrill="1" xr:uid="{44A587E9-1C77-4443-9D4E-584B805CE502}">
  <cacheSource type="external" connectionId="7"/>
  <cacheFields count="8">
    <cacheField name="[Class].[label].[label]" caption="label" numFmtId="0" hierarchy="8" level="1">
      <sharedItems count="4">
        <s v="Commercial"/>
        <s v="Industrial"/>
        <s v="Residential"/>
        <s v="Transportation"/>
      </sharedItems>
    </cacheField>
    <cacheField name="[Measures].[Retail Revenue]" caption="Retail Revenue" numFmtId="0" hierarchy="20" level="32767"/>
    <cacheField name="[Measures].[Revenue YoY %]" caption="Revenue YoY %" numFmtId="0" hierarchy="26" level="32767"/>
    <cacheField name="[Measures].[Retail MWh]" caption="Retail MWh" numFmtId="0" hierarchy="21" level="32767"/>
    <cacheField name="[Measures].[MWh YoY %]" caption="MWh YoY %" numFmtId="0" hierarchy="28" level="32767"/>
    <cacheField name="[Measures].[Price c/kWh]" caption="Price c/kWh" numFmtId="0" hierarchy="22" level="32767"/>
    <cacheField name="[Measures].[Avg Customers]" caption="Avg Customers" numFmtId="0" hierarchy="23" level="32767"/>
    <cacheField name="[Calendar].[year].[year]" caption="year" numFmtId="0" hierarchy="1" level="1">
      <sharedItems containsSemiMixedTypes="0" containsNonDate="0" containsString="0"/>
    </cacheField>
  </cacheFields>
  <cacheHierarchies count="36">
    <cacheHierarchy uniqueName="[Calendar].[month]" caption="month" attribute="1" time="1" defaultMemberUniqueName="[Calendar].[month].[All]" allUniqueName="[Calendar].[month].[All]" dimensionUniqueName="[Calendar]" displayFolder="" count="2"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7"/>
      </fieldsUsage>
    </cacheHierarchy>
    <cacheHierarchy uniqueName="[Calendar].[month_no]" caption="month_no" attribute="1" defaultMemberUniqueName="[Calendar].[month_no].[All]" allUniqueName="[Calendar].[month_no].[All]" dimensionUniqueName="[Calendar]" displayFolder="" count="2" memberValueDatatype="20" unbalanced="0"/>
    <cacheHierarchy uniqueName="[Calendar].[month_name]" caption="month_name" attribute="1" defaultMemberUniqueName="[Calendar].[month_name].[All]" allUniqueName="[Calendar].[month_name].[All]" dimensionUniqueName="[Calendar]" displayFolder="" count="2"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month_index]" caption="month_index" attribute="1" defaultMemberUniqueName="[Calendar].[month_index].[All]" allUniqueName="[Calendar].[month_index].[All]" dimensionUniqueName="[Calendar]" displayFolder="" count="0" memberValueDatatype="20" unbalanced="0"/>
    <cacheHierarchy uniqueName="[Calendar].[status]" caption="status" attribute="1" defaultMemberUniqueName="[Calendar].[status].[All]" allUniqueName="[Calendar].[status].[All]" dimensionUniqueName="[Calendar]" displayFolder="" count="0" memberValueDatatype="130" unbalanced="0"/>
    <cacheHierarchy uniqueName="[Class].[class]" caption="class" attribute="1" defaultMemberUniqueName="[Class].[class].[All]" allUniqueName="[Class].[class].[All]" dimensionUniqueName="[Class]" displayFolder="" count="0" memberValueDatatype="130" unbalanced="0"/>
    <cacheHierarchy uniqueName="[Class].[label]" caption="label" attribute="1" defaultMemberUniqueName="[Class].[label].[All]" allUniqueName="[Class].[label].[All]" dimensionUniqueName="[Class]" displayFolder="" count="2" memberValueDatatype="130" unbalanced="0">
      <fieldsUsage count="2">
        <fieldUsage x="-1"/>
        <fieldUsage x="0"/>
      </fieldsUsage>
    </cacheHierarchy>
    <cacheHierarchy uniqueName="[Class].[sort]" caption="sort" attribute="1" defaultMemberUniqueName="[Class].[sort].[All]" allUniqueName="[Class].[sort].[All]" dimensionUniqueName="[Class]" displayFolder="" count="0" memberValueDatatype="20" unbalanced="0"/>
    <cacheHierarchy uniqueName="[Class].[weather_model]" caption="weather_model" attribute="1" defaultMemberUniqueName="[Class].[weather_model].[All]" allUniqueName="[Class].[weather_model].[All]" dimensionUniqueName="[Class]" displayFolder="" count="0" memberValueDatatype="130" unbalanced="0"/>
    <cacheHierarchy uniqueName="[Monthly].[month]" caption="month" attribute="1" time="1" defaultMemberUniqueName="[Monthly].[month].[All]" allUniqueName="[Monthly].[month].[All]" dimensionUniqueName="[Monthly]" displayFolder="" count="0" memberValueDatatype="7" unbalanced="0"/>
    <cacheHierarchy uniqueName="[Monthly].[class]" caption="class" attribute="1" defaultMemberUniqueName="[Monthly].[class].[All]" allUniqueName="[Monthly].[class].[All]" dimensionUniqueName="[Monthly]" displayFolder="" count="0" memberValueDatatype="130" unbalanced="0"/>
    <cacheHierarchy uniqueName="[Monthly].[revenue]" caption="revenue" attribute="1" defaultMemberUniqueName="[Monthly].[revenue].[All]" allUniqueName="[Monthly].[revenue].[All]" dimensionUniqueName="[Monthly]" displayFolder="" count="0" memberValueDatatype="5" unbalanced="0"/>
    <cacheHierarchy uniqueName="[Monthly].[mwh]" caption="mwh" attribute="1" defaultMemberUniqueName="[Monthly].[mwh].[All]" allUniqueName="[Monthly].[mwh].[All]" dimensionUniqueName="[Monthly]" displayFolder="" count="0" memberValueDatatype="5" unbalanced="0"/>
    <cacheHierarchy uniqueName="[Monthly].[customers]" caption="customers" attribute="1" defaultMemberUniqueName="[Monthly].[customers].[All]" allUniqueName="[Monthly].[customers].[All]" dimensionUniqueName="[Monthly]" displayFolder="" count="0" memberValueDatatype="20" unbalanced="0"/>
    <cacheHierarchy uniqueName="[Monthly].[data_status]" caption="data_status" attribute="1" defaultMemberUniqueName="[Monthly].[data_status].[All]" allUniqueName="[Monthly].[data_status].[All]" dimensionUniqueName="[Monthly]" displayFolder="" count="0" memberValueDatatype="130" unbalanced="0"/>
    <cacheHierarchy uniqueName="[Weather].[month]" caption="month" attribute="1" time="1" defaultMemberUniqueName="[Weather].[month].[All]" allUniqueName="[Weather].[month].[All]" dimensionUniqueName="[Weather]" displayFolder="" count="0" memberValueDatatype="7" unbalanced="0"/>
    <cacheHierarchy uniqueName="[Weather].[hdd]" caption="hdd" attribute="1" defaultMemberUniqueName="[Weather].[hdd].[All]" allUniqueName="[Weather].[hdd].[All]" dimensionUniqueName="[Weather]" displayFolder="" count="0" memberValueDatatype="5" unbalanced="0"/>
    <cacheHierarchy uniqueName="[Weather].[cdd]" caption="cdd" attribute="1" defaultMemberUniqueName="[Weather].[cdd].[All]" allUniqueName="[Weather].[cdd].[All]" dimensionUniqueName="[Weather]" displayFolder="" count="0" memberValueDatatype="5" unbalanced="0"/>
    <cacheHierarchy uniqueName="[Measures].[Retail Revenue]" caption="Retail Revenue" measure="1" displayFolder="" measureGroup="Monthly" count="0" oneField="1">
      <fieldsUsage count="1">
        <fieldUsage x="1"/>
      </fieldsUsage>
    </cacheHierarchy>
    <cacheHierarchy uniqueName="[Measures].[Retail MWh]" caption="Retail MWh" measure="1" displayFolder="" measureGroup="Monthly" count="0" oneField="1">
      <fieldsUsage count="1">
        <fieldUsage x="3"/>
      </fieldsUsage>
    </cacheHierarchy>
    <cacheHierarchy uniqueName="[Measures].[Price c/kWh]" caption="Price c/kWh" measure="1" displayFolder="" measureGroup="Monthly" count="0" oneField="1">
      <fieldsUsage count="1">
        <fieldUsage x="5"/>
      </fieldsUsage>
    </cacheHierarchy>
    <cacheHierarchy uniqueName="[Measures].[Avg Customers]" caption="Avg Customers" measure="1" displayFolder="" measureGroup="Monthly" count="0" oneField="1">
      <fieldsUsage count="1">
        <fieldUsage x="6"/>
      </fieldsUsage>
    </cacheHierarchy>
    <cacheHierarchy uniqueName="[Measures].[MWh per Customer]" caption="MWh per Customer" measure="1" displayFolder="" measureGroup="Monthly" count="0"/>
    <cacheHierarchy uniqueName="[Measures].[Retail Revenue PY]" caption="Retail Revenue PY" measure="1" displayFolder="" measureGroup="Monthly" count="0"/>
    <cacheHierarchy uniqueName="[Measures].[Revenue YoY %]" caption="Revenue YoY %" measure="1" displayFolder="" measureGroup="Monthly" count="0" oneField="1">
      <fieldsUsage count="1">
        <fieldUsage x="2"/>
      </fieldsUsage>
    </cacheHierarchy>
    <cacheHierarchy uniqueName="[Measures].[Retail MWh PY]" caption="Retail MWh PY" measure="1" displayFolder="" measureGroup="Monthly" count="0"/>
    <cacheHierarchy uniqueName="[Measures].[MWh YoY %]" caption="MWh YoY %" measure="1" displayFolder="" measureGroup="Monthly" count="0" oneField="1">
      <fieldsUsage count="1">
        <fieldUsage x="4"/>
      </fieldsUsage>
    </cacheHierarchy>
    <cacheHierarchy uniqueName="[Measures].[Heating Degree Days]" caption="Heating Degree Days" measure="1" displayFolder="" measureGroup="Weather" count="0"/>
    <cacheHierarchy uniqueName="[Measures].[Cooling Degree Days]" caption="Cooling Degree Days" measure="1" displayFolder="" measureGroup="Weather" count="0"/>
    <cacheHierarchy uniqueName="[Measures].[__XL_Count Monthly]" caption="__XL_Count Monthly" measure="1" displayFolder="" measureGroup="Monthly" count="0" hidden="1"/>
    <cacheHierarchy uniqueName="[Measures].[__XL_Count Weather]" caption="__XL_Count Weather" measure="1" displayFolder="" measureGroup="Weather" count="0" hidden="1"/>
    <cacheHierarchy uniqueName="[Measures].[__XL_Count Calendar]" caption="__XL_Count Calendar" measure="1" displayFolder="" measureGroup="Calendar" count="0" hidden="1"/>
    <cacheHierarchy uniqueName="[Measures].[__XL_Count Class]" caption="__XL_Count Class" measure="1" displayFolder="" measureGroup="Class" count="0" hidden="1"/>
    <cacheHierarchy uniqueName="[Measures].[__No measures defined]" caption="__No measures defined" measure="1" displayFolder="" count="0" hidden="1"/>
  </cacheHierarchies>
  <kpis count="0"/>
  <dimensions count="5">
    <dimension name="Calendar" uniqueName="[Calendar]" caption="Calendar"/>
    <dimension name="Class" uniqueName="[Class]" caption="Class"/>
    <dimension measure="1" name="Measures" uniqueName="[Measures]" caption="Measures"/>
    <dimension name="Monthly" uniqueName="[Monthly]" caption="Monthly"/>
    <dimension name="Weather" uniqueName="[Weather]" caption="Weather"/>
  </dimensions>
  <measureGroups count="4">
    <measureGroup name="Calendar" caption="Calendar"/>
    <measureGroup name="Class" caption="Class"/>
    <measureGroup name="Monthly" caption="Monthly"/>
    <measureGroup name="Weather" caption="Weather"/>
  </measureGroups>
  <maps count="7">
    <map measureGroup="0" dimension="0"/>
    <map measureGroup="1" dimension="1"/>
    <map measureGroup="2" dimension="0"/>
    <map measureGroup="2" dimension="1"/>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Kush Patel" refreshedDate="46289.174082175923" createdVersion="3" refreshedVersion="8" minRefreshableVersion="3" recordCount="0" tupleCache="1" supportSubquery="1" supportAdvancedDrill="1" xr:uid="{9C5B3666-3D1B-4ED9-A364-68320E54BD83}">
  <cacheSource type="external" connectionId="7"/>
  <cacheFields count="3">
    <cacheField name="[Measures].[MeasuresLevel]" caption="MeasuresLevel" numFmtId="0" hierarchy="11">
      <sharedItems count="2">
        <s v="[Measures].[Retail Revenue]" c="Retail Revenue"/>
        <s v="[Measures].[Revenue YoY %]" c="Revenue YoY %"/>
      </sharedItems>
    </cacheField>
    <cacheField name="[Class].[label].[label]" caption="label" numFmtId="0" hierarchy="8" level="1">
      <sharedItems count="4">
        <s v="[Class].[label].&amp;[Residential]" c="Residential"/>
        <s v="[Class].[label].&amp;[Commercial]" c="Commercial"/>
        <s v="[Class].[label].&amp;[Transportation]" c="Transportation"/>
        <s v="[Class].[label].&amp;[Industrial]" c="Industrial"/>
      </sharedItems>
    </cacheField>
    <cacheField name="[Calendar].[year].[year]" caption="year" numFmtId="0" hierarchy="1" level="1">
      <sharedItems count="4">
        <s v="[Calendar].[year].&amp;[2026]" c="2026"/>
        <s v="[Calendar].[year].&amp;[2024]" c="2024"/>
        <s v="[Calendar].[year].&amp;[2023]" c="2023"/>
        <s v="[Calendar].[year].&amp;[2025]" c="2025"/>
      </sharedItems>
    </cacheField>
  </cacheFields>
  <cacheHierarchies count="37">
    <cacheHierarchy uniqueName="[Calendar].[month]" caption="month" attribute="1" time="1" defaultMemberUniqueName="[Calendar].[month].[All]" allUniqueName="[Calendar].[month].[All]" dimensionUniqueName="[Calendar]" displayFolder="" count="2"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_no]" caption="month_no" attribute="1" defaultMemberUniqueName="[Calendar].[month_no].[All]" allUniqueName="[Calendar].[month_no].[All]" dimensionUniqueName="[Calendar]" displayFolder="" count="2" memberValueDatatype="20" unbalanced="0"/>
    <cacheHierarchy uniqueName="[Calendar].[month_name]" caption="month_name" attribute="1" defaultMemberUniqueName="[Calendar].[month_name].[All]" allUniqueName="[Calendar].[month_name].[All]" dimensionUniqueName="[Calendar]" displayFolder="" count="2" memberValueDatatype="130" unbalanced="0"/>
    <cacheHierarchy uniqueName="[Calendar].[quarter]" caption="quarter" attribute="1" defaultMemberUniqueName="[Calendar].[quarter].[All]" allUniqueName="[Calendar].[quarter].[All]" dimensionUniqueName="[Calendar]" displayFolder="" count="2" memberValueDatatype="130" unbalanced="0"/>
    <cacheHierarchy uniqueName="[Calendar].[month_index]" caption="month_index" attribute="1" defaultMemberUniqueName="[Calendar].[month_index].[All]" allUniqueName="[Calendar].[month_index].[All]" dimensionUniqueName="[Calendar]" displayFolder="" count="2" memberValueDatatype="20" unbalanced="0"/>
    <cacheHierarchy uniqueName="[Calendar].[status]" caption="status" attribute="1" defaultMemberUniqueName="[Calendar].[status].[All]" allUniqueName="[Calendar].[status].[All]" dimensionUniqueName="[Calendar]" displayFolder="" count="2" memberValueDatatype="130" unbalanced="0"/>
    <cacheHierarchy uniqueName="[Class].[class]" caption="class" attribute="1" defaultMemberUniqueName="[Class].[class].[All]" allUniqueName="[Class].[class].[All]" dimensionUniqueName="[Class]" displayFolder="" count="2" memberValueDatatype="130" unbalanced="0"/>
    <cacheHierarchy uniqueName="[Class].[label]" caption="label" attribute="1" defaultMemberUniqueName="[Class].[label].[All]" allUniqueName="[Class].[label].[All]" dimensionUniqueName="[Class]" displayFolder="" count="2" memberValueDatatype="130" unbalanced="0">
      <fieldsUsage count="2">
        <fieldUsage x="-1"/>
        <fieldUsage x="1"/>
      </fieldsUsage>
    </cacheHierarchy>
    <cacheHierarchy uniqueName="[Class].[sort]" caption="sort" attribute="1" defaultMemberUniqueName="[Class].[sort].[All]" allUniqueName="[Class].[sort].[All]" dimensionUniqueName="[Class]" displayFolder="" count="2" memberValueDatatype="20" unbalanced="0"/>
    <cacheHierarchy uniqueName="[Class].[weather_model]" caption="weather_model" attribute="1" defaultMemberUniqueName="[Class].[weather_model].[All]" allUniqueName="[Class].[weather_model].[All]" dimensionUniqueName="[Clas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fieldsUsage count="1">
        <fieldUsage x="0"/>
      </fieldsUsage>
    </cacheHierarchy>
    <cacheHierarchy uniqueName="[Monthly].[month]" caption="month" attribute="1" time="1" defaultMemberUniqueName="[Monthly].[month].[All]" allUniqueName="[Monthly].[month].[All]" dimensionUniqueName="[Monthly]" displayFolder="" count="2" memberValueDatatype="7" unbalanced="0"/>
    <cacheHierarchy uniqueName="[Monthly].[class]" caption="class" attribute="1" defaultMemberUniqueName="[Monthly].[class].[All]" allUniqueName="[Monthly].[class].[All]" dimensionUniqueName="[Monthly]" displayFolder="" count="2" memberValueDatatype="130" unbalanced="0"/>
    <cacheHierarchy uniqueName="[Monthly].[revenue]" caption="revenue" attribute="1" defaultMemberUniqueName="[Monthly].[revenue].[All]" allUniqueName="[Monthly].[revenue].[All]" dimensionUniqueName="[Monthly]" displayFolder="" count="2" memberValueDatatype="5" unbalanced="0"/>
    <cacheHierarchy uniqueName="[Monthly].[mwh]" caption="mwh" attribute="1" defaultMemberUniqueName="[Monthly].[mwh].[All]" allUniqueName="[Monthly].[mwh].[All]" dimensionUniqueName="[Monthly]" displayFolder="" count="2" memberValueDatatype="5" unbalanced="0"/>
    <cacheHierarchy uniqueName="[Monthly].[customers]" caption="customers" attribute="1" defaultMemberUniqueName="[Monthly].[customers].[All]" allUniqueName="[Monthly].[customers].[All]" dimensionUniqueName="[Monthly]" displayFolder="" count="2" memberValueDatatype="20" unbalanced="0"/>
    <cacheHierarchy uniqueName="[Monthly].[data_status]" caption="data_status" attribute="1" defaultMemberUniqueName="[Monthly].[data_status].[All]" allUniqueName="[Monthly].[data_status].[All]" dimensionUniqueName="[Monthly]" displayFolder="" count="2" memberValueDatatype="130" unbalanced="0"/>
    <cacheHierarchy uniqueName="[Weather].[month]" caption="month" attribute="1" time="1" defaultMemberUniqueName="[Weather].[month].[All]" allUniqueName="[Weather].[month].[All]" dimensionUniqueName="[Weather]" displayFolder="" count="2" memberValueDatatype="7" unbalanced="0"/>
    <cacheHierarchy uniqueName="[Weather].[hdd]" caption="hdd" attribute="1" defaultMemberUniqueName="[Weather].[hdd].[All]" allUniqueName="[Weather].[hdd].[All]" dimensionUniqueName="[Weather]" displayFolder="" count="2" memberValueDatatype="5" unbalanced="0"/>
    <cacheHierarchy uniqueName="[Weather].[cdd]" caption="cdd" attribute="1" defaultMemberUniqueName="[Weather].[cdd].[All]" allUniqueName="[Weather].[cdd].[All]" dimensionUniqueName="[Weather]" displayFolder="" count="2" memberValueDatatype="5" unbalanced="0"/>
    <cacheHierarchy uniqueName="[Measures].[Retail Revenue]" caption="Retail Revenue" measure="1" displayFolder="" measureGroup="Monthly" count="0"/>
    <cacheHierarchy uniqueName="[Measures].[Retail MWh]" caption="Retail MWh" measure="1" displayFolder="" measureGroup="Monthly" count="0"/>
    <cacheHierarchy uniqueName="[Measures].[Price c/kWh]" caption="Price c/kWh" measure="1" displayFolder="" measureGroup="Monthly" count="0"/>
    <cacheHierarchy uniqueName="[Measures].[Avg Customers]" caption="Avg Customers" measure="1" displayFolder="" measureGroup="Monthly" count="0"/>
    <cacheHierarchy uniqueName="[Measures].[MWh per Customer]" caption="MWh per Customer" measure="1" displayFolder="" measureGroup="Monthly" count="0"/>
    <cacheHierarchy uniqueName="[Measures].[Retail Revenue PY]" caption="Retail Revenue PY" measure="1" displayFolder="" measureGroup="Monthly" count="0"/>
    <cacheHierarchy uniqueName="[Measures].[Revenue YoY %]" caption="Revenue YoY %" measure="1" displayFolder="" measureGroup="Monthly" count="0"/>
    <cacheHierarchy uniqueName="[Measures].[Retail MWh PY]" caption="Retail MWh PY" measure="1" displayFolder="" measureGroup="Monthly" count="0"/>
    <cacheHierarchy uniqueName="[Measures].[MWh YoY %]" caption="MWh YoY %" measure="1" displayFolder="" measureGroup="Monthly" count="0"/>
    <cacheHierarchy uniqueName="[Measures].[Heating Degree Days]" caption="Heating Degree Days" measure="1" displayFolder="" measureGroup="Weather" count="0"/>
    <cacheHierarchy uniqueName="[Measures].[Cooling Degree Days]" caption="Cooling Degree Days" measure="1" displayFolder="" measureGroup="Weather" count="0"/>
    <cacheHierarchy uniqueName="[Measures].[__XL_Count Monthly]" caption="__XL_Count Monthly" measure="1" displayFolder="" measureGroup="Monthly" count="0" hidden="1"/>
    <cacheHierarchy uniqueName="[Measures].[__XL_Count Weather]" caption="__XL_Count Weather" measure="1" displayFolder="" measureGroup="Weather" count="0" hidden="1"/>
    <cacheHierarchy uniqueName="[Measures].[__XL_Count Calendar]" caption="__XL_Count Calendar" measure="1" displayFolder="" measureGroup="Calendar" count="0" hidden="1"/>
    <cacheHierarchy uniqueName="[Measures].[__XL_Count Class]" caption="__XL_Count Class" measure="1" displayFolder="" measureGroup="Class" count="0" hidden="1"/>
    <cacheHierarchy uniqueName="[Measures].[__No measures defined]" caption="__No measures defined" measure="1" displayFolder="" count="0" hidden="1"/>
  </cacheHierarchies>
  <kpis count="0"/>
  <tupleCache>
    <entries count="25">
      <n v="-2.4075305121016948E-2" in="0">
        <tpls c="3">
          <tpl fld="2" item="0"/>
          <tpl fld="1" item="0"/>
          <tpl fld="0" item="1"/>
        </tpls>
      </n>
      <n v="1.91335399746572E-2" in="0">
        <tpls c="2">
          <tpl fld="2" item="0"/>
          <tpl fld="0" item="1"/>
        </tpls>
      </n>
      <n v="1.2285271698539799E-2" in="0">
        <tpls c="3">
          <tpl fld="2" item="0"/>
          <tpl fld="1" item="1"/>
          <tpl fld="0" item="1"/>
        </tpls>
      </n>
      <n v="-5.0055499689531442E-2" in="0">
        <tpls c="3">
          <tpl fld="2" item="0"/>
          <tpl fld="1" item="2"/>
          <tpl fld="0" item="1"/>
        </tpls>
      </n>
      <n v="0.14964436618883914" in="0">
        <tpls c="3">
          <tpl fld="2" item="0"/>
          <tpl fld="1" item="3"/>
          <tpl fld="0" item="1"/>
        </tpls>
      </n>
      <n v="1230471" in="1">
        <tpls c="3">
          <tpl fld="2" item="1"/>
          <tpl fld="1" item="2"/>
          <tpl fld="0" item="0"/>
        </tpls>
      </n>
      <n v="2751081902" in="1">
        <tpls c="2">
          <tpl fld="2" item="1"/>
          <tpl fld="0" item="0"/>
        </tpls>
      </n>
      <n v="553919872" in="1">
        <tpls c="3">
          <tpl fld="2" item="3"/>
          <tpl fld="1" item="3"/>
          <tpl fld="0" item="0"/>
        </tpls>
      </n>
      <n v="1406370637" in="1">
        <tpls c="3">
          <tpl fld="2" item="1"/>
          <tpl fld="1" item="0"/>
          <tpl fld="0" item="0"/>
        </tpls>
      </n>
      <n v="892382285" in="1">
        <tpls c="3">
          <tpl fld="2" item="1"/>
          <tpl fld="1" item="1"/>
          <tpl fld="0" item="0"/>
        </tpls>
      </n>
      <n v="1400507" in="1">
        <tpls c="3">
          <tpl fld="2" item="3"/>
          <tpl fld="1" item="2"/>
          <tpl fld="0" item="0"/>
        </tpls>
      </n>
      <n v="1004507" in="1">
        <tpls c="3">
          <tpl fld="2" item="2"/>
          <tpl fld="1" item="2"/>
          <tpl fld="0" item="0"/>
        </tpls>
      </n>
      <n v="474305106" in="1">
        <tpls c="3">
          <tpl fld="2" item="0"/>
          <tpl fld="1" item="1"/>
          <tpl fld="0" item="0"/>
        </tpls>
      </n>
      <n v="945174603" in="1">
        <tpls c="3">
          <tpl fld="2" item="3"/>
          <tpl fld="1" item="1"/>
          <tpl fld="0" item="0"/>
        </tpls>
      </n>
      <n v="2353829725" in="1">
        <tpls c="2">
          <tpl fld="2" item="2"/>
          <tpl fld="0" item="0"/>
        </tpls>
      </n>
      <n v="299820792" in="1">
        <tpls c="3">
          <tpl fld="2" item="0"/>
          <tpl fld="1" item="3"/>
          <tpl fld="0" item="0"/>
        </tpls>
      </n>
      <n v="1208401408" in="1">
        <tpls c="3">
          <tpl fld="2" item="2"/>
          <tpl fld="1" item="0"/>
          <tpl fld="0" item="0"/>
        </tpls>
      </n>
      <n v="691495" in="1">
        <tpls c="3">
          <tpl fld="2" item="0"/>
          <tpl fld="1" item="2"/>
          <tpl fld="0" item="0"/>
        </tpls>
      </n>
      <n v="1469962155" in="1">
        <tpls c="2">
          <tpl fld="2" item="0"/>
          <tpl fld="0" item="0"/>
        </tpls>
      </n>
      <n v="2928179950" in="1">
        <tpls c="2">
          <tpl fld="2" item="3"/>
          <tpl fld="0" item="0"/>
        </tpls>
      </n>
      <n v="780087497" in="1">
        <tpls c="3">
          <tpl fld="2" item="2"/>
          <tpl fld="1" item="1"/>
          <tpl fld="0" item="0"/>
        </tpls>
      </n>
      <n v="1427684968" in="1">
        <tpls c="3">
          <tpl fld="2" item="3"/>
          <tpl fld="1" item="0"/>
          <tpl fld="0" item="0"/>
        </tpls>
      </n>
      <n v="364336313" in="1">
        <tpls c="3">
          <tpl fld="2" item="2"/>
          <tpl fld="1" item="3"/>
          <tpl fld="0" item="0"/>
        </tpls>
      </n>
      <n v="695144762" in="1">
        <tpls c="3">
          <tpl fld="2" item="0"/>
          <tpl fld="1" item="0"/>
          <tpl fld="0" item="0"/>
        </tpls>
      </n>
      <n v="451098509" in="1">
        <tpls c="3">
          <tpl fld="2" item="1"/>
          <tpl fld="1" item="3"/>
          <tpl fld="0" item="0"/>
        </tpls>
      </n>
    </entries>
    <queryCache count="10">
      <query mdx="[Measures].[Retail Revenue]">
        <tpls c="1">
          <tpl fld="0" item="0"/>
        </tpls>
      </query>
      <query mdx="[Measures].[Revenue YoY %]">
        <tpls c="1">
          <tpl fld="0" item="1"/>
        </tpls>
      </query>
      <query mdx="[Class].[label].&amp;[Residential]">
        <tpls c="1">
          <tpl fld="1" item="0"/>
        </tpls>
      </query>
      <query mdx="[Calendar].[year].&amp;[2026]">
        <tpls c="1">
          <tpl fld="2" item="0"/>
        </tpls>
      </query>
      <query mdx="[Class].[label].&amp;[Commercial]">
        <tpls c="1">
          <tpl fld="1" item="1"/>
        </tpls>
      </query>
      <query mdx="[Class].[label].&amp;[Transportation]">
        <tpls c="1">
          <tpl fld="1" item="2"/>
        </tpls>
      </query>
      <query mdx="[Class].[label].&amp;[Industrial]">
        <tpls c="1">
          <tpl fld="1" item="3"/>
        </tpls>
      </query>
      <query mdx="[Calendar].[year].&amp;[2024]">
        <tpls c="1">
          <tpl fld="2" item="1"/>
        </tpls>
      </query>
      <query mdx="[Calendar].[year].&amp;[2023]">
        <tpls c="1">
          <tpl fld="2" item="2"/>
        </tpls>
      </query>
      <query mdx="[Calendar].[year].&amp;[2025]">
        <tpls c="1">
          <tpl fld="2" item="3"/>
        </tpls>
      </query>
    </queryCache>
    <serverFormats count="2">
      <serverFormat format="0.0%;-0.0%;0.0%"/>
      <serverFormat format="\$#,0;-\$#,0;\$#,0"/>
    </serverFormats>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sh Patel" refreshedDate="46289.174059837962" createdVersion="3" refreshedVersion="8" minRefreshableVersion="3" recordCount="0" supportSubquery="1" supportAdvancedDrill="1" xr:uid="{ACE0E955-B30C-4E6B-9BD6-27BD5DFC8E61}">
  <cacheSource type="external" connectionId="7">
    <extLst>
      <ext xmlns:x14="http://schemas.microsoft.com/office/spreadsheetml/2009/9/main" uri="{F057638F-6D5F-4e77-A914-E7F072B9BCA8}">
        <x14:sourceConnection name="ThisWorkbookDataModel"/>
      </ext>
    </extLst>
  </cacheSource>
  <cacheFields count="0"/>
  <cacheHierarchies count="36">
    <cacheHierarchy uniqueName="[Calendar].[month]" caption="month" attribute="1" time="1" defaultMemberUniqueName="[Calendar].[month].[All]" allUniqueName="[Calendar].[month].[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cacheHierarchy uniqueName="[Calendar].[month_no]" caption="month_no" attribute="1" defaultMemberUniqueName="[Calendar].[month_no].[All]" allUniqueName="[Calendar].[month_no].[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2" memberValueDatatype="130" unbalanced="0"/>
    <cacheHierarchy uniqueName="[Calendar].[month_index]" caption="month_index" attribute="1" defaultMemberUniqueName="[Calendar].[month_index].[All]" allUniqueName="[Calendar].[month_index].[All]" dimensionUniqueName="[Calendar]" displayFolder="" count="0" memberValueDatatype="20" unbalanced="0"/>
    <cacheHierarchy uniqueName="[Calendar].[status]" caption="status" attribute="1" defaultMemberUniqueName="[Calendar].[status].[All]" allUniqueName="[Calendar].[status].[All]" dimensionUniqueName="[Calendar]" displayFolder="" count="0" memberValueDatatype="130" unbalanced="0"/>
    <cacheHierarchy uniqueName="[Class].[class]" caption="class" attribute="1" defaultMemberUniqueName="[Class].[class].[All]" allUniqueName="[Class].[class].[All]" dimensionUniqueName="[Class]" displayFolder="" count="0" memberValueDatatype="130" unbalanced="0"/>
    <cacheHierarchy uniqueName="[Class].[label]" caption="label" attribute="1" defaultMemberUniqueName="[Class].[label].[All]" allUniqueName="[Class].[label].[All]" dimensionUniqueName="[Class]" displayFolder="" count="0" memberValueDatatype="130" unbalanced="0"/>
    <cacheHierarchy uniqueName="[Class].[sort]" caption="sort" attribute="1" defaultMemberUniqueName="[Class].[sort].[All]" allUniqueName="[Class].[sort].[All]" dimensionUniqueName="[Class]" displayFolder="" count="0" memberValueDatatype="20" unbalanced="0"/>
    <cacheHierarchy uniqueName="[Class].[weather_model]" caption="weather_model" attribute="1" defaultMemberUniqueName="[Class].[weather_model].[All]" allUniqueName="[Class].[weather_model].[All]" dimensionUniqueName="[Class]" displayFolder="" count="0" memberValueDatatype="130" unbalanced="0"/>
    <cacheHierarchy uniqueName="[Monthly].[month]" caption="month" attribute="1" time="1" defaultMemberUniqueName="[Monthly].[month].[All]" allUniqueName="[Monthly].[month].[All]" dimensionUniqueName="[Monthly]" displayFolder="" count="0" memberValueDatatype="7" unbalanced="0"/>
    <cacheHierarchy uniqueName="[Monthly].[class]" caption="class" attribute="1" defaultMemberUniqueName="[Monthly].[class].[All]" allUniqueName="[Monthly].[class].[All]" dimensionUniqueName="[Monthly]" displayFolder="" count="0" memberValueDatatype="130" unbalanced="0"/>
    <cacheHierarchy uniqueName="[Monthly].[revenue]" caption="revenue" attribute="1" defaultMemberUniqueName="[Monthly].[revenue].[All]" allUniqueName="[Monthly].[revenue].[All]" dimensionUniqueName="[Monthly]" displayFolder="" count="0" memberValueDatatype="5" unbalanced="0"/>
    <cacheHierarchy uniqueName="[Monthly].[mwh]" caption="mwh" attribute="1" defaultMemberUniqueName="[Monthly].[mwh].[All]" allUniqueName="[Monthly].[mwh].[All]" dimensionUniqueName="[Monthly]" displayFolder="" count="0" memberValueDatatype="5" unbalanced="0"/>
    <cacheHierarchy uniqueName="[Monthly].[customers]" caption="customers" attribute="1" defaultMemberUniqueName="[Monthly].[customers].[All]" allUniqueName="[Monthly].[customers].[All]" dimensionUniqueName="[Monthly]" displayFolder="" count="0" memberValueDatatype="20" unbalanced="0"/>
    <cacheHierarchy uniqueName="[Monthly].[data_status]" caption="data_status" attribute="1" defaultMemberUniqueName="[Monthly].[data_status].[All]" allUniqueName="[Monthly].[data_status].[All]" dimensionUniqueName="[Monthly]" displayFolder="" count="0" memberValueDatatype="130" unbalanced="0"/>
    <cacheHierarchy uniqueName="[Weather].[month]" caption="month" attribute="1" time="1" defaultMemberUniqueName="[Weather].[month].[All]" allUniqueName="[Weather].[month].[All]" dimensionUniqueName="[Weather]" displayFolder="" count="0" memberValueDatatype="7" unbalanced="0"/>
    <cacheHierarchy uniqueName="[Weather].[hdd]" caption="hdd" attribute="1" defaultMemberUniqueName="[Weather].[hdd].[All]" allUniqueName="[Weather].[hdd].[All]" dimensionUniqueName="[Weather]" displayFolder="" count="0" memberValueDatatype="5" unbalanced="0"/>
    <cacheHierarchy uniqueName="[Weather].[cdd]" caption="cdd" attribute="1" defaultMemberUniqueName="[Weather].[cdd].[All]" allUniqueName="[Weather].[cdd].[All]" dimensionUniqueName="[Weather]" displayFolder="" count="0" memberValueDatatype="5" unbalanced="0"/>
    <cacheHierarchy uniqueName="[Measures].[Retail Revenue]" caption="Retail Revenue" measure="1" displayFolder="" measureGroup="Monthly" count="0"/>
    <cacheHierarchy uniqueName="[Measures].[Retail MWh]" caption="Retail MWh" measure="1" displayFolder="" measureGroup="Monthly" count="0"/>
    <cacheHierarchy uniqueName="[Measures].[Price c/kWh]" caption="Price c/kWh" measure="1" displayFolder="" measureGroup="Monthly" count="0"/>
    <cacheHierarchy uniqueName="[Measures].[Avg Customers]" caption="Avg Customers" measure="1" displayFolder="" measureGroup="Monthly" count="0"/>
    <cacheHierarchy uniqueName="[Measures].[MWh per Customer]" caption="MWh per Customer" measure="1" displayFolder="" measureGroup="Monthly" count="0"/>
    <cacheHierarchy uniqueName="[Measures].[Retail Revenue PY]" caption="Retail Revenue PY" measure="1" displayFolder="" measureGroup="Monthly" count="0"/>
    <cacheHierarchy uniqueName="[Measures].[Revenue YoY %]" caption="Revenue YoY %" measure="1" displayFolder="" measureGroup="Monthly" count="0"/>
    <cacheHierarchy uniqueName="[Measures].[Retail MWh PY]" caption="Retail MWh PY" measure="1" displayFolder="" measureGroup="Monthly" count="0"/>
    <cacheHierarchy uniqueName="[Measures].[MWh YoY %]" caption="MWh YoY %" measure="1" displayFolder="" measureGroup="Monthly" count="0"/>
    <cacheHierarchy uniqueName="[Measures].[Heating Degree Days]" caption="Heating Degree Days" measure="1" displayFolder="" measureGroup="Weather" count="0"/>
    <cacheHierarchy uniqueName="[Measures].[Cooling Degree Days]" caption="Cooling Degree Days" measure="1" displayFolder="" measureGroup="Weather" count="0"/>
    <cacheHierarchy uniqueName="[Measures].[__XL_Count Monthly]" caption="__XL_Count Monthly" measure="1" displayFolder="" measureGroup="Monthly" count="0" hidden="1"/>
    <cacheHierarchy uniqueName="[Measures].[__XL_Count Weather]" caption="__XL_Count Weather" measure="1" displayFolder="" measureGroup="Weather" count="0" hidden="1"/>
    <cacheHierarchy uniqueName="[Measures].[__XL_Count Calendar]" caption="__XL_Count Calendar" measure="1" displayFolder="" measureGroup="Calendar" count="0" hidden="1"/>
    <cacheHierarchy uniqueName="[Measures].[__XL_Count Class]" caption="__XL_Count Class" measure="1" displayFolder="" measureGroup="Clas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3771456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625DB9-282F-4EB5-B877-A79CE235385D}" name="ptExplore" cacheId="65" applyNumberFormats="0" applyBorderFormats="0" applyFontFormats="0" applyPatternFormats="0" applyAlignmentFormats="0" applyWidthHeightFormats="1" dataCaption="Values" grandTotalCaption="All classes" updatedVersion="8" minRefreshableVersion="3" useAutoFormatting="1" itemPrintTitles="1" createdVersion="8" indent="0" compact="0" compactData="0" multipleFieldFilters="0">
  <location ref="B16:H21" firstHeaderRow="0" firstDataRow="1" firstDataCol="1"/>
  <pivotFields count="8">
    <pivotField name="Class" axis="axisRow" compact="0" allDrilled="1" outline="0" subtotalTop="0" showAll="0" dataSourceSort="1" defaultSubtotal="0" defaultAttributeDrillState="1">
      <items count="4">
        <item x="0"/>
        <item x="1"/>
        <item x="2"/>
        <item x="3"/>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5">
    <i>
      <x/>
    </i>
    <i>
      <x v="1"/>
    </i>
    <i>
      <x v="2"/>
    </i>
    <i>
      <x v="3"/>
    </i>
    <i t="grand">
      <x/>
    </i>
  </rowItems>
  <colFields count="1">
    <field x="-2"/>
  </colFields>
  <colItems count="6">
    <i>
      <x/>
    </i>
    <i i="1">
      <x v="1"/>
    </i>
    <i i="2">
      <x v="2"/>
    </i>
    <i i="3">
      <x v="3"/>
    </i>
    <i i="4">
      <x v="4"/>
    </i>
    <i i="5">
      <x v="5"/>
    </i>
  </colItems>
  <dataFields count="6">
    <dataField name="Revenue " fld="1" subtotal="count" baseField="0" baseItem="0"/>
    <dataField name="Revenue YoY" fld="2" subtotal="count" baseField="0" baseItem="0"/>
    <dataField name="MWh " fld="3" subtotal="count" baseField="0" baseItem="0"/>
    <dataField name="MWh YoY" fld="4" subtotal="count" baseField="0" baseItem="0"/>
    <dataField name="¢/kWh" fld="5" subtotal="count" baseField="0" baseItem="0"/>
    <dataField name="Customers " fld="6" subtotal="count" baseField="0" baseItem="0"/>
  </dataFields>
  <pivotHierarchies count="36">
    <pivotHierarchy dragToData="1"/>
    <pivotHierarchy multipleItemSelectionAllowed="1" dragToData="1">
      <members count="1" level="1">
        <member name="[Calendar].[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Revenue "/>
    <pivotHierarchy dragToRow="0" dragToCol="0" dragToPage="0" dragToData="1" caption="MWh "/>
    <pivotHierarchy dragToRow="0" dragToCol="0" dragToPage="0" dragToData="1" caption="¢/kWh"/>
    <pivotHierarchy dragToRow="0" dragToCol="0" dragToPage="0" dragToData="1" caption="Customers "/>
    <pivotHierarchy dragToRow="0" dragToCol="0" dragToPage="0" dragToData="1"/>
    <pivotHierarchy dragToRow="0" dragToCol="0" dragToPage="0" dragToData="1"/>
    <pivotHierarchy dragToRow="0" dragToCol="0" dragToPage="0" dragToData="1" caption="Revenue YoY"/>
    <pivotHierarchy dragToRow="0" dragToCol="0" dragToPage="0" dragToData="1"/>
    <pivotHierarchy dragToRow="0" dragToCol="0" dragToPage="0" dragToData="1" caption="MWh Yo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273154D-373F-469D-B3C8-089B9C8A1C59}" autoFormatId="16" applyNumberFormats="0" applyBorderFormats="0" applyFontFormats="1" applyPatternFormats="1" applyAlignmentFormats="0" applyWidthHeightFormats="0">
  <queryTableRefresh nextId="7">
    <queryTableFields count="6">
      <queryTableField id="1" name="month" tableColumnId="7"/>
      <queryTableField id="2" name="class" tableColumnId="8"/>
      <queryTableField id="3" name="revenue" tableColumnId="9"/>
      <queryTableField id="4" name="mwh" tableColumnId="10"/>
      <queryTableField id="5" name="customers" tableColumnId="11"/>
      <queryTableField id="6" name="data_status" tableColumnId="12"/>
    </queryTableFields>
  </queryTableRefresh>
  <extLst>
    <ext xmlns:x15="http://schemas.microsoft.com/office/spreadsheetml/2010/11/main" uri="{883FBD77-0823-4a55-B5E3-86C4891E6966}">
      <x15:queryTable sourceDataName="Query - Monthly"/>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3B800979-03BB-49EC-BADF-014DFF04E740}" autoFormatId="16" applyNumberFormats="0" applyBorderFormats="0" applyFontFormats="1" applyPatternFormats="1" applyAlignmentFormats="0" applyWidthHeightFormats="0">
  <queryTableRefresh nextId="4">
    <queryTableFields count="3">
      <queryTableField id="1" name="month" tableColumnId="4"/>
      <queryTableField id="2" name="hdd" tableColumnId="5"/>
      <queryTableField id="3" name="cdd" tableColumnId="6"/>
    </queryTableFields>
  </queryTableRefresh>
  <extLst>
    <ext xmlns:x15="http://schemas.microsoft.com/office/spreadsheetml/2010/11/main" uri="{883FBD77-0823-4a55-B5E3-86C4891E6966}">
      <x15:queryTable sourceDataName="Query - Weather"/>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08986A1-2BBB-4E5D-9D09-C993F57BD666}" sourceName="[Calendar].[year]">
  <pivotTables>
    <pivotTable tabId="11" name="ptExplore"/>
  </pivotTables>
  <data>
    <olap pivotCacheId="237714563">
      <levels count="2">
        <level uniqueName="[Calendar].[year].[(All)]" sourceCaption="(All)" count="0"/>
        <level uniqueName="[Calendar].[year].[year]" sourceCaption="year" count="11">
          <ranges>
            <range startItem="0">
              <i n="[Calendar].[year].&amp;[2017]" c="2017"/>
              <i n="[Calendar].[year].&amp;[2018]" c="2018"/>
              <i n="[Calendar].[year].&amp;[2019]" c="2019"/>
              <i n="[Calendar].[year].&amp;[2020]" c="2020"/>
              <i n="[Calendar].[year].&amp;[2021]" c="2021"/>
              <i n="[Calendar].[year].&amp;[2022]" c="2022"/>
              <i n="[Calendar].[year].&amp;[2023]" c="2023"/>
              <i n="[Calendar].[year].&amp;[2024]" c="2024"/>
              <i n="[Calendar].[year].&amp;[2025]" c="2025"/>
              <i n="[Calendar].[year].&amp;[2026]" c="2026"/>
              <i n="[Calendar].[year].&amp;" c="(blank)" nd="1"/>
            </range>
          </ranges>
        </level>
      </levels>
      <selections count="1">
        <selection n="[Calendar].[year].&amp;[2026]"/>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51293563-4AC0-444F-802E-7933F3D786A6}" sourceName="[Calendar].[quarter]">
  <pivotTables>
    <pivotTable tabId="11" name="ptExplore"/>
  </pivotTables>
  <data>
    <olap pivotCacheId="237714563">
      <levels count="2">
        <level uniqueName="[Calendar].[quarter].[(All)]" sourceCaption="(All)" count="0"/>
        <level uniqueName="[Calendar].[quarter].[quarter]" sourceCaption="quarter" count="5">
          <ranges>
            <range startItem="0">
              <i n="[Calendar].[quarter].&amp;[Q1]" c="Q1"/>
              <i n="[Calendar].[quarter].&amp;[Q2]" c="Q2"/>
              <i n="[Calendar].[quarter].&amp;[Q3]" c="Q3" nd="1"/>
              <i n="[Calendar].[quarter].&amp;[Q4]" c="Q4" nd="1"/>
              <i n="[Calendar].[quarter].&amp;" c="(blank)" nd="1"/>
            </range>
          </ranges>
        </level>
      </levels>
      <selections count="1">
        <selection n="[Calendar].[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216F724-7A93-495E-883C-4DAE82EFE227}" cache="Slicer_Year" caption="Year" columnCount="5" level="1" rowHeight="230716"/>
  <slicer name="Quarter" xr10:uid="{E5FC2750-C47D-4833-98AE-EB8B49129215}" cache="Slicer_Quarter" caption="Quarter" columnCount="2" level="1" rowHeight="23071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954F949-59EA-48C1-BBE4-9F4994C0257C}" name="tbl_Monthly" displayName="tbl_Monthly" ref="B4:G460" tableType="queryTable" totalsRowShown="0">
  <autoFilter ref="B4:G460" xr:uid="{8954F949-59EA-48C1-BBE4-9F4994C0257C}"/>
  <tableColumns count="6">
    <tableColumn id="7" xr3:uid="{1A4E9582-421A-4A1A-8E2B-508AB459507E}" uniqueName="7" name="month" queryTableFieldId="1" dataDxfId="59"/>
    <tableColumn id="8" xr3:uid="{F1C2AC15-C8F2-4AF4-9542-6C9F98B20241}" uniqueName="8" name="class" queryTableFieldId="2"/>
    <tableColumn id="9" xr3:uid="{6F8A00C5-053A-42AE-851A-F897E5CF8D5E}" uniqueName="9" name="revenue" queryTableFieldId="3"/>
    <tableColumn id="10" xr3:uid="{A5E5621F-4392-409E-ABA0-1588572C2242}" uniqueName="10" name="mwh" queryTableFieldId="4"/>
    <tableColumn id="11" xr3:uid="{6690F53D-A313-4EDB-87EC-D284342FB356}" uniqueName="11" name="customers" queryTableFieldId="5"/>
    <tableColumn id="12" xr3:uid="{A3296172-9C34-47F0-B5F1-6667AF8206D7}" uniqueName="12" name="data_status" queryTableFieldId="6"/>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B72E00-5E30-4B81-A6D6-10463D0EBE7F}" name="tbl_Weather" displayName="tbl_Weather" ref="B4:D240" tableType="queryTable" totalsRowShown="0">
  <autoFilter ref="B4:D240" xr:uid="{F6B72E00-5E30-4B81-A6D6-10463D0EBE7F}"/>
  <tableColumns count="3">
    <tableColumn id="4" xr3:uid="{223164BB-894C-4088-BE76-2C35360C8CCB}" uniqueName="4" name="month" queryTableFieldId="1" dataDxfId="58"/>
    <tableColumn id="5" xr3:uid="{C8D66E8C-9158-4BBC-893B-ED19BF27B1E0}" uniqueName="5" name="hdd" queryTableFieldId="2"/>
    <tableColumn id="6" xr3:uid="{7BB657F7-9EF4-441C-AF81-534D03C2D9FE}" uniqueName="6" name="cdd" queryTableFieldId="3"/>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16087B-E23E-4CAA-8FE2-16A80B587BF9}" name="tbl_EIA" displayName="tbl_EIA" ref="B4:S118" totalsRowShown="0" headerRowDxfId="90">
  <autoFilter ref="B4:S118" xr:uid="{2816087B-E23E-4CAA-8FE2-16A80B587BF9}"/>
  <tableColumns count="18">
    <tableColumn id="1" xr3:uid="{323BBC00-0233-4647-8BF9-366388DFE4ED}" name="year" dataDxfId="108"/>
    <tableColumn id="2" xr3:uid="{1E55E34E-EA33-4E5B-937B-517425B5EAE6}" name="month" dataDxfId="107"/>
    <tableColumn id="3" xr3:uid="{40588639-E306-4FFD-835A-E2241956D78B}" name="data_status" dataDxfId="106"/>
    <tableColumn id="4" xr3:uid="{4700C301-FB10-4A0F-A78D-BB07B2A0FBE6}" name="residential_revenue_k" dataDxfId="105"/>
    <tableColumn id="5" xr3:uid="{A04B19C4-274C-4CFC-8B9E-3E532C46D244}" name="residential_mwh" dataDxfId="104"/>
    <tableColumn id="6" xr3:uid="{5FF35EFB-5CA7-49EF-8D9A-358E790318BC}" name="residential_customers" dataDxfId="103"/>
    <tableColumn id="7" xr3:uid="{1280101B-7673-4314-A479-97C0323266B3}" name="commercial_revenue_k" dataDxfId="102"/>
    <tableColumn id="8" xr3:uid="{83527E7D-9139-48DB-9D09-63D17D2627C2}" name="commercial_mwh" dataDxfId="101"/>
    <tableColumn id="9" xr3:uid="{003A42A5-9C52-4670-A2D5-826A1F7502A0}" name="commercial_customers" dataDxfId="100"/>
    <tableColumn id="10" xr3:uid="{9F0EAB9B-64A2-425B-A587-CAD800ABBFA5}" name="industrial_revenue_k" dataDxfId="99"/>
    <tableColumn id="11" xr3:uid="{52E266D6-C934-4A2B-B52C-64910FCD6A94}" name="industrial_mwh" dataDxfId="98"/>
    <tableColumn id="12" xr3:uid="{3DA17675-D057-4CDD-ADFC-2C8ED816A37B}" name="industrial_customers" dataDxfId="97"/>
    <tableColumn id="13" xr3:uid="{63C544A4-5A06-487B-A8E6-E43CECCBE89A}" name="transportation_revenue_k" dataDxfId="96"/>
    <tableColumn id="14" xr3:uid="{470A5A52-ADD2-49F7-B2D6-B59FE74D1852}" name="transportation_mwh" dataDxfId="95"/>
    <tableColumn id="15" xr3:uid="{49FC8278-E1CC-47DD-8371-6B7B02719EAC}" name="transportation_customers" dataDxfId="94"/>
    <tableColumn id="16" xr3:uid="{BC2A5945-9828-4C88-8624-4E2CC92F10D9}" name="total_revenue_k" dataDxfId="93"/>
    <tableColumn id="17" xr3:uid="{CE394F17-F728-4AE0-AA41-C5993C5B1E85}" name="total_mwh" dataDxfId="92"/>
    <tableColumn id="18" xr3:uid="{843862BE-1263-4759-9A33-D25306EAEEF3}" name="total_customers" dataDxfId="91"/>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1ABCDFE-E7A0-4159-9982-31E6598612FB}" name="tbl_NOAA" displayName="tbl_NOAA" ref="B4:B44" totalsRowShown="0" dataDxfId="60">
  <autoFilter ref="B4:B44" xr:uid="{81ABCDFE-E7A0-4159-9982-31E6598612FB}"/>
  <tableColumns count="1">
    <tableColumn id="1" xr3:uid="{FC92068F-9D53-4D35-98C6-B093C797E01A}" name="line" dataDxfId="61"/>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82A88D-A8FB-4FB5-BC1E-E013D3C6D2EC}" name="tbl_FERC_Revenue" displayName="tbl_FERC_Revenue" ref="B4:G655" totalsRowShown="0" headerRowDxfId="83">
  <autoFilter ref="B4:G655" xr:uid="{AB82A88D-A8FB-4FB5-BC1E-E013D3C6D2EC}"/>
  <tableColumns count="6">
    <tableColumn id="1" xr3:uid="{C628BDAA-FF13-4528-B5AE-340B2AAA9B2F}" name="report_year" dataDxfId="89"/>
    <tableColumn id="2" xr3:uid="{27B04BE5-C29A-4917-8959-034D999AFF74}" name="utility_id_ferc1" dataDxfId="88"/>
    <tableColumn id="3" xr3:uid="{9815D20B-35D2-4D17-9242-49C0823516C8}" name="revenue_type" dataDxfId="87"/>
    <tableColumn id="4" xr3:uid="{BF5EDC95-F852-4EA4-8DA7-48A2C58CD1DC}" name="dollar_value" dataDxfId="86"/>
    <tableColumn id="5" xr3:uid="{6E3A7BCC-F1B6-4C78-8B3C-3937C3FBE3F2}" name="sales_mwh" dataDxfId="85"/>
    <tableColumn id="6" xr3:uid="{C86D403B-ECDE-4348-817D-A54102882E97}" name="avg_customers_per_month" dataDxfId="84"/>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879131F-7DA6-4DFB-8F86-A6F5188A803B}" name="tbl_FERC_Expense" displayName="tbl_FERC_Expense" ref="J4:M655" totalsRowShown="0" headerRowDxfId="78">
  <autoFilter ref="J4:M655" xr:uid="{A879131F-7DA6-4DFB-8F86-A6F5188A803B}"/>
  <tableColumns count="4">
    <tableColumn id="1" xr3:uid="{3BD0E039-0072-4E28-BA0A-F75859762159}" name="report_year" dataDxfId="82"/>
    <tableColumn id="2" xr3:uid="{4D23BA22-81D2-4652-BFFE-CC9836C1E98E}" name="utility_id_ferc1" dataDxfId="81"/>
    <tableColumn id="3" xr3:uid="{D7A0A089-09A7-4007-9CCE-62D976B77CF0}" name="expense_type" dataDxfId="80"/>
    <tableColumn id="4" xr3:uid="{FE623AFD-7596-4B02-8D44-5C52E6BD5B41}" name="dollar_value" dataDxfId="79"/>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BDE83AE-42F4-4855-B086-EEB7AC4D3AD7}" name="tbl_FERC_Income" displayName="tbl_FERC_Income" ref="P4:S408" totalsRowShown="0" headerRowDxfId="73">
  <autoFilter ref="P4:S408" xr:uid="{BBDE83AE-42F4-4855-B086-EEB7AC4D3AD7}"/>
  <tableColumns count="4">
    <tableColumn id="1" xr3:uid="{C975885B-74E9-4EA1-A2C1-F71ED5635AA4}" name="report_year" dataDxfId="77"/>
    <tableColumn id="2" xr3:uid="{9BB0A013-727E-4B78-A61C-D6E4A028AA42}" name="utility_id_ferc1" dataDxfId="76"/>
    <tableColumn id="3" xr3:uid="{5779B8FA-5D1B-409B-9DD0-D78B355E69B8}" name="income_type" dataDxfId="75"/>
    <tableColumn id="4" xr3:uid="{F0DC7124-7E98-40B6-A9A8-4F6EED6379D1}" name="dollar_value" dataDxfId="74"/>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87EA72F-0277-4EDD-BA3F-7DF30E6A7A5A}" name="tbl_Utilities" displayName="tbl_Utilities" ref="B4:F9" totalsRowShown="0" headerRowDxfId="67">
  <autoFilter ref="B4:F9" xr:uid="{C87EA72F-0277-4EDD-BA3F-7DF30E6A7A5A}"/>
  <tableColumns count="5">
    <tableColumn id="1" xr3:uid="{C85E07BC-5779-439A-A425-94AAB3650B5E}" name="utility_id_ferc1" dataDxfId="72"/>
    <tableColumn id="2" xr3:uid="{78D7AEE0-CA12-459E-93FF-CFB417BAE4D3}" name="utility" dataDxfId="71"/>
    <tableColumn id="3" xr3:uid="{C570B015-6AAB-4126-A09B-AD1BC36C6CCA}" name="short_name" dataDxfId="70"/>
    <tableColumn id="4" xr3:uid="{8A27EDDC-FBE3-420B-AC78-0478ED5933B6}" name="states" dataDxfId="69"/>
    <tableColumn id="5" xr3:uid="{9CE3F178-1E74-4884-AC51-EFC5174A8FF3}" name="role" dataDxfId="68"/>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7C89682-608F-44B8-965B-CD404E6BB236}" name="tbl_Class" displayName="tbl_Class" ref="I4:L8" totalsRowShown="0" headerRowDxfId="62">
  <autoFilter ref="I4:L8" xr:uid="{17C89682-608F-44B8-965B-CD404E6BB236}"/>
  <tableColumns count="4">
    <tableColumn id="1" xr3:uid="{1E6C21E3-9237-4DC7-9D73-5FD329CDF06F}" name="class" dataDxfId="66"/>
    <tableColumn id="2" xr3:uid="{7C1C5BA9-2CAE-4022-A7A5-8EDB55B8DEA2}" name="label" dataDxfId="65"/>
    <tableColumn id="3" xr3:uid="{78AB45E2-760B-4E63-9EA6-A5080C57AF81}" name="sort" dataDxfId="64"/>
    <tableColumn id="4" xr3:uid="{9E441D07-BE1A-41A9-AD13-3342BAF32371}" name="weather_model" dataDxfId="63"/>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E7B34"/>
      </a:accent1>
      <a:accent2>
        <a:srgbClr val="B42318"/>
      </a:accent2>
      <a:accent3>
        <a:srgbClr val="1F3A5F"/>
      </a:accent3>
      <a:accent4>
        <a:srgbClr val="0F766E"/>
      </a:accent4>
      <a:accent5>
        <a:srgbClr val="B7791F"/>
      </a:accent5>
      <a:accent6>
        <a:srgbClr val="98A2B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KushPatel29/excel-fpa-mode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40A49-3F72-4306-9DA9-077ECD1E5A6D}">
  <sheetPr>
    <tabColor rgb="FF1F3A5F"/>
    <pageSetUpPr fitToPage="1"/>
  </sheetPr>
  <dimension ref="B2:D48"/>
  <sheetViews>
    <sheetView showGridLines="0" tabSelected="1" zoomScaleNormal="100" workbookViewId="0"/>
  </sheetViews>
  <sheetFormatPr defaultRowHeight="13" x14ac:dyDescent="0.3"/>
  <cols>
    <col min="1" max="1" width="3.69921875" customWidth="1"/>
    <col min="2" max="2" width="36.69921875" customWidth="1"/>
    <col min="3" max="3" width="74.69921875" customWidth="1"/>
    <col min="4" max="4" width="56.69921875" customWidth="1"/>
  </cols>
  <sheetData>
    <row r="2" spans="2:4" ht="40" customHeight="1" x14ac:dyDescent="0.85">
      <c r="B2" s="178" t="s">
        <v>516</v>
      </c>
    </row>
    <row r="3" spans="2:4" ht="19.5" x14ac:dyDescent="0.45">
      <c r="B3" s="179" t="s">
        <v>517</v>
      </c>
    </row>
    <row r="4" spans="2:4" x14ac:dyDescent="0.3">
      <c r="B4" s="180" t="s">
        <v>518</v>
      </c>
    </row>
    <row r="6" spans="2:4" ht="30" customHeight="1" x14ac:dyDescent="0.3">
      <c r="B6" s="31" t="s">
        <v>519</v>
      </c>
      <c r="C6" s="170"/>
      <c r="D6" s="170"/>
    </row>
    <row r="7" spans="2:4" x14ac:dyDescent="0.3">
      <c r="B7" s="2" t="s">
        <v>520</v>
      </c>
    </row>
    <row r="8" spans="2:4" x14ac:dyDescent="0.3">
      <c r="B8" s="182" t="s">
        <v>521</v>
      </c>
    </row>
    <row r="10" spans="2:4" x14ac:dyDescent="0.3">
      <c r="B10" s="24" t="s">
        <v>522</v>
      </c>
      <c r="C10" s="24" t="str">
        <f>checks_summary</f>
        <v>All 31 checks pass</v>
      </c>
      <c r="D10" s="181" t="s">
        <v>523</v>
      </c>
    </row>
    <row r="12" spans="2:4" ht="18" customHeight="1" x14ac:dyDescent="0.3">
      <c r="B12" s="7" t="s">
        <v>524</v>
      </c>
      <c r="C12" s="7"/>
      <c r="D12" s="7"/>
    </row>
    <row r="13" spans="2:4" ht="28" customHeight="1" x14ac:dyDescent="0.3">
      <c r="B13" s="184" t="s">
        <v>525</v>
      </c>
      <c r="C13" s="185" t="str" cm="1">
        <f t="array" ref="C13">"Year to date "&amp;MONEY(ABS(INDEX(plan_bridge_total,7)))&amp;IF(INDEX(plan_bridge_total,7)&lt;0," under"," over")&amp;" plan ("&amp;TEXT(INDEX(plan_bridge_total,8),"+0.0%;-0.0%")&amp;"): weather "&amp;SIGNMONEY(INDEX(plan_bridge_total,3))&amp;", price "&amp;SIGNMONEY(INDEX(plan_bridge_total,5))&amp;", usage "&amp;SIGNMONEY(INDEX(plan_bridge_total,4))&amp;"."</f>
        <v>Year to date $100.9M under plan (-6.4%): weather −$40.4M, price −$42.3M, usage −$18.3M.</v>
      </c>
      <c r="D13" s="186" t="s">
        <v>526</v>
      </c>
    </row>
    <row r="14" spans="2:4" ht="28" customHeight="1" x14ac:dyDescent="0.3">
      <c r="B14" s="184" t="s">
        <v>527</v>
      </c>
      <c r="C14" s="185" t="str" cm="1">
        <f t="array" ref="C14">"Weather against normal: "&amp;TEXT(INDEX(weather_impact_total,11)/1000,"+#,##0;-#,##0")&amp;" GWh and "&amp;SIGNMONEY(INDEX(weather_impact_total,12))&amp;" of revenue this year."</f>
        <v>Weather against normal: -212 GWh and −$38.7M of revenue this year.</v>
      </c>
      <c r="D14" s="186" t="s">
        <v>528</v>
      </c>
    </row>
    <row r="15" spans="2:4" ht="28" customHeight="1" x14ac:dyDescent="0.3">
      <c r="B15" s="184" t="s">
        <v>529</v>
      </c>
      <c r="C15" s="185" t="str" cm="1">
        <f t="array" ref="C15">"Since "&amp;BaseYear&amp;": price "&amp;SIGNMONEY(PVM!L11)&amp;", volume "&amp;SIGNMONEY(PVM!J11)&amp;", mix "&amp;SIGNMONEY(PVM!K11)&amp;"."</f>
        <v>Since 2019: price +$993.6M, volume +$275.4M, mix −$89.0M.</v>
      </c>
      <c r="D15" s="186" t="s">
        <v>530</v>
      </c>
    </row>
    <row r="16" spans="2:4" ht="28" customHeight="1" x14ac:dyDescent="0.3">
      <c r="B16" s="184" t="s">
        <v>531</v>
      </c>
      <c r="C16" s="185" t="str" cm="1">
        <f t="array" ref="C16">"Retail revenue "&amp;MONEY(fy_revenue)&amp;", "&amp;TEXT(Forecast!H75,"+0.0%;-0.0%")&amp;" on "&amp;(FiscalYear-1)&amp;"; a point of rate on the open months is worth "&amp;MONEY(INDEX(tornado,1))&amp;"."</f>
        <v>Retail revenue $3.01B, +2.7% on 2025; a point of rate on the open months is worth $15.4M.</v>
      </c>
      <c r="D16" s="186" t="s">
        <v>532</v>
      </c>
    </row>
    <row r="17" spans="2:4" ht="28" customHeight="1" x14ac:dyDescent="0.3">
      <c r="B17" s="184" t="s">
        <v>533</v>
      </c>
      <c r="C17" s="185" t="str">
        <f>"Industrial load growing "&amp;TEXT(INDEX(peers_table,8,1),"0.0%")&amp;" a year, rank "&amp;INDEX(peers_rank,8)&amp;" of 5; retail price "&amp;TEXT(INDEX(peers_table,4,1),"0.0")&amp;"¢/kWh, rank "&amp;INDEX(peers_rank,4)&amp;" of 5."</f>
        <v>Industrial load growing 10.9% a year, rank 1 of 5; retail price 14.9¢/kWh, rank 2 of 5.</v>
      </c>
      <c r="D17" s="186" t="s">
        <v>534</v>
      </c>
    </row>
    <row r="19" spans="2:4" ht="18" customHeight="1" x14ac:dyDescent="0.3">
      <c r="B19" s="7" t="s">
        <v>535</v>
      </c>
      <c r="C19" s="7"/>
      <c r="D19" s="7"/>
    </row>
    <row r="20" spans="2:4" x14ac:dyDescent="0.3">
      <c r="B20" s="8" t="s">
        <v>536</v>
      </c>
      <c r="C20" s="10" t="s">
        <v>537</v>
      </c>
      <c r="D20" s="10" t="s">
        <v>538</v>
      </c>
    </row>
    <row r="21" spans="2:4" ht="26" x14ac:dyDescent="0.3">
      <c r="B21" s="181" t="s">
        <v>539</v>
      </c>
      <c r="C21" s="183" t="s">
        <v>540</v>
      </c>
      <c r="D21" s="187" t="s">
        <v>541</v>
      </c>
    </row>
    <row r="22" spans="2:4" x14ac:dyDescent="0.3">
      <c r="B22" s="181" t="s">
        <v>542</v>
      </c>
      <c r="C22" s="183" t="s">
        <v>543</v>
      </c>
      <c r="D22" s="187" t="s">
        <v>544</v>
      </c>
    </row>
    <row r="23" spans="2:4" x14ac:dyDescent="0.3">
      <c r="B23" s="181" t="s">
        <v>545</v>
      </c>
      <c r="C23" s="183" t="s">
        <v>546</v>
      </c>
      <c r="D23" s="187" t="s">
        <v>547</v>
      </c>
    </row>
    <row r="24" spans="2:4" x14ac:dyDescent="0.3">
      <c r="B24" s="181" t="s">
        <v>548</v>
      </c>
      <c r="C24" s="183" t="s">
        <v>549</v>
      </c>
      <c r="D24" s="187" t="s">
        <v>550</v>
      </c>
    </row>
    <row r="25" spans="2:4" x14ac:dyDescent="0.3">
      <c r="B25" s="181" t="s">
        <v>356</v>
      </c>
      <c r="C25" s="183" t="s">
        <v>551</v>
      </c>
      <c r="D25" s="187" t="s">
        <v>552</v>
      </c>
    </row>
    <row r="26" spans="2:4" x14ac:dyDescent="0.3">
      <c r="B26" s="181" t="s">
        <v>359</v>
      </c>
      <c r="C26" s="183" t="s">
        <v>553</v>
      </c>
      <c r="D26" s="187" t="s">
        <v>554</v>
      </c>
    </row>
    <row r="27" spans="2:4" x14ac:dyDescent="0.3">
      <c r="B27" s="181" t="s">
        <v>388</v>
      </c>
      <c r="C27" s="183" t="s">
        <v>555</v>
      </c>
      <c r="D27" s="187" t="s">
        <v>556</v>
      </c>
    </row>
    <row r="28" spans="2:4" x14ac:dyDescent="0.3">
      <c r="B28" s="181" t="s">
        <v>557</v>
      </c>
      <c r="C28" s="183" t="s">
        <v>558</v>
      </c>
      <c r="D28" s="187" t="s">
        <v>559</v>
      </c>
    </row>
    <row r="29" spans="2:4" x14ac:dyDescent="0.3">
      <c r="B29" s="181" t="s">
        <v>560</v>
      </c>
      <c r="C29" s="183" t="s">
        <v>561</v>
      </c>
      <c r="D29" s="187" t="s">
        <v>562</v>
      </c>
    </row>
    <row r="30" spans="2:4" x14ac:dyDescent="0.3">
      <c r="B30" s="181" t="s">
        <v>563</v>
      </c>
      <c r="C30" s="183" t="s">
        <v>564</v>
      </c>
      <c r="D30" s="187" t="s">
        <v>565</v>
      </c>
    </row>
    <row r="31" spans="2:4" x14ac:dyDescent="0.3">
      <c r="B31" s="181" t="s">
        <v>566</v>
      </c>
      <c r="C31" s="183" t="s">
        <v>567</v>
      </c>
      <c r="D31" s="187" t="s">
        <v>568</v>
      </c>
    </row>
    <row r="32" spans="2:4" x14ac:dyDescent="0.3">
      <c r="B32" s="181" t="s">
        <v>569</v>
      </c>
      <c r="C32" s="183" t="s">
        <v>570</v>
      </c>
      <c r="D32" s="187" t="s">
        <v>571</v>
      </c>
    </row>
    <row r="33" spans="2:4" x14ac:dyDescent="0.3">
      <c r="B33" s="181" t="s">
        <v>572</v>
      </c>
      <c r="C33" s="183" t="s">
        <v>573</v>
      </c>
      <c r="D33" s="187" t="s">
        <v>574</v>
      </c>
    </row>
    <row r="34" spans="2:4" x14ac:dyDescent="0.3">
      <c r="B34" s="181" t="s">
        <v>575</v>
      </c>
      <c r="C34" s="183" t="s">
        <v>576</v>
      </c>
      <c r="D34" s="187" t="s">
        <v>577</v>
      </c>
    </row>
    <row r="35" spans="2:4" x14ac:dyDescent="0.3">
      <c r="B35" s="181" t="s">
        <v>578</v>
      </c>
      <c r="C35" s="183" t="s">
        <v>579</v>
      </c>
      <c r="D35" s="187" t="s">
        <v>580</v>
      </c>
    </row>
    <row r="37" spans="2:4" ht="18" customHeight="1" x14ac:dyDescent="0.3">
      <c r="B37" s="7" t="s">
        <v>581</v>
      </c>
      <c r="C37" s="7"/>
      <c r="D37" s="7"/>
    </row>
    <row r="38" spans="2:4" x14ac:dyDescent="0.3">
      <c r="B38" s="24" t="s">
        <v>582</v>
      </c>
      <c r="C38" t="s">
        <v>583</v>
      </c>
    </row>
    <row r="39" spans="2:4" x14ac:dyDescent="0.3">
      <c r="B39" s="24" t="s">
        <v>584</v>
      </c>
      <c r="C39" t="s">
        <v>585</v>
      </c>
    </row>
    <row r="40" spans="2:4" x14ac:dyDescent="0.3">
      <c r="B40" s="24" t="s">
        <v>586</v>
      </c>
      <c r="C40" t="s">
        <v>587</v>
      </c>
    </row>
    <row r="41" spans="2:4" x14ac:dyDescent="0.3">
      <c r="B41" s="24" t="s">
        <v>588</v>
      </c>
      <c r="C41" t="s">
        <v>589</v>
      </c>
    </row>
    <row r="43" spans="2:4" ht="18" customHeight="1" x14ac:dyDescent="0.3">
      <c r="B43" s="7" t="s">
        <v>590</v>
      </c>
      <c r="C43" s="7"/>
      <c r="D43" s="7"/>
    </row>
    <row r="44" spans="2:4" x14ac:dyDescent="0.3">
      <c r="B44" s="24" t="s">
        <v>591</v>
      </c>
      <c r="C44" s="2" t="s">
        <v>592</v>
      </c>
    </row>
    <row r="45" spans="2:4" x14ac:dyDescent="0.3">
      <c r="B45" s="24" t="s">
        <v>593</v>
      </c>
      <c r="C45" s="2" t="s">
        <v>594</v>
      </c>
    </row>
    <row r="46" spans="2:4" x14ac:dyDescent="0.3">
      <c r="B46" s="24" t="s">
        <v>595</v>
      </c>
      <c r="C46" s="2" t="s">
        <v>596</v>
      </c>
    </row>
    <row r="47" spans="2:4" x14ac:dyDescent="0.3">
      <c r="B47" s="188">
        <v>0.01</v>
      </c>
      <c r="C47" s="2" t="s">
        <v>597</v>
      </c>
    </row>
    <row r="48" spans="2:4" x14ac:dyDescent="0.3">
      <c r="B48" s="138" t="s">
        <v>598</v>
      </c>
      <c r="C48" s="2" t="s">
        <v>599</v>
      </c>
    </row>
  </sheetData>
  <mergeCells count="1">
    <mergeCell ref="B6:D6"/>
  </mergeCells>
  <conditionalFormatting sqref="C10">
    <cfRule type="expression" dxfId="1" priority="1" stopIfTrue="1">
      <formula>COUNTIF(checks_status,"FAIL")=0</formula>
    </cfRule>
    <cfRule type="expression" dxfId="0" priority="2" stopIfTrue="1">
      <formula>COUNTIF(checks_status,"FAIL")&gt;0</formula>
    </cfRule>
  </conditionalFormatting>
  <hyperlinks>
    <hyperlink ref="B8" r:id="rId1" xr:uid="{12B2854A-F944-4E1F-B2C1-E0CF17CFF2AE}"/>
    <hyperlink ref="D10" location="'Checks'!A1" display="Open the checks →" xr:uid="{3683D235-0322-47BA-AC37-3863D77E5746}"/>
    <hyperlink ref="D13" location="'Plan'!A1" display="Plan →" xr:uid="{0499B914-D2ED-4A8E-966D-3C7981B166B7}"/>
    <hyperlink ref="D14" location="'Weather'!A1" display="Weather →" xr:uid="{7AC360E7-0D11-4062-8E72-7C235407446C}"/>
    <hyperlink ref="D15" location="'PVM'!A1" display="PVM →" xr:uid="{FA758704-F553-4009-9F2F-BB8734F4EA3C}"/>
    <hyperlink ref="D16" location="'Forecast'!A1" display="Forecast →" xr:uid="{EF3FFD3B-D148-49BE-BB36-E4A3F79D0F54}"/>
    <hyperlink ref="D17" location="'Peers'!A1" display="Peers →" xr:uid="{C8C999D4-11EC-4DB6-A220-04FB711FBD0B}"/>
    <hyperlink ref="B21" location="'Dashboard'!A1" display="Dashboard" xr:uid="{50EAD596-4794-44A1-B861-1376C2C6BD31}"/>
    <hyperlink ref="B22" location="'PnL'!A1" display="PnL" xr:uid="{8ED27209-C87E-4C10-9699-B5D272A64BF6}"/>
    <hyperlink ref="B23" location="'PVM'!A1" display="PVM" xr:uid="{5619C4A2-B900-4314-BEC9-428FE9CB6FCF}"/>
    <hyperlink ref="B24" location="'Monthly'!A1" display="Monthly" xr:uid="{ABE9F809-FEBB-4EEE-AC86-687A46953F4B}"/>
    <hyperlink ref="B25" location="'Weather'!A1" display="Weather" xr:uid="{FD3165A2-0C67-499C-9E1E-A6B88DAB18A1}"/>
    <hyperlink ref="B26" location="'Plan'!A1" display="Plan" xr:uid="{500BD376-0B25-4D5B-94CE-2B80876C0F5A}"/>
    <hyperlink ref="B27" location="'Forecast'!A1" display="Forecast" xr:uid="{DE4CCBCD-9137-48B8-819E-F01FAA5A6246}"/>
    <hyperlink ref="B28" location="'Scenarios'!A1" display="Scenarios" xr:uid="{7144191B-679A-4331-9695-DA0BCB21169A}"/>
    <hyperlink ref="B29" location="'Peers'!A1" display="Peers" xr:uid="{6BB440AC-61F5-4B16-988A-77926D8630A9}"/>
    <hyperlink ref="B30" location="'Explore'!A1" display="Explore" xr:uid="{43A67BBA-3959-4616-880C-60B8D3E1A965}"/>
    <hyperlink ref="B31" location="'Checks'!A1" display="Checks" xr:uid="{5CCE4614-C4CD-4F41-B3B8-4231169AC602}"/>
    <hyperlink ref="B32" location="'Assumptions'!A1" display="Assumptions" xr:uid="{C352C767-1613-47BF-B265-F7E51029AA6E}"/>
    <hyperlink ref="B33" location="'PQ_Monthly'!A1" display="PQ_Monthly" xr:uid="{EFE4595A-8D19-4EA9-A422-22440EB6128F}"/>
    <hyperlink ref="B34" location="'PQ_Weather'!A1" display="PQ_Weather" xr:uid="{D8079A7C-80AF-40D0-9A5B-BBC2EAF6EFFD}"/>
    <hyperlink ref="B35" location="'Data_EIA'!A1" display="Data_EIA" xr:uid="{E55FD489-D696-41C0-91F0-D0C445959FA2}"/>
  </hyperlinks>
  <printOptions horizontalCentered="1"/>
  <pageMargins left="0.35" right="0.35" top="0.44999999999999996" bottom="0.5" header="0.3" footer="0.2"/>
  <pageSetup scale="65" orientation="landscape" r:id="rId2"/>
  <headerFooter>
    <oddFooter>&amp;C&amp;8&amp;A&amp;L&amp;8Portland General Electric utility FP&amp;&amp;A model · public data (EIA, FERC via PUDL, NOAA)&amp;R&amp;8Page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8471E-19D7-4469-9BF4-B77C8F1B5E5D}">
  <sheetPr>
    <tabColor rgb="FF1F3A5F"/>
    <pageSetUpPr fitToPage="1"/>
  </sheetPr>
  <dimension ref="B1:S98"/>
  <sheetViews>
    <sheetView showGridLines="0" zoomScaleNormal="100" workbookViewId="0"/>
  </sheetViews>
  <sheetFormatPr defaultRowHeight="13" x14ac:dyDescent="0.3"/>
  <cols>
    <col min="1" max="1" width="2.69921875" customWidth="1"/>
    <col min="2" max="19" width="10.09765625" customWidth="1"/>
    <col min="20" max="20" width="2.69921875" customWidth="1"/>
  </cols>
  <sheetData>
    <row r="1" spans="2:19" ht="34" customHeight="1" x14ac:dyDescent="0.6">
      <c r="B1" s="148" t="str">
        <f>"Portland General Electric: "&amp;FiscalYear&amp;" retail revenue, plan and outlook"</f>
        <v>Portland General Electric: 2026 retail revenue, plan and outlook</v>
      </c>
    </row>
    <row r="2" spans="2:19" ht="18" customHeight="1" x14ac:dyDescent="0.3">
      <c r="B2" s="2" t="str">
        <f>"Actuals from EIA through "&amp;TEXT(AsOfMonth,"mmmm yyyy")&amp;" · FERC Form 1 through "&amp;FercYear&amp;" · weather: NOAA, Willamette Valley · scenario: "&amp;WeatherScenario&amp;" · "&amp;checks_summary</f>
        <v>Actuals from EIA through June 2026 · FERC Form 1 through 2025 · weather: NOAA, Willamette Valley · scenario: Normal · All 31 checks pass</v>
      </c>
    </row>
    <row r="3" spans="2:19" ht="8" customHeight="1" x14ac:dyDescent="0.3"/>
    <row r="4" spans="2:19" ht="18" customHeight="1" x14ac:dyDescent="0.3">
      <c r="B4" s="156" t="str">
        <f>UPPER("Retail revenue, "&amp;FiscalYear&amp;" outlook")</f>
        <v>RETAIL REVENUE, 2026 OUTLOOK</v>
      </c>
      <c r="C4" s="149"/>
      <c r="D4" s="149"/>
      <c r="E4" s="156" t="s">
        <v>507</v>
      </c>
      <c r="F4" s="149"/>
      <c r="G4" s="149"/>
      <c r="H4" s="156" t="s">
        <v>508</v>
      </c>
      <c r="I4" s="149"/>
      <c r="J4" s="149"/>
      <c r="K4" s="156" t="s">
        <v>509</v>
      </c>
      <c r="L4" s="149"/>
      <c r="M4" s="149"/>
      <c r="N4" s="156" t="s">
        <v>511</v>
      </c>
      <c r="O4" s="149"/>
      <c r="P4" s="149"/>
      <c r="Q4" s="156" t="str">
        <f>UPPER("Operating margin, FERC "&amp;FercYear)</f>
        <v>OPERATING MARGIN, FERC 2025</v>
      </c>
      <c r="R4" s="149"/>
      <c r="S4" s="150"/>
    </row>
    <row r="5" spans="2:19" ht="34" customHeight="1" x14ac:dyDescent="0.6">
      <c r="B5" s="157">
        <f>fy_revenue</f>
        <v>3007664836.8420153</v>
      </c>
      <c r="C5" s="152"/>
      <c r="D5" s="152"/>
      <c r="E5" s="160">
        <f>INDEX(plan_bridge_total,7)</f>
        <v>-100940977.37697244</v>
      </c>
      <c r="F5" s="152"/>
      <c r="G5" s="152"/>
      <c r="H5" s="163">
        <f>INDEX(weather_impact_total,11)/1000</f>
        <v>-211.51444568487037</v>
      </c>
      <c r="I5" s="152"/>
      <c r="J5" s="152"/>
      <c r="K5" s="165">
        <f>Monthly!I8</f>
        <v>0.12163368784720356</v>
      </c>
      <c r="L5" s="152"/>
      <c r="M5" s="152"/>
      <c r="N5" s="167">
        <f>Monthly!J10</f>
        <v>14.757259611952838</v>
      </c>
      <c r="O5" s="152"/>
      <c r="P5" s="152"/>
      <c r="Q5" s="168">
        <f>INDEX(pnl_op_margin,1,MATCH(FercYear,pnl_years,0))</f>
        <v>0.15287795659551495</v>
      </c>
      <c r="R5" s="152"/>
      <c r="S5" s="153"/>
    </row>
    <row r="6" spans="2:19" ht="17" customHeight="1" x14ac:dyDescent="0.3">
      <c r="B6" s="158">
        <f>Forecast!H75</f>
        <v>2.7144809471841124E-2</v>
      </c>
      <c r="C6" s="152"/>
      <c r="D6" s="152"/>
      <c r="E6" s="161">
        <f>INDEX(plan_bridge_total,8)</f>
        <v>-6.4256652938387199E-2</v>
      </c>
      <c r="F6" s="152"/>
      <c r="G6" s="152"/>
      <c r="H6" s="164">
        <f>INDEX(weather_impact_total,12)</f>
        <v>-38674234.707365632</v>
      </c>
      <c r="I6" s="152"/>
      <c r="J6" s="152"/>
      <c r="K6" s="166" t="s">
        <v>510</v>
      </c>
      <c r="L6" s="152"/>
      <c r="M6" s="152"/>
      <c r="N6" s="158">
        <f>Monthly!L10</f>
        <v>1.5430234108066161E-3</v>
      </c>
      <c r="O6" s="152"/>
      <c r="P6" s="152"/>
      <c r="Q6" s="169">
        <f>PnL!P33</f>
        <v>-1.9790371341429525E-2</v>
      </c>
      <c r="R6" s="152"/>
      <c r="S6" s="153"/>
    </row>
    <row r="7" spans="2:19" ht="26" customHeight="1" x14ac:dyDescent="0.3">
      <c r="B7" s="151"/>
      <c r="C7" s="152"/>
      <c r="D7" s="152"/>
      <c r="E7" s="162" t="str" cm="1">
        <f t="array" ref="E7">"weather "&amp;SIGNMONEY(INDEX(plan_bridge_total,3))&amp;" · price "&amp;SIGNMONEY(INDEX(plan_bridge_total,5))</f>
        <v>weather −$40.4M · price −$42.3M</v>
      </c>
      <c r="F7" s="152"/>
      <c r="G7" s="152"/>
      <c r="H7" s="151"/>
      <c r="I7" s="152"/>
      <c r="J7" s="152"/>
      <c r="K7" s="151"/>
      <c r="L7" s="152"/>
      <c r="M7" s="152"/>
      <c r="N7" s="151"/>
      <c r="O7" s="152"/>
      <c r="P7" s="152"/>
      <c r="Q7" s="151"/>
      <c r="R7" s="152"/>
      <c r="S7" s="153"/>
    </row>
    <row r="8" spans="2:19" ht="17" customHeight="1" x14ac:dyDescent="0.3">
      <c r="B8" s="159" t="str" cm="1">
        <f t="array" ref="B8">"plan "&amp;MONEY(Forecast!I75)&amp;" · "&amp;SIGNMONEY(Forecast!J75)</f>
        <v>plan $3.19B · −$184.2M</v>
      </c>
      <c r="C8" s="154"/>
      <c r="D8" s="154"/>
      <c r="E8" s="159" t="str">
        <f>"plan from data to Dec "&amp;(PlanYear-1)</f>
        <v>plan from data to Dec 2025</v>
      </c>
      <c r="F8" s="154"/>
      <c r="G8" s="154"/>
      <c r="H8" s="159" t="str" cm="1">
        <f t="array" ref="H8">"heating degree days "&amp;TEXT(SAFEDIV(INDEX(weather_impact_total,1),SUM(INDEX(normal_hdd,1,1):INDEX(normal_hdd,1,MonthsClosed))),"+0%;-0%")&amp;" vs normal"</f>
        <v>heating degree days -13% vs normal</v>
      </c>
      <c r="I8" s="154"/>
      <c r="J8" s="154"/>
      <c r="K8" s="159" t="str">
        <f>"plan assumed "&amp;TEXT(Plan!I11-1,"+0%;-0%")</f>
        <v>plan assumed +17%</v>
      </c>
      <c r="L8" s="154"/>
      <c r="M8" s="154"/>
      <c r="N8" s="159" t="str">
        <f>"classes "&amp;TEXT(MIN(Monthly!L6:L8),"+0.0%")&amp;" to "&amp;TEXT(MAX(Monthly!L6:L8),"+0.0%")</f>
        <v>classes +0.8% to +2.9%</v>
      </c>
      <c r="O8" s="154"/>
      <c r="P8" s="154"/>
      <c r="Q8" s="159" t="str">
        <f>"before income tax, since "&amp;BaseYear</f>
        <v>before income tax, since 2019</v>
      </c>
      <c r="R8" s="154"/>
      <c r="S8" s="155"/>
    </row>
    <row r="9" spans="2:19" ht="10" customHeight="1" x14ac:dyDescent="0.3"/>
    <row r="10" spans="2:19" ht="18" customHeight="1" x14ac:dyDescent="0.3">
      <c r="B10" s="7" t="s">
        <v>512</v>
      </c>
      <c r="C10" s="7"/>
      <c r="D10" s="7"/>
      <c r="E10" s="7"/>
      <c r="F10" s="7"/>
      <c r="G10" s="7"/>
      <c r="H10" s="7"/>
      <c r="I10" s="7"/>
      <c r="J10" s="7"/>
      <c r="K10" s="7"/>
      <c r="L10" s="7"/>
      <c r="M10" s="7"/>
      <c r="N10" s="7"/>
      <c r="O10" s="7"/>
      <c r="P10" s="7"/>
      <c r="Q10" s="7"/>
      <c r="R10" s="7"/>
      <c r="S10" s="7"/>
    </row>
    <row r="11" spans="2:19" ht="30" customHeight="1" x14ac:dyDescent="0.3">
      <c r="B11" s="172" t="str" cm="1">
        <f t="array" ref="B11">"Retail revenue for "&amp;TEXT(FYStart,"mmm")&amp;"–"&amp;TEXT(AsOfMonth,"mmm")&amp;" came in "&amp;MONEY(ABS(INDEX(plan_bridge_total,7)))&amp;" ("&amp;TEXT(ABS(INDEX(plan_bridge_total,8)),"0.0%")&amp;")"&amp;IF(INDEX(plan_bridge_total,7)&lt;0," under"," over")&amp;" plan: weather "&amp;SIGNMONEY(INDEX(plan_bridge_total,3))&amp;", price "&amp;SIGNMONEY(INDEX(plan_bridge_total,5))&amp;", usage "&amp;SIGNMONEY(INDEX(plan_bridge_total,4))&amp;", customers "&amp;SIGNMONEY(INDEX(plan_bridge_total,2))&amp;"."</f>
        <v>Retail revenue for Jan–Jun came in $100.9M (6.4%) under plan: weather −$40.4M, price −$42.3M, usage −$18.3M, customers +$79K.</v>
      </c>
      <c r="C11" s="171"/>
      <c r="D11" s="171"/>
      <c r="E11" s="171"/>
      <c r="F11" s="171"/>
      <c r="G11" s="171"/>
      <c r="H11" s="171"/>
      <c r="I11" s="171"/>
      <c r="J11" s="171"/>
      <c r="K11" s="171"/>
      <c r="L11" s="171"/>
      <c r="M11" s="171"/>
      <c r="N11" s="171"/>
      <c r="O11" s="171"/>
      <c r="P11" s="171"/>
      <c r="Q11" s="171"/>
      <c r="R11" s="171"/>
      <c r="S11" s="171"/>
    </row>
    <row r="12" spans="2:19" ht="30" customHeight="1" x14ac:dyDescent="0.3">
      <c r="B12" s="172" t="str" cm="1">
        <f t="array" ref="B12">_xlfn.LET(_xlpm.dev,SAFEDIV(INDEX(weather_impact_total,1),SUM(INDEX(normal_hdd,1,1):INDEX(normal_hdd,1,MonthsClosed))),"Heating degree days ran "&amp;TEXT(ABS(_xlpm.dev),"0%")&amp;IF(_xlpm.dev&lt;0," below"," above")&amp;" normal: "&amp;TEXT(ABS(INDEX(weather_impact_total,11))/1000,"#,##0")&amp;" GWh of load and "&amp;MONEY(ABS(INDEX(weather_impact_total,12)))&amp;" of revenue"&amp;IF(INDEX(weather_impact_total,12)&lt;0," lost"," gained")&amp;" to the thermostat, at actual prices.")</f>
        <v>Heating degree days ran 13% below normal: 212 GWh of load and $38.7M of revenue lost to the thermostat, at actual prices.</v>
      </c>
      <c r="C12" s="171"/>
      <c r="D12" s="171"/>
      <c r="E12" s="171"/>
      <c r="F12" s="171"/>
      <c r="G12" s="171"/>
      <c r="H12" s="171"/>
      <c r="I12" s="171"/>
      <c r="J12" s="171"/>
      <c r="K12" s="171"/>
      <c r="L12" s="171"/>
      <c r="M12" s="171"/>
      <c r="N12" s="171"/>
      <c r="O12" s="171"/>
      <c r="P12" s="171"/>
      <c r="Q12" s="171"/>
      <c r="R12" s="171"/>
      <c r="S12" s="171"/>
    </row>
    <row r="13" spans="2:19" ht="30" customHeight="1" x14ac:dyDescent="0.3">
      <c r="B13" s="172" t="str">
        <f>_xlfn.LET(_xlpm.p,Monthly!L6:L8,"Every class paid more per kWh ("&amp;TEXT(MIN(_xlpm.p),"+0.0%")&amp;" to "&amp;TEXT(MAX(_xlpm.p),"+0.0%")&amp;"), yet the average rose "&amp;TEXT(Monthly!L10,"+0.0%;-0.0%")&amp;": the growth is industrial load ("&amp;TEXT(Monthly!I8,"+0.0%")&amp;" MWh), billed at "&amp;TEXT(Monthly!J8,"0.0")&amp;"¢ against "&amp;TEXT(Monthly!J6,"0.0")&amp;"¢ residential.")</f>
        <v>Every class paid more per kWh (+0.8% to +2.9%), yet the average rose +0.2%: the growth is industrial load (+12.2% MWh), billed at 9.4¢ against 18.9¢ residential.</v>
      </c>
      <c r="C13" s="171"/>
      <c r="D13" s="171"/>
      <c r="E13" s="171"/>
      <c r="F13" s="171"/>
      <c r="G13" s="171"/>
      <c r="H13" s="171"/>
      <c r="I13" s="171"/>
      <c r="J13" s="171"/>
      <c r="K13" s="171"/>
      <c r="L13" s="171"/>
      <c r="M13" s="171"/>
      <c r="N13" s="171"/>
      <c r="O13" s="171"/>
      <c r="P13" s="171"/>
      <c r="Q13" s="171"/>
      <c r="R13" s="171"/>
      <c r="S13" s="171"/>
    </row>
    <row r="14" spans="2:19" ht="30" customHeight="1" x14ac:dyDescent="0.3">
      <c r="B14" s="172" t="str" cm="1">
        <f t="array" ref="B14">"Since "&amp;BaseYear&amp;", retail revenue is up "&amp;MONEY(PVM!N11)&amp;": price "&amp;SIGNMONEY(PVM!L11)&amp;", volume "&amp;SIGNMONEY(PVM!J11)&amp;", mix "&amp;SIGNMONEY(PVM!K11)&amp;". Power cost rose faster than revenue, and operating margin fell "&amp;TEXT(ABS(PnL!P33),"0.0%")&amp;" points."</f>
        <v>Since 2019, retail revenue is up $1.18B: price +$993.6M, volume +$275.4M, mix −$89.0M. Power cost rose faster than revenue, and operating margin fell 2.0% points.</v>
      </c>
      <c r="C14" s="171"/>
      <c r="D14" s="171"/>
      <c r="E14" s="171"/>
      <c r="F14" s="171"/>
      <c r="G14" s="171"/>
      <c r="H14" s="171"/>
      <c r="I14" s="171"/>
      <c r="J14" s="171"/>
      <c r="K14" s="171"/>
      <c r="L14" s="171"/>
      <c r="M14" s="171"/>
      <c r="N14" s="171"/>
      <c r="O14" s="171"/>
      <c r="P14" s="171"/>
      <c r="Q14" s="171"/>
      <c r="R14" s="171"/>
      <c r="S14" s="171"/>
    </row>
    <row r="15" spans="2:19" ht="30" customHeight="1" x14ac:dyDescent="0.3">
      <c r="B15" s="172" t="str" cm="1">
        <f t="array" ref="B15">"Full year "&amp;FiscalYear&amp;": "&amp;MONEY(fy_revenue)&amp;", "&amp;TEXT(Forecast!H75,"+0.0%;-0.0%")&amp;" on "&amp;(FiscalYear-1)&amp;IF(ISNUMBER(Forecast!J75),", "&amp;MONEY(ABS(Forecast!J75))&amp;IF(Forecast!J75&lt;0," under"," over")&amp;" plan","")&amp;". A point of rate on the open months is worth "&amp;MONEY(INDEX(tornado,1))&amp;"; 50 MW of new data-center load, "&amp;MONEY(INDEX(tornado,2))&amp;"."</f>
        <v>Full year 2026: $3.01B, +2.7% on 2025, $184.2M under plan. A point of rate on the open months is worth $15.4M; 50 MW of new data-center load, $21.1M.</v>
      </c>
      <c r="C15" s="171"/>
      <c r="D15" s="171"/>
      <c r="E15" s="171"/>
      <c r="F15" s="171"/>
      <c r="G15" s="171"/>
      <c r="H15" s="171"/>
      <c r="I15" s="171"/>
      <c r="J15" s="171"/>
      <c r="K15" s="171"/>
      <c r="L15" s="171"/>
      <c r="M15" s="171"/>
      <c r="N15" s="171"/>
      <c r="O15" s="171"/>
      <c r="P15" s="171"/>
      <c r="Q15" s="171"/>
      <c r="R15" s="171"/>
      <c r="S15" s="171"/>
    </row>
    <row r="16" spans="2:19" ht="8" customHeight="1" x14ac:dyDescent="0.3"/>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ht="15" customHeight="1" x14ac:dyDescent="0.3"/>
    <row r="32"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spans="2:19" ht="15" customHeight="1" x14ac:dyDescent="0.3"/>
    <row r="50" spans="2:19" ht="15" customHeight="1" x14ac:dyDescent="0.3"/>
    <row r="51" spans="2:19" ht="15" customHeight="1" x14ac:dyDescent="0.3"/>
    <row r="52" spans="2:19" ht="15" customHeight="1" x14ac:dyDescent="0.3"/>
    <row r="53" spans="2:19" ht="15" customHeight="1" x14ac:dyDescent="0.3"/>
    <row r="54" spans="2:19" ht="8" customHeight="1" x14ac:dyDescent="0.3"/>
    <row r="55" spans="2:19" ht="18" customHeight="1" x14ac:dyDescent="0.3">
      <c r="B55" s="7" t="str">
        <f>"Plan against actual by class, "&amp;TEXT(FYStart,"mmm")&amp;"–"&amp;TEXT(AsOfMonth,"mmm")</f>
        <v>Plan against actual by class, Jan–Jun</v>
      </c>
      <c r="C55" s="7"/>
      <c r="D55" s="7"/>
      <c r="E55" s="7"/>
      <c r="F55" s="7"/>
      <c r="G55" s="7"/>
      <c r="H55" s="7"/>
      <c r="I55" s="7"/>
      <c r="J55" s="7"/>
      <c r="K55" s="7" t="str">
        <f>"Full-year outlook by class, "&amp;FiscalYear</f>
        <v>Full-year outlook by class, 2026</v>
      </c>
      <c r="L55" s="7"/>
      <c r="M55" s="7"/>
      <c r="N55" s="7"/>
      <c r="O55" s="7"/>
      <c r="P55" s="7"/>
      <c r="Q55" s="7"/>
      <c r="R55" s="7"/>
      <c r="S55" s="7"/>
    </row>
    <row r="56" spans="2:19" x14ac:dyDescent="0.3">
      <c r="B56" s="174" t="s">
        <v>208</v>
      </c>
      <c r="C56" s="174"/>
      <c r="D56" s="174"/>
      <c r="E56" s="175" t="s">
        <v>359</v>
      </c>
      <c r="F56" s="174"/>
      <c r="G56" s="175" t="s">
        <v>360</v>
      </c>
      <c r="H56" s="174"/>
      <c r="I56" s="175" t="s">
        <v>514</v>
      </c>
      <c r="J56" s="175" t="s">
        <v>362</v>
      </c>
      <c r="K56" s="174" t="s">
        <v>208</v>
      </c>
      <c r="L56" s="174"/>
      <c r="M56" s="175" t="s">
        <v>387</v>
      </c>
      <c r="N56" s="174"/>
      <c r="O56" s="175" t="s">
        <v>388</v>
      </c>
      <c r="P56" s="174"/>
      <c r="Q56" s="175" t="s">
        <v>389</v>
      </c>
      <c r="R56" s="174"/>
      <c r="S56" s="175" t="s">
        <v>390</v>
      </c>
    </row>
    <row r="57" spans="2:19" x14ac:dyDescent="0.3">
      <c r="B57" t="str">
        <f>Plan!B80</f>
        <v>Residential</v>
      </c>
      <c r="E57" s="117">
        <f>Plan!D80</f>
        <v>761249286.89959991</v>
      </c>
      <c r="F57" s="117"/>
      <c r="G57" s="117">
        <f>Plan!I80</f>
        <v>695144762</v>
      </c>
      <c r="I57" s="173">
        <f>Plan!J80</f>
        <v>-66104524.89959991</v>
      </c>
      <c r="J57" s="39">
        <f>Plan!K80</f>
        <v>-8.683689566243015E-2</v>
      </c>
      <c r="K57" t="str">
        <f>Forecast!B71</f>
        <v>Residential</v>
      </c>
      <c r="M57" s="117">
        <f>Forecast!D71</f>
        <v>695144762</v>
      </c>
      <c r="N57" s="117"/>
      <c r="O57" s="117">
        <f>Forecast!E71</f>
        <v>719442833.07789564</v>
      </c>
      <c r="P57" s="117"/>
      <c r="Q57" s="117">
        <f>Forecast!F71</f>
        <v>1414587595.0778956</v>
      </c>
      <c r="S57" s="39">
        <f>Forecast!H71</f>
        <v>-9.1738536271430138E-3</v>
      </c>
    </row>
    <row r="58" spans="2:19" x14ac:dyDescent="0.3">
      <c r="B58" t="str">
        <f>Plan!B81</f>
        <v>Commercial</v>
      </c>
      <c r="E58" s="117">
        <f>Plan!D81</f>
        <v>488586643.03767747</v>
      </c>
      <c r="F58" s="117"/>
      <c r="G58" s="117">
        <f>Plan!I81</f>
        <v>474305106</v>
      </c>
      <c r="I58" s="173">
        <f>Plan!J81</f>
        <v>-14281537.037677467</v>
      </c>
      <c r="J58" s="39">
        <f>Plan!K81</f>
        <v>-2.9230305906205754E-2</v>
      </c>
      <c r="K58" t="str">
        <f>Forecast!B72</f>
        <v>Commercial</v>
      </c>
      <c r="M58" s="117">
        <f>Forecast!D72</f>
        <v>474305106</v>
      </c>
      <c r="N58" s="117"/>
      <c r="O58" s="117">
        <f>Forecast!E72</f>
        <v>480630871.67698056</v>
      </c>
      <c r="P58" s="117"/>
      <c r="Q58" s="117">
        <f>Forecast!F72</f>
        <v>954935977.6769805</v>
      </c>
      <c r="S58" s="39">
        <f>Forecast!H72</f>
        <v>1.0327588834907041E-2</v>
      </c>
    </row>
    <row r="59" spans="2:19" x14ac:dyDescent="0.3">
      <c r="B59" t="str">
        <f>Plan!B82</f>
        <v>Industrial</v>
      </c>
      <c r="E59" s="117">
        <f>Plan!D82</f>
        <v>320238679.1656611</v>
      </c>
      <c r="F59" s="117"/>
      <c r="G59" s="117">
        <f>Plan!I82</f>
        <v>299820792</v>
      </c>
      <c r="I59" s="173">
        <f>Plan!J82</f>
        <v>-20417887.165661097</v>
      </c>
      <c r="J59" s="39">
        <f>Plan!K82</f>
        <v>-6.3758341805734281E-2</v>
      </c>
      <c r="K59" t="str">
        <f>Forecast!B73</f>
        <v>Industrial</v>
      </c>
      <c r="M59" s="117">
        <f>Forecast!D73</f>
        <v>299820792</v>
      </c>
      <c r="N59" s="117"/>
      <c r="O59" s="117">
        <f>Forecast!E73</f>
        <v>336990068.1648429</v>
      </c>
      <c r="P59" s="117"/>
      <c r="Q59" s="117">
        <f>Forecast!F73</f>
        <v>636810860.16484284</v>
      </c>
      <c r="S59" s="39">
        <f>Forecast!H73</f>
        <v>0.14964436618883903</v>
      </c>
    </row>
    <row r="60" spans="2:19" x14ac:dyDescent="0.3">
      <c r="B60" t="str">
        <f>Plan!B83</f>
        <v>Transportation</v>
      </c>
      <c r="E60" s="117">
        <f>Plan!D83</f>
        <v>828523.27403408941</v>
      </c>
      <c r="F60" s="117"/>
      <c r="G60" s="117">
        <f>Plan!I83</f>
        <v>691495</v>
      </c>
      <c r="I60" s="173">
        <f>Plan!J83</f>
        <v>-137028.27403408941</v>
      </c>
      <c r="J60" s="39">
        <f>Plan!K83</f>
        <v>-0.16538856339773916</v>
      </c>
      <c r="K60" t="str">
        <f>Forecast!B74</f>
        <v>Transportation</v>
      </c>
      <c r="M60" s="117">
        <f>Forecast!D74</f>
        <v>691495</v>
      </c>
      <c r="N60" s="117"/>
      <c r="O60" s="117">
        <f>Forecast!E74</f>
        <v>638908.92229631334</v>
      </c>
      <c r="P60" s="117"/>
      <c r="Q60" s="117">
        <f>Forecast!F74</f>
        <v>1330403.9222963133</v>
      </c>
      <c r="S60" s="39">
        <f>Forecast!H74</f>
        <v>-5.0055499689531477E-2</v>
      </c>
    </row>
    <row r="61" spans="2:19" x14ac:dyDescent="0.3">
      <c r="B61" s="24" t="str">
        <f>Plan!B84</f>
        <v>All classes</v>
      </c>
      <c r="C61" s="24"/>
      <c r="D61" s="24"/>
      <c r="E61" s="176">
        <f>Plan!D84</f>
        <v>1570903132.3769724</v>
      </c>
      <c r="F61" s="176"/>
      <c r="G61" s="176">
        <f>Plan!I84</f>
        <v>1469962155</v>
      </c>
      <c r="H61" s="24"/>
      <c r="I61" s="177">
        <f>Plan!J84</f>
        <v>-100940977.37697244</v>
      </c>
      <c r="J61" s="41">
        <f>Plan!K84</f>
        <v>-6.4256652938387199E-2</v>
      </c>
      <c r="K61" s="24" t="str">
        <f>Forecast!B75</f>
        <v>All classes</v>
      </c>
      <c r="L61" s="24"/>
      <c r="M61" s="176">
        <f>Forecast!D75</f>
        <v>1469962155</v>
      </c>
      <c r="N61" s="176"/>
      <c r="O61" s="176">
        <f>Forecast!E75</f>
        <v>1537702681.8420153</v>
      </c>
      <c r="P61" s="176"/>
      <c r="Q61" s="176">
        <f>Forecast!F75</f>
        <v>3007664836.8420153</v>
      </c>
      <c r="R61" s="24"/>
      <c r="S61" s="41">
        <f>Forecast!H75</f>
        <v>2.7144809471841124E-2</v>
      </c>
    </row>
    <row r="62" spans="2:19" x14ac:dyDescent="0.3">
      <c r="B62" s="59" t="s">
        <v>515</v>
      </c>
    </row>
    <row r="68" spans="2:6" x14ac:dyDescent="0.3">
      <c r="B68" s="47" t="s">
        <v>513</v>
      </c>
    </row>
    <row r="71" spans="2:6" x14ac:dyDescent="0.3">
      <c r="B71" t="s">
        <v>299</v>
      </c>
      <c r="C71" t="s">
        <v>360</v>
      </c>
      <c r="D71" t="s">
        <v>388</v>
      </c>
      <c r="E71" t="s">
        <v>359</v>
      </c>
      <c r="F71" t="s">
        <v>280</v>
      </c>
    </row>
    <row r="72" spans="2:6" x14ac:dyDescent="0.3">
      <c r="B72" t="str">
        <f>TEXT(Forecast!B80,"mmm")</f>
        <v>Jan</v>
      </c>
      <c r="C72" s="54">
        <f>Forecast!C80</f>
        <v>271495430</v>
      </c>
      <c r="D72" s="54" t="str">
        <f>Forecast!D80</f>
        <v/>
      </c>
      <c r="E72" s="54">
        <f>Forecast!E80</f>
        <v>283013384.4544363</v>
      </c>
      <c r="F72" s="54">
        <f>Forecast!F80</f>
        <v>280461721</v>
      </c>
    </row>
    <row r="73" spans="2:6" x14ac:dyDescent="0.3">
      <c r="B73" t="str">
        <f>TEXT(Forecast!B81,"mmm")</f>
        <v>Feb</v>
      </c>
      <c r="C73" s="54">
        <f>Forecast!C81</f>
        <v>236446919</v>
      </c>
      <c r="D73" s="54" t="str">
        <f>Forecast!D81</f>
        <v/>
      </c>
      <c r="E73" s="54">
        <f>Forecast!E81</f>
        <v>278331997.90309078</v>
      </c>
      <c r="F73" s="54">
        <f>Forecast!F81</f>
        <v>252288295</v>
      </c>
    </row>
    <row r="74" spans="2:6" x14ac:dyDescent="0.3">
      <c r="B74" t="str">
        <f>TEXT(Forecast!B82,"mmm")</f>
        <v>Mar</v>
      </c>
      <c r="C74" s="54">
        <f>Forecast!C82</f>
        <v>241516825</v>
      </c>
      <c r="D74" s="54" t="str">
        <f>Forecast!D82</f>
        <v/>
      </c>
      <c r="E74" s="54">
        <f>Forecast!E82</f>
        <v>278534819.09507304</v>
      </c>
      <c r="F74" s="54">
        <f>Forecast!F82</f>
        <v>247602397</v>
      </c>
    </row>
    <row r="75" spans="2:6" x14ac:dyDescent="0.3">
      <c r="B75" t="str">
        <f>TEXT(Forecast!B83,"mmm")</f>
        <v>Apr</v>
      </c>
      <c r="C75" s="54">
        <f>Forecast!C83</f>
        <v>233585146</v>
      </c>
      <c r="D75" s="54" t="str">
        <f>Forecast!D83</f>
        <v/>
      </c>
      <c r="E75" s="54">
        <f>Forecast!E83</f>
        <v>258377317.47637573</v>
      </c>
      <c r="F75" s="54">
        <f>Forecast!F83</f>
        <v>217637842</v>
      </c>
    </row>
    <row r="76" spans="2:6" x14ac:dyDescent="0.3">
      <c r="B76" t="str">
        <f>TEXT(Forecast!B84,"mmm")</f>
        <v>May</v>
      </c>
      <c r="C76" s="54">
        <f>Forecast!C84</f>
        <v>239271154</v>
      </c>
      <c r="D76" s="54" t="str">
        <f>Forecast!D84</f>
        <v/>
      </c>
      <c r="E76" s="54">
        <f>Forecast!E84</f>
        <v>241140122.72129312</v>
      </c>
      <c r="F76" s="54">
        <f>Forecast!F84</f>
        <v>216290531</v>
      </c>
    </row>
    <row r="77" spans="2:6" x14ac:dyDescent="0.3">
      <c r="B77" t="str">
        <f>TEXT(Forecast!B85,"mmm")</f>
        <v>Jun</v>
      </c>
      <c r="C77" s="54">
        <f>Forecast!C85</f>
        <v>247646681</v>
      </c>
      <c r="D77" s="54" t="str">
        <f>Forecast!D85</f>
        <v/>
      </c>
      <c r="E77" s="54">
        <f>Forecast!E85</f>
        <v>231505490.72670346</v>
      </c>
      <c r="F77" s="54">
        <f>Forecast!F85</f>
        <v>228083828</v>
      </c>
    </row>
    <row r="78" spans="2:6" x14ac:dyDescent="0.3">
      <c r="B78" t="str">
        <f>TEXT(Forecast!B86,"mmm")</f>
        <v>Jul</v>
      </c>
      <c r="C78" s="54" t="str">
        <f>Forecast!C86</f>
        <v/>
      </c>
      <c r="D78" s="54">
        <f>Forecast!D86</f>
        <v>249765756.93287402</v>
      </c>
      <c r="E78" s="54">
        <f>Forecast!E86</f>
        <v>271905951.22630715</v>
      </c>
      <c r="F78" s="54">
        <f>Forecast!F86</f>
        <v>260233530</v>
      </c>
    </row>
    <row r="79" spans="2:6" x14ac:dyDescent="0.3">
      <c r="B79" t="str">
        <f>TEXT(Forecast!B87,"mmm")</f>
        <v>Aug</v>
      </c>
      <c r="C79" s="54" t="str">
        <f>Forecast!C87</f>
        <v/>
      </c>
      <c r="D79" s="54">
        <f>Forecast!D87</f>
        <v>261871304.79094505</v>
      </c>
      <c r="E79" s="54">
        <f>Forecast!E87</f>
        <v>282850946.04563272</v>
      </c>
      <c r="F79" s="54">
        <f>Forecast!F87</f>
        <v>268274378</v>
      </c>
    </row>
    <row r="80" spans="2:6" x14ac:dyDescent="0.3">
      <c r="B80" t="str">
        <f>TEXT(Forecast!B88,"mmm")</f>
        <v>Sep</v>
      </c>
      <c r="C80" s="54" t="str">
        <f>Forecast!C88</f>
        <v/>
      </c>
      <c r="D80" s="54">
        <f>Forecast!D88</f>
        <v>233295188.66523248</v>
      </c>
      <c r="E80" s="54">
        <f>Forecast!E88</f>
        <v>242720940.82044315</v>
      </c>
      <c r="F80" s="54">
        <f>Forecast!F88</f>
        <v>230382555</v>
      </c>
    </row>
    <row r="81" spans="2:6" x14ac:dyDescent="0.3">
      <c r="B81" t="str">
        <f>TEXT(Forecast!B89,"mmm")</f>
        <v>Oct</v>
      </c>
      <c r="C81" s="54" t="str">
        <f>Forecast!C89</f>
        <v/>
      </c>
      <c r="D81" s="54">
        <f>Forecast!D89</f>
        <v>242431371.7977902</v>
      </c>
      <c r="E81" s="54">
        <f>Forecast!E89</f>
        <v>252029999.89322755</v>
      </c>
      <c r="F81" s="54">
        <f>Forecast!F89</f>
        <v>226390278</v>
      </c>
    </row>
    <row r="82" spans="2:6" x14ac:dyDescent="0.3">
      <c r="B82" t="str">
        <f>TEXT(Forecast!B90,"mmm")</f>
        <v>Nov</v>
      </c>
      <c r="C82" s="54" t="str">
        <f>Forecast!C90</f>
        <v/>
      </c>
      <c r="D82" s="54">
        <f>Forecast!D90</f>
        <v>266289804.2440725</v>
      </c>
      <c r="E82" s="54">
        <f>Forecast!E90</f>
        <v>276514241.51783502</v>
      </c>
      <c r="F82" s="54">
        <f>Forecast!F90</f>
        <v>236444019</v>
      </c>
    </row>
    <row r="83" spans="2:6" x14ac:dyDescent="0.3">
      <c r="B83" t="str">
        <f>TEXT(Forecast!B91,"mmm")</f>
        <v>Dec</v>
      </c>
      <c r="C83" s="54" t="str">
        <f>Forecast!C91</f>
        <v/>
      </c>
      <c r="D83" s="54">
        <f>Forecast!D91</f>
        <v>284049255.41110104</v>
      </c>
      <c r="E83" s="54">
        <f>Forecast!E91</f>
        <v>294983141.47881377</v>
      </c>
      <c r="F83" s="54">
        <f>Forecast!F91</f>
        <v>264090576</v>
      </c>
    </row>
    <row r="86" spans="2:6" x14ac:dyDescent="0.3">
      <c r="B86" t="str">
        <f>Plan!N79</f>
        <v>Plan 2026</v>
      </c>
      <c r="C86" s="103">
        <f>Plan!O79</f>
        <v>1570903132.3769724</v>
      </c>
    </row>
    <row r="87" spans="2:6" x14ac:dyDescent="0.3">
      <c r="B87" t="str">
        <f>Plan!N80</f>
        <v>Customers</v>
      </c>
      <c r="C87" s="103">
        <f>Plan!O80</f>
        <v>79021.506732932292</v>
      </c>
    </row>
    <row r="88" spans="2:6" x14ac:dyDescent="0.3">
      <c r="B88" t="str">
        <f>Plan!N81</f>
        <v>Weather</v>
      </c>
      <c r="C88" s="103">
        <f>Plan!O81</f>
        <v>-40425963.62772797</v>
      </c>
    </row>
    <row r="89" spans="2:6" x14ac:dyDescent="0.3">
      <c r="B89" t="str">
        <f>Plan!N82</f>
        <v>Usage</v>
      </c>
      <c r="C89" s="103">
        <f>Plan!O82</f>
        <v>-18307380.913961258</v>
      </c>
    </row>
    <row r="90" spans="2:6" x14ac:dyDescent="0.3">
      <c r="B90" t="str">
        <f>Plan!N83</f>
        <v>Price</v>
      </c>
      <c r="C90" s="103">
        <f>Plan!O83</f>
        <v>-42286654.342016183</v>
      </c>
    </row>
    <row r="91" spans="2:6" x14ac:dyDescent="0.3">
      <c r="B91" t="str">
        <f>Plan!N84</f>
        <v>Actual</v>
      </c>
      <c r="C91" s="103">
        <f>Plan!O84</f>
        <v>1469962155</v>
      </c>
    </row>
    <row r="94" spans="2:6" x14ac:dyDescent="0.3">
      <c r="B94" t="str">
        <f>PVM!B34</f>
        <v>2019 retail revenue</v>
      </c>
      <c r="C94" s="74">
        <f>PVM!C34</f>
        <v>1789303774</v>
      </c>
    </row>
    <row r="95" spans="2:6" x14ac:dyDescent="0.3">
      <c r="B95" t="str">
        <f>PVM!B35</f>
        <v>Volume</v>
      </c>
      <c r="C95" s="74">
        <f>PVM!C35</f>
        <v>275403222.09500438</v>
      </c>
    </row>
    <row r="96" spans="2:6" x14ac:dyDescent="0.3">
      <c r="B96" t="str">
        <f>PVM!B36</f>
        <v>Mix</v>
      </c>
      <c r="C96" s="74">
        <f>PVM!C36</f>
        <v>-88952655.662021682</v>
      </c>
    </row>
    <row r="97" spans="2:3" x14ac:dyDescent="0.3">
      <c r="B97" t="str">
        <f>PVM!B37</f>
        <v>Price</v>
      </c>
      <c r="C97" s="74">
        <f>PVM!C37</f>
        <v>993592279.5670172</v>
      </c>
    </row>
    <row r="98" spans="2:3" x14ac:dyDescent="0.3">
      <c r="B98" t="str">
        <f>PVM!B38</f>
        <v>2025 retail revenue</v>
      </c>
      <c r="C98" s="74">
        <f>PVM!C38</f>
        <v>2969346620</v>
      </c>
    </row>
  </sheetData>
  <mergeCells count="35">
    <mergeCell ref="B11:S11"/>
    <mergeCell ref="B12:S12"/>
    <mergeCell ref="B13:S13"/>
    <mergeCell ref="B14:S14"/>
    <mergeCell ref="B15:S15"/>
    <mergeCell ref="N4:P4"/>
    <mergeCell ref="N5:P5"/>
    <mergeCell ref="N6:P6"/>
    <mergeCell ref="N7:P7"/>
    <mergeCell ref="N8:P8"/>
    <mergeCell ref="Q4:S4"/>
    <mergeCell ref="Q5:S5"/>
    <mergeCell ref="Q6:S6"/>
    <mergeCell ref="Q7:S7"/>
    <mergeCell ref="Q8:S8"/>
    <mergeCell ref="H4:J4"/>
    <mergeCell ref="H5:J5"/>
    <mergeCell ref="H6:J6"/>
    <mergeCell ref="H7:J7"/>
    <mergeCell ref="H8:J8"/>
    <mergeCell ref="K4:M4"/>
    <mergeCell ref="K5:M5"/>
    <mergeCell ref="K6:M6"/>
    <mergeCell ref="K7:M7"/>
    <mergeCell ref="K8:M8"/>
    <mergeCell ref="B4:D4"/>
    <mergeCell ref="B5:D5"/>
    <mergeCell ref="B6:D6"/>
    <mergeCell ref="B7:D7"/>
    <mergeCell ref="B8:D8"/>
    <mergeCell ref="E4:G4"/>
    <mergeCell ref="E5:G5"/>
    <mergeCell ref="E6:G6"/>
    <mergeCell ref="E7:G7"/>
    <mergeCell ref="E8:G8"/>
  </mergeCells>
  <conditionalFormatting sqref="B6">
    <cfRule type="cellIs" dxfId="15" priority="1" stopIfTrue="1" operator="greaterThan">
      <formula>0</formula>
    </cfRule>
    <cfRule type="cellIs" dxfId="14" priority="2" stopIfTrue="1" operator="lessThan">
      <formula>0</formula>
    </cfRule>
  </conditionalFormatting>
  <conditionalFormatting sqref="E6">
    <cfRule type="cellIs" dxfId="13" priority="3" stopIfTrue="1" operator="greaterThan">
      <formula>0</formula>
    </cfRule>
    <cfRule type="cellIs" dxfId="12" priority="4" stopIfTrue="1" operator="lessThan">
      <formula>0</formula>
    </cfRule>
  </conditionalFormatting>
  <conditionalFormatting sqref="H6">
    <cfRule type="cellIs" dxfId="11" priority="5" stopIfTrue="1" operator="greaterThan">
      <formula>0</formula>
    </cfRule>
    <cfRule type="cellIs" dxfId="10" priority="6" stopIfTrue="1" operator="lessThan">
      <formula>0</formula>
    </cfRule>
  </conditionalFormatting>
  <conditionalFormatting sqref="N6">
    <cfRule type="cellIs" dxfId="9" priority="7" stopIfTrue="1" operator="greaterThan">
      <formula>0</formula>
    </cfRule>
    <cfRule type="cellIs" dxfId="8" priority="8" stopIfTrue="1" operator="lessThan">
      <formula>0</formula>
    </cfRule>
  </conditionalFormatting>
  <conditionalFormatting sqref="Q6">
    <cfRule type="cellIs" dxfId="7" priority="9" stopIfTrue="1" operator="greaterThan">
      <formula>0</formula>
    </cfRule>
    <cfRule type="cellIs" dxfId="6" priority="10" stopIfTrue="1" operator="lessThan">
      <formula>0</formula>
    </cfRule>
  </conditionalFormatting>
  <conditionalFormatting sqref="I57:J61">
    <cfRule type="cellIs" dxfId="5" priority="11" stopIfTrue="1" operator="greaterThan">
      <formula>0</formula>
    </cfRule>
    <cfRule type="cellIs" dxfId="4" priority="12" stopIfTrue="1" operator="lessThan">
      <formula>0</formula>
    </cfRule>
  </conditionalFormatting>
  <conditionalFormatting sqref="S57:S61">
    <cfRule type="cellIs" dxfId="3" priority="13" stopIfTrue="1" operator="greaterThan">
      <formula>0</formula>
    </cfRule>
    <cfRule type="cellIs" dxfId="2" priority="14" stopIfTrue="1" operator="lessThan">
      <formula>0</formula>
    </cfRule>
  </conditionalFormatting>
  <printOptions horizontalCentered="1"/>
  <pageMargins left="0.35" right="0.35" top="0.44999999999999996" bottom="0.5" header="0.3" footer="0.2"/>
  <pageSetup scale="49" orientation="landscape" r:id="rId1"/>
  <headerFooter>
    <oddFooter>&amp;C&amp;8&amp;A&amp;L&amp;8Portland General Electric utility FP&amp;&amp;A model · public data (EIA, FERC via PUDL, NOAA)&amp;R&amp;8Page &amp;P of &amp;N</oddFooter>
  </headerFooter>
  <drawing r:id="rId2"/>
  <extLst>
    <ext xmlns:x14="http://schemas.microsoft.com/office/spreadsheetml/2009/9/main" uri="{05C60535-1F16-4fd2-B633-F4F36F0B64E0}">
      <x14:sparklineGroups xmlns:xm="http://schemas.microsoft.com/office/excel/2006/main">
        <x14:sparklineGroup lineWeight="1.5" displayEmptyCellsAs="gap" xr2:uid="{83C731C6-3762-4738-A0D4-401ED867F8EA}">
          <x14:colorSeries rgb="FF0F766E"/>
          <x14:colorNegative rgb="FFD00000"/>
          <x14:colorAxis rgb="FF000000"/>
          <x14:colorMarkers rgb="FFD00000"/>
          <x14:colorFirst rgb="FFD00000"/>
          <x14:colorLast rgb="FFD00000"/>
          <x14:colorHigh rgb="FFD00000"/>
          <x14:colorLow rgb="FFD00000"/>
          <x14:sparklines>
            <x14:sparkline>
              <xm:f>pnl_op_margin</xm:f>
              <xm:sqref>Q7</xm:sqref>
            </x14:sparkline>
          </x14:sparklines>
        </x14:sparklineGroup>
        <x14:sparklineGroup lineWeight="1.5" displayEmptyCellsAs="gap" xr2:uid="{2BF46D0B-BB92-4920-A008-208FBAAB1E40}">
          <x14:colorSeries rgb="FF0F766E"/>
          <x14:colorNegative rgb="FFD00000"/>
          <x14:colorAxis rgb="FF000000"/>
          <x14:colorMarkers rgb="FFD00000"/>
          <x14:colorFirst rgb="FFD00000"/>
          <x14:colorLast rgb="FFD00000"/>
          <x14:colorHigh rgb="FFD00000"/>
          <x14:colorLow rgb="FFD00000"/>
          <x14:sparklines>
            <x14:sparkline>
              <xm:f>pnl_industrial_mwh</xm:f>
              <xm:sqref>K7</xm:sqref>
            </x14:sparkline>
          </x14:sparklines>
        </x14:sparklineGroup>
        <x14:sparklineGroup lineWeight="1.5" displayEmptyCellsAs="gap" xr2:uid="{C0F22D68-AE20-4FAD-BFF8-AC8CB4A60329}">
          <x14:colorSeries rgb="FF0F766E"/>
          <x14:colorNegative rgb="FFD00000"/>
          <x14:colorAxis rgb="FF000000"/>
          <x14:colorMarkers rgb="FFD00000"/>
          <x14:colorFirst rgb="FFD00000"/>
          <x14:colorLast rgb="FFD00000"/>
          <x14:colorHigh rgb="FFD00000"/>
          <x14:colorLow rgb="FFD00000"/>
          <x14:sparklines>
            <x14:sparkline>
              <xm:f>Dashboard!C72:C83</xm:f>
              <xm:sqref>B7</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8EFB3-0454-4DCF-8D90-5656EC2FECDD}">
  <sheetPr>
    <tabColor rgb="FF0F766E"/>
    <pageSetUpPr fitToPage="1"/>
  </sheetPr>
  <dimension ref="B1:R45"/>
  <sheetViews>
    <sheetView showGridLines="0"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3" x14ac:dyDescent="0.3"/>
  <cols>
    <col min="1" max="1" width="2.69921875" customWidth="1"/>
    <col min="2" max="2" width="40.69921875" customWidth="1"/>
    <col min="3" max="3" width="24.69921875" customWidth="1"/>
    <col min="4" max="15" width="10.69921875" customWidth="1"/>
    <col min="16" max="16" width="13.69921875" customWidth="1"/>
    <col min="17" max="18" width="11.69921875" customWidth="1"/>
  </cols>
  <sheetData>
    <row r="1" spans="2:18" ht="30" customHeight="1" x14ac:dyDescent="0.55000000000000004">
      <c r="B1" s="1" t="s">
        <v>215</v>
      </c>
    </row>
    <row r="2" spans="2:18" ht="28" customHeight="1" x14ac:dyDescent="0.3">
      <c r="B2" s="32" t="s">
        <v>216</v>
      </c>
      <c r="C2" s="32"/>
      <c r="D2" s="32"/>
      <c r="E2" s="32"/>
      <c r="F2" s="32"/>
      <c r="G2" s="32"/>
      <c r="H2" s="32"/>
      <c r="I2" s="32"/>
      <c r="J2" s="32"/>
      <c r="K2" s="32"/>
      <c r="L2" s="32"/>
      <c r="M2" s="32"/>
      <c r="N2" s="32"/>
      <c r="O2" s="32"/>
      <c r="P2" s="32"/>
      <c r="Q2" s="32"/>
      <c r="R2" s="32"/>
    </row>
    <row r="4" spans="2:18" x14ac:dyDescent="0.3">
      <c r="B4" s="35" t="s">
        <v>217</v>
      </c>
      <c r="C4" s="35" t="s">
        <v>218</v>
      </c>
      <c r="D4" s="36">
        <f>FercYear-11</f>
        <v>2014</v>
      </c>
      <c r="E4" s="36">
        <f t="shared" ref="E4:O4" si="0">D4+1</f>
        <v>2015</v>
      </c>
      <c r="F4" s="36">
        <f t="shared" si="0"/>
        <v>2016</v>
      </c>
      <c r="G4" s="36">
        <f t="shared" si="0"/>
        <v>2017</v>
      </c>
      <c r="H4" s="36">
        <f t="shared" si="0"/>
        <v>2018</v>
      </c>
      <c r="I4" s="36">
        <f t="shared" si="0"/>
        <v>2019</v>
      </c>
      <c r="J4" s="36">
        <f t="shared" si="0"/>
        <v>2020</v>
      </c>
      <c r="K4" s="36">
        <f t="shared" si="0"/>
        <v>2021</v>
      </c>
      <c r="L4" s="36">
        <f t="shared" si="0"/>
        <v>2022</v>
      </c>
      <c r="M4" s="36">
        <f t="shared" si="0"/>
        <v>2023</v>
      </c>
      <c r="N4" s="36">
        <f t="shared" si="0"/>
        <v>2024</v>
      </c>
      <c r="O4" s="36">
        <f t="shared" si="0"/>
        <v>2025</v>
      </c>
      <c r="P4" s="37" t="str">
        <f>"CAGR "&amp;BaseYear&amp;"–"&amp;RIGHT(FercYear,2)</f>
        <v>CAGR 2019–25</v>
      </c>
      <c r="Q4" s="37" t="str">
        <f>"Δ vs "&amp;(FercYear-1)</f>
        <v>Δ vs 2024</v>
      </c>
      <c r="R4" s="37" t="s">
        <v>219</v>
      </c>
    </row>
    <row r="5" spans="2:18" ht="18" customHeight="1" x14ac:dyDescent="0.3">
      <c r="B5" s="7" t="s">
        <v>220</v>
      </c>
      <c r="C5" s="60"/>
      <c r="D5" s="7"/>
      <c r="E5" s="7"/>
      <c r="F5" s="7"/>
      <c r="G5" s="7"/>
      <c r="H5" s="7"/>
      <c r="I5" s="7"/>
      <c r="J5" s="7"/>
      <c r="K5" s="7"/>
      <c r="L5" s="7"/>
      <c r="M5" s="7"/>
      <c r="N5" s="7"/>
      <c r="O5" s="7"/>
      <c r="P5" s="7"/>
      <c r="Q5" s="7"/>
      <c r="R5" s="7"/>
    </row>
    <row r="6" spans="2:18" x14ac:dyDescent="0.3">
      <c r="B6" t="s">
        <v>221</v>
      </c>
      <c r="C6" s="61" t="s">
        <v>34</v>
      </c>
      <c r="D6" s="38">
        <f>SUMIFS(tbl_FERC_Revenue[dollar_value],tbl_FERC_Revenue[utility_id_ferc1],CompanyId,tbl_FERC_Revenue[report_year],D$4,tbl_FERC_Revenue[revenue_type],"residential_sales")</f>
        <v>848594155</v>
      </c>
      <c r="E6" s="38">
        <f>SUMIFS(tbl_FERC_Revenue[dollar_value],tbl_FERC_Revenue[utility_id_ferc1],CompanyId,tbl_FERC_Revenue[report_year],E$4,tbl_FERC_Revenue[revenue_type],"residential_sales")</f>
        <v>845906182</v>
      </c>
      <c r="F6" s="38">
        <f>SUMIFS(tbl_FERC_Revenue[dollar_value],tbl_FERC_Revenue[utility_id_ferc1],CompanyId,tbl_FERC_Revenue[report_year],F$4,tbl_FERC_Revenue[revenue_type],"residential_sales")</f>
        <v>837938465</v>
      </c>
      <c r="G6" s="38">
        <f>SUMIFS(tbl_FERC_Revenue[dollar_value],tbl_FERC_Revenue[utility_id_ferc1],CompanyId,tbl_FERC_Revenue[report_year],G$4,tbl_FERC_Revenue[revenue_type],"residential_sales")</f>
        <v>900171801</v>
      </c>
      <c r="H6" s="38">
        <f>SUMIFS(tbl_FERC_Revenue[dollar_value],tbl_FERC_Revenue[utility_id_ferc1],CompanyId,tbl_FERC_Revenue[report_year],H$4,tbl_FERC_Revenue[revenue_type],"residential_sales")</f>
        <v>890376597</v>
      </c>
      <c r="I6" s="38">
        <f>SUMIFS(tbl_FERC_Revenue[dollar_value],tbl_FERC_Revenue[utility_id_ferc1],CompanyId,tbl_FERC_Revenue[report_year],I$4,tbl_FERC_Revenue[revenue_type],"residential_sales")</f>
        <v>917792335</v>
      </c>
      <c r="J6" s="38">
        <f>SUMIFS(tbl_FERC_Revenue[dollar_value],tbl_FERC_Revenue[utility_id_ferc1],CompanyId,tbl_FERC_Revenue[report_year],J$4,tbl_FERC_Revenue[revenue_type],"residential_sales")</f>
        <v>969909454</v>
      </c>
      <c r="K6" s="38">
        <f>SUMIFS(tbl_FERC_Revenue[dollar_value],tbl_FERC_Revenue[utility_id_ferc1],CompanyId,tbl_FERC_Revenue[report_year],K$4,tbl_FERC_Revenue[revenue_type],"residential_sales")</f>
        <v>1056368675</v>
      </c>
      <c r="L6" s="38">
        <f>SUMIFS(tbl_FERC_Revenue[dollar_value],tbl_FERC_Revenue[utility_id_ferc1],CompanyId,tbl_FERC_Revenue[report_year],L$4,tbl_FERC_Revenue[revenue_type],"residential_sales")</f>
        <v>1103142961</v>
      </c>
      <c r="M6" s="38">
        <f>SUMIFS(tbl_FERC_Revenue[dollar_value],tbl_FERC_Revenue[utility_id_ferc1],CompanyId,tbl_FERC_Revenue[report_year],M$4,tbl_FERC_Revenue[revenue_type],"residential_sales")</f>
        <v>1208401408</v>
      </c>
      <c r="N6" s="38">
        <f>SUMIFS(tbl_FERC_Revenue[dollar_value],tbl_FERC_Revenue[utility_id_ferc1],CompanyId,tbl_FERC_Revenue[report_year],N$4,tbl_FERC_Revenue[revenue_type],"residential_sales")</f>
        <v>1406370635</v>
      </c>
      <c r="O6" s="38">
        <f>SUMIFS(tbl_FERC_Revenue[dollar_value],tbl_FERC_Revenue[utility_id_ferc1],CompanyId,tbl_FERC_Revenue[report_year],O$4,tbl_FERC_Revenue[revenue_type],"residential_sales")</f>
        <v>1427684968</v>
      </c>
      <c r="P6" s="39">
        <f>IFERROR((INDEX($D6:$O6,MATCH(FercYear,$D$4:$O$4,0))/INDEX($D6:$O6,MATCH(BaseYear,$D$4:$O$4,0)))^(1/(FercYear-BaseYear))-1,0)</f>
        <v>7.6418930142357677E-2</v>
      </c>
      <c r="Q6" s="40">
        <f>INDEX($D6:$O6,MATCH(FercYear,$D$4:$O$4,0))-INDEX($D6:$O6,MATCH(FercYear-1,$D$4:$O$4,0))</f>
        <v>21314333</v>
      </c>
      <c r="R6" s="39" cm="1">
        <f t="array" ref="R6">SAFEDIV(Q6,ABS(INDEX($D6:$O6,MATCH(FercYear-1,$D$4:$O$4,0))))</f>
        <v>1.515555890428557E-2</v>
      </c>
    </row>
    <row r="7" spans="2:18" x14ac:dyDescent="0.3">
      <c r="B7" t="s">
        <v>222</v>
      </c>
      <c r="C7" s="61" t="s">
        <v>39</v>
      </c>
      <c r="D7" s="38">
        <f>SUMIFS(tbl_FERC_Revenue[dollar_value],tbl_FERC_Revenue[utility_id_ferc1],CompanyId,tbl_FERC_Revenue[report_year],D$4,tbl_FERC_Revenue[revenue_type],"small_or_commercial")</f>
        <v>633949689</v>
      </c>
      <c r="E7" s="38">
        <f>SUMIFS(tbl_FERC_Revenue[dollar_value],tbl_FERC_Revenue[utility_id_ferc1],CompanyId,tbl_FERC_Revenue[report_year],E$4,tbl_FERC_Revenue[revenue_type],"small_or_commercial")</f>
        <v>646306478</v>
      </c>
      <c r="F7" s="38">
        <f>SUMIFS(tbl_FERC_Revenue[dollar_value],tbl_FERC_Revenue[utility_id_ferc1],CompanyId,tbl_FERC_Revenue[report_year],F$4,tbl_FERC_Revenue[revenue_type],"small_or_commercial")</f>
        <v>645487072</v>
      </c>
      <c r="G7" s="38">
        <f>SUMIFS(tbl_FERC_Revenue[dollar_value],tbl_FERC_Revenue[utility_id_ferc1],CompanyId,tbl_FERC_Revenue[report_year],G$4,tbl_FERC_Revenue[revenue_type],"small_or_commercial")</f>
        <v>650481084</v>
      </c>
      <c r="H7" s="38">
        <f>SUMIFS(tbl_FERC_Revenue[dollar_value],tbl_FERC_Revenue[utility_id_ferc1],CompanyId,tbl_FERC_Revenue[report_year],H$4,tbl_FERC_Revenue[revenue_type],"small_or_commercial")</f>
        <v>648540186</v>
      </c>
      <c r="I7" s="38">
        <f>SUMIFS(tbl_FERC_Revenue[dollar_value],tbl_FERC_Revenue[utility_id_ferc1],CompanyId,tbl_FERC_Revenue[report_year],I$4,tbl_FERC_Revenue[revenue_type],"small_or_commercial")</f>
        <v>638317031</v>
      </c>
      <c r="J7" s="38">
        <f>SUMIFS(tbl_FERC_Revenue[dollar_value],tbl_FERC_Revenue[utility_id_ferc1],CompanyId,tbl_FERC_Revenue[report_year],J$4,tbl_FERC_Revenue[revenue_type],"small_or_commercial")</f>
        <v>619175770</v>
      </c>
      <c r="K7" s="38">
        <f>SUMIFS(tbl_FERC_Revenue[dollar_value],tbl_FERC_Revenue[utility_id_ferc1],CompanyId,tbl_FERC_Revenue[report_year],K$4,tbl_FERC_Revenue[revenue_type],"small_or_commercial")</f>
        <v>691317312</v>
      </c>
      <c r="L7" s="38">
        <f>SUMIFS(tbl_FERC_Revenue[dollar_value],tbl_FERC_Revenue[utility_id_ferc1],CompanyId,tbl_FERC_Revenue[report_year],L$4,tbl_FERC_Revenue[revenue_type],"small_or_commercial")</f>
        <v>718662203</v>
      </c>
      <c r="M7" s="38">
        <f>SUMIFS(tbl_FERC_Revenue[dollar_value],tbl_FERC_Revenue[utility_id_ferc1],CompanyId,tbl_FERC_Revenue[report_year],M$4,tbl_FERC_Revenue[revenue_type],"small_or_commercial")</f>
        <v>790602966</v>
      </c>
      <c r="N7" s="38">
        <f>SUMIFS(tbl_FERC_Revenue[dollar_value],tbl_FERC_Revenue[utility_id_ferc1],CompanyId,tbl_FERC_Revenue[report_year],N$4,tbl_FERC_Revenue[revenue_type],"small_or_commercial")</f>
        <v>904898637</v>
      </c>
      <c r="O7" s="38">
        <f>SUMIFS(tbl_FERC_Revenue[dollar_value],tbl_FERC_Revenue[utility_id_ferc1],CompanyId,tbl_FERC_Revenue[report_year],O$4,tbl_FERC_Revenue[revenue_type],"small_or_commercial")</f>
        <v>966187754</v>
      </c>
      <c r="P7" s="39">
        <f>IFERROR((INDEX($D7:$O7,MATCH(FercYear,$D$4:$O$4,0))/INDEX($D7:$O7,MATCH(BaseYear,$D$4:$O$4,0)))^(1/(FercYear-BaseYear))-1,0)</f>
        <v>7.1529625302143796E-2</v>
      </c>
      <c r="Q7" s="40">
        <f>INDEX($D7:$O7,MATCH(FercYear,$D$4:$O$4,0))-INDEX($D7:$O7,MATCH(FercYear-1,$D$4:$O$4,0))</f>
        <v>61289117</v>
      </c>
      <c r="R7" s="39" cm="1">
        <f t="array" ref="R7">SAFEDIV(Q7,ABS(INDEX($D7:$O7,MATCH(FercYear-1,$D$4:$O$4,0))))</f>
        <v>6.7730367241121178E-2</v>
      </c>
    </row>
    <row r="8" spans="2:18" x14ac:dyDescent="0.3">
      <c r="B8" t="s">
        <v>223</v>
      </c>
      <c r="C8" s="61" t="s">
        <v>31</v>
      </c>
      <c r="D8" s="38">
        <f>SUMIFS(tbl_FERC_Revenue[dollar_value],tbl_FERC_Revenue[utility_id_ferc1],CompanyId,tbl_FERC_Revenue[report_year],D$4,tbl_FERC_Revenue[revenue_type],"large_or_industrial")</f>
        <v>221298764</v>
      </c>
      <c r="E8" s="38">
        <f>SUMIFS(tbl_FERC_Revenue[dollar_value],tbl_FERC_Revenue[utility_id_ferc1],CompanyId,tbl_FERC_Revenue[report_year],E$4,tbl_FERC_Revenue[revenue_type],"large_or_industrial")</f>
        <v>227985121</v>
      </c>
      <c r="F8" s="38">
        <f>SUMIFS(tbl_FERC_Revenue[dollar_value],tbl_FERC_Revenue[utility_id_ferc1],CompanyId,tbl_FERC_Revenue[report_year],F$4,tbl_FERC_Revenue[revenue_type],"large_or_industrial")</f>
        <v>207677973</v>
      </c>
      <c r="G8" s="38">
        <f>SUMIFS(tbl_FERC_Revenue[dollar_value],tbl_FERC_Revenue[utility_id_ferc1],CompanyId,tbl_FERC_Revenue[report_year],G$4,tbl_FERC_Revenue[revenue_type],"large_or_industrial")</f>
        <v>211588342</v>
      </c>
      <c r="H8" s="38">
        <f>SUMIFS(tbl_FERC_Revenue[dollar_value],tbl_FERC_Revenue[utility_id_ferc1],CompanyId,tbl_FERC_Revenue[report_year],H$4,tbl_FERC_Revenue[revenue_type],"large_or_industrial")</f>
        <v>209586172</v>
      </c>
      <c r="I8" s="38">
        <f>SUMIFS(tbl_FERC_Revenue[dollar_value],tbl_FERC_Revenue[utility_id_ferc1],CompanyId,tbl_FERC_Revenue[report_year],I$4,tbl_FERC_Revenue[revenue_type],"large_or_industrial")</f>
        <v>221934941</v>
      </c>
      <c r="J8" s="38">
        <f>SUMIFS(tbl_FERC_Revenue[dollar_value],tbl_FERC_Revenue[utility_id_ferc1],CompanyId,tbl_FERC_Revenue[report_year],J$4,tbl_FERC_Revenue[revenue_type],"large_or_industrial")</f>
        <v>246051284</v>
      </c>
      <c r="K8" s="38">
        <f>SUMIFS(tbl_FERC_Revenue[dollar_value],tbl_FERC_Revenue[utility_id_ferc1],CompanyId,tbl_FERC_Revenue[report_year],K$4,tbl_FERC_Revenue[revenue_type],"large_or_industrial")</f>
        <v>279876046</v>
      </c>
      <c r="L8" s="38">
        <f>SUMIFS(tbl_FERC_Revenue[dollar_value],tbl_FERC_Revenue[utility_id_ferc1],CompanyId,tbl_FERC_Revenue[report_year],L$4,tbl_FERC_Revenue[revenue_type],"large_or_industrial")</f>
        <v>311063785</v>
      </c>
      <c r="M8" s="38">
        <f>SUMIFS(tbl_FERC_Revenue[dollar_value],tbl_FERC_Revenue[utility_id_ferc1],CompanyId,tbl_FERC_Revenue[report_year],M$4,tbl_FERC_Revenue[revenue_type],"large_or_industrial")</f>
        <v>367911469</v>
      </c>
      <c r="N8" s="38">
        <f>SUMIFS(tbl_FERC_Revenue[dollar_value],tbl_FERC_Revenue[utility_id_ferc1],CompanyId,tbl_FERC_Revenue[report_year],N$4,tbl_FERC_Revenue[revenue_type],"large_or_industrial")</f>
        <v>457455750</v>
      </c>
      <c r="O8" s="38">
        <f>SUMIFS(tbl_FERC_Revenue[dollar_value],tbl_FERC_Revenue[utility_id_ferc1],CompanyId,tbl_FERC_Revenue[report_year],O$4,tbl_FERC_Revenue[revenue_type],"large_or_industrial")</f>
        <v>560496980</v>
      </c>
      <c r="P8" s="39">
        <f>IFERROR((INDEX($D8:$O8,MATCH(FercYear,$D$4:$O$4,0))/INDEX($D8:$O8,MATCH(BaseYear,$D$4:$O$4,0)))^(1/(FercYear-BaseYear))-1,0)</f>
        <v>0.16696527337048295</v>
      </c>
      <c r="Q8" s="40">
        <f>INDEX($D8:$O8,MATCH(FercYear,$D$4:$O$4,0))-INDEX($D8:$O8,MATCH(FercYear-1,$D$4:$O$4,0))</f>
        <v>103041230</v>
      </c>
      <c r="R8" s="39" cm="1">
        <f t="array" ref="R8">SAFEDIV(Q8,ABS(INDEX($D8:$O8,MATCH(FercYear-1,$D$4:$O$4,0))))</f>
        <v>0.2252485185725614</v>
      </c>
    </row>
    <row r="9" spans="2:18" x14ac:dyDescent="0.3">
      <c r="B9" t="s">
        <v>224</v>
      </c>
      <c r="C9" s="61" t="s">
        <v>33</v>
      </c>
      <c r="D9" s="38">
        <f>SUMIFS(tbl_FERC_Revenue[dollar_value],tbl_FERC_Revenue[utility_id_ferc1],CompanyId,tbl_FERC_Revenue[report_year],D$4,tbl_FERC_Revenue[revenue_type],"public_street_and_highway_lighting")</f>
        <v>17151203</v>
      </c>
      <c r="E9" s="38">
        <f>SUMIFS(tbl_FERC_Revenue[dollar_value],tbl_FERC_Revenue[utility_id_ferc1],CompanyId,tbl_FERC_Revenue[report_year],E$4,tbl_FERC_Revenue[revenue_type],"public_street_and_highway_lighting")</f>
        <v>15385088</v>
      </c>
      <c r="F9" s="38">
        <f>SUMIFS(tbl_FERC_Revenue[dollar_value],tbl_FERC_Revenue[utility_id_ferc1],CompanyId,tbl_FERC_Revenue[report_year],F$4,tbl_FERC_Revenue[revenue_type],"public_street_and_highway_lighting")</f>
        <v>12824132</v>
      </c>
      <c r="G9" s="38">
        <f>SUMIFS(tbl_FERC_Revenue[dollar_value],tbl_FERC_Revenue[utility_id_ferc1],CompanyId,tbl_FERC_Revenue[report_year],G$4,tbl_FERC_Revenue[revenue_type],"public_street_and_highway_lighting")</f>
        <v>11954183</v>
      </c>
      <c r="H9" s="38">
        <f>SUMIFS(tbl_FERC_Revenue[dollar_value],tbl_FERC_Revenue[utility_id_ferc1],CompanyId,tbl_FERC_Revenue[report_year],H$4,tbl_FERC_Revenue[revenue_type],"public_street_and_highway_lighting")</f>
        <v>11648005</v>
      </c>
      <c r="I9" s="38">
        <f>SUMIFS(tbl_FERC_Revenue[dollar_value],tbl_FERC_Revenue[utility_id_ferc1],CompanyId,tbl_FERC_Revenue[report_year],I$4,tbl_FERC_Revenue[revenue_type],"public_street_and_highway_lighting")</f>
        <v>11259467</v>
      </c>
      <c r="J9" s="38">
        <f>SUMIFS(tbl_FERC_Revenue[dollar_value],tbl_FERC_Revenue[utility_id_ferc1],CompanyId,tbl_FERC_Revenue[report_year],J$4,tbl_FERC_Revenue[revenue_type],"public_street_and_highway_lighting")</f>
        <v>10945945</v>
      </c>
      <c r="K9" s="38">
        <f>SUMIFS(tbl_FERC_Revenue[dollar_value],tbl_FERC_Revenue[utility_id_ferc1],CompanyId,tbl_FERC_Revenue[report_year],K$4,tbl_FERC_Revenue[revenue_type],"public_street_and_highway_lighting")</f>
        <v>11922891</v>
      </c>
      <c r="L9" s="38">
        <f>SUMIFS(tbl_FERC_Revenue[dollar_value],tbl_FERC_Revenue[utility_id_ferc1],CompanyId,tbl_FERC_Revenue[report_year],L$4,tbl_FERC_Revenue[revenue_type],"public_street_and_highway_lighting")</f>
        <v>12274623</v>
      </c>
      <c r="M9" s="38">
        <f>SUMIFS(tbl_FERC_Revenue[dollar_value],tbl_FERC_Revenue[utility_id_ferc1],CompanyId,tbl_FERC_Revenue[report_year],M$4,tbl_FERC_Revenue[revenue_type],"public_street_and_highway_lighting")</f>
        <v>13078454</v>
      </c>
      <c r="N9" s="38">
        <f>SUMIFS(tbl_FERC_Revenue[dollar_value],tbl_FERC_Revenue[utility_id_ferc1],CompanyId,tbl_FERC_Revenue[report_year],N$4,tbl_FERC_Revenue[revenue_type],"public_street_and_highway_lighting")</f>
        <v>14304206</v>
      </c>
      <c r="O9" s="38">
        <f>SUMIFS(tbl_FERC_Revenue[dollar_value],tbl_FERC_Revenue[utility_id_ferc1],CompanyId,tbl_FERC_Revenue[report_year],O$4,tbl_FERC_Revenue[revenue_type],"public_street_and_highway_lighting")</f>
        <v>14976918</v>
      </c>
      <c r="P9" s="39">
        <f>IFERROR((INDEX($D9:$O9,MATCH(FercYear,$D$4:$O$4,0))/INDEX($D9:$O9,MATCH(BaseYear,$D$4:$O$4,0)))^(1/(FercYear-BaseYear))-1,0)</f>
        <v>4.869879729815052E-2</v>
      </c>
      <c r="Q9" s="40">
        <f>INDEX($D9:$O9,MATCH(FercYear,$D$4:$O$4,0))-INDEX($D9:$O9,MATCH(FercYear-1,$D$4:$O$4,0))</f>
        <v>672712</v>
      </c>
      <c r="R9" s="39" cm="1">
        <f t="array" ref="R9">SAFEDIV(Q9,ABS(INDEX($D9:$O9,MATCH(FercYear-1,$D$4:$O$4,0))))</f>
        <v>4.7028964767425747E-2</v>
      </c>
    </row>
    <row r="10" spans="2:18" x14ac:dyDescent="0.3">
      <c r="B10" t="s">
        <v>225</v>
      </c>
      <c r="C10" s="61" t="s">
        <v>41</v>
      </c>
      <c r="D10" s="38">
        <f>SUMIFS(tbl_FERC_Revenue[dollar_value],tbl_FERC_Revenue[utility_id_ferc1],CompanyId,tbl_FERC_Revenue[report_year],D$4,tbl_FERC_Revenue[revenue_type],"other_sales_to_public_authorities")</f>
        <v>0</v>
      </c>
      <c r="E10" s="38">
        <f>SUMIFS(tbl_FERC_Revenue[dollar_value],tbl_FERC_Revenue[utility_id_ferc1],CompanyId,tbl_FERC_Revenue[report_year],E$4,tbl_FERC_Revenue[revenue_type],"other_sales_to_public_authorities")</f>
        <v>0</v>
      </c>
      <c r="F10" s="38">
        <f>SUMIFS(tbl_FERC_Revenue[dollar_value],tbl_FERC_Revenue[utility_id_ferc1],CompanyId,tbl_FERC_Revenue[report_year],F$4,tbl_FERC_Revenue[revenue_type],"other_sales_to_public_authorities")</f>
        <v>0</v>
      </c>
      <c r="G10" s="38">
        <f>SUMIFS(tbl_FERC_Revenue[dollar_value],tbl_FERC_Revenue[utility_id_ferc1],CompanyId,tbl_FERC_Revenue[report_year],G$4,tbl_FERC_Revenue[revenue_type],"other_sales_to_public_authorities")</f>
        <v>0</v>
      </c>
      <c r="H10" s="38">
        <f>SUMIFS(tbl_FERC_Revenue[dollar_value],tbl_FERC_Revenue[utility_id_ferc1],CompanyId,tbl_FERC_Revenue[report_year],H$4,tbl_FERC_Revenue[revenue_type],"other_sales_to_public_authorities")</f>
        <v>0</v>
      </c>
      <c r="I10" s="38">
        <f>SUMIFS(tbl_FERC_Revenue[dollar_value],tbl_FERC_Revenue[utility_id_ferc1],CompanyId,tbl_FERC_Revenue[report_year],I$4,tbl_FERC_Revenue[revenue_type],"other_sales_to_public_authorities")</f>
        <v>0</v>
      </c>
      <c r="J10" s="38">
        <f>SUMIFS(tbl_FERC_Revenue[dollar_value],tbl_FERC_Revenue[utility_id_ferc1],CompanyId,tbl_FERC_Revenue[report_year],J$4,tbl_FERC_Revenue[revenue_type],"other_sales_to_public_authorities")</f>
        <v>0</v>
      </c>
      <c r="K10" s="38">
        <f>SUMIFS(tbl_FERC_Revenue[dollar_value],tbl_FERC_Revenue[utility_id_ferc1],CompanyId,tbl_FERC_Revenue[report_year],K$4,tbl_FERC_Revenue[revenue_type],"other_sales_to_public_authorities")</f>
        <v>0</v>
      </c>
      <c r="L10" s="38">
        <f>SUMIFS(tbl_FERC_Revenue[dollar_value],tbl_FERC_Revenue[utility_id_ferc1],CompanyId,tbl_FERC_Revenue[report_year],L$4,tbl_FERC_Revenue[revenue_type],"other_sales_to_public_authorities")</f>
        <v>0</v>
      </c>
      <c r="M10" s="38">
        <f>SUMIFS(tbl_FERC_Revenue[dollar_value],tbl_FERC_Revenue[utility_id_ferc1],CompanyId,tbl_FERC_Revenue[report_year],M$4,tbl_FERC_Revenue[revenue_type],"other_sales_to_public_authorities")</f>
        <v>0</v>
      </c>
      <c r="N10" s="38">
        <f>SUMIFS(tbl_FERC_Revenue[dollar_value],tbl_FERC_Revenue[utility_id_ferc1],CompanyId,tbl_FERC_Revenue[report_year],N$4,tbl_FERC_Revenue[revenue_type],"other_sales_to_public_authorities")</f>
        <v>0</v>
      </c>
      <c r="O10" s="38">
        <f>SUMIFS(tbl_FERC_Revenue[dollar_value],tbl_FERC_Revenue[utility_id_ferc1],CompanyId,tbl_FERC_Revenue[report_year],O$4,tbl_FERC_Revenue[revenue_type],"other_sales_to_public_authorities")</f>
        <v>0</v>
      </c>
      <c r="P10" s="39">
        <f>IFERROR((INDEX($D10:$O10,MATCH(FercYear,$D$4:$O$4,0))/INDEX($D10:$O10,MATCH(BaseYear,$D$4:$O$4,0)))^(1/(FercYear-BaseYear))-1,0)</f>
        <v>0</v>
      </c>
      <c r="Q10" s="40">
        <f>INDEX($D10:$O10,MATCH(FercYear,$D$4:$O$4,0))-INDEX($D10:$O10,MATCH(FercYear-1,$D$4:$O$4,0))</f>
        <v>0</v>
      </c>
      <c r="R10" s="39" cm="1">
        <f t="array" ref="R10">SAFEDIV(Q10,ABS(INDEX($D10:$O10,MATCH(FercYear-1,$D$4:$O$4,0))))</f>
        <v>0</v>
      </c>
    </row>
    <row r="11" spans="2:18" x14ac:dyDescent="0.3">
      <c r="B11" s="42" t="s">
        <v>226</v>
      </c>
      <c r="C11" s="62"/>
      <c r="D11" s="43">
        <f t="shared" ref="D11:O11" si="1">SUM(D6:D10)</f>
        <v>1720993811</v>
      </c>
      <c r="E11" s="43">
        <f t="shared" si="1"/>
        <v>1735582869</v>
      </c>
      <c r="F11" s="43">
        <f t="shared" si="1"/>
        <v>1703927642</v>
      </c>
      <c r="G11" s="43">
        <f t="shared" si="1"/>
        <v>1774195410</v>
      </c>
      <c r="H11" s="43">
        <f t="shared" si="1"/>
        <v>1760150960</v>
      </c>
      <c r="I11" s="43">
        <f t="shared" si="1"/>
        <v>1789303774</v>
      </c>
      <c r="J11" s="43">
        <f t="shared" si="1"/>
        <v>1846082453</v>
      </c>
      <c r="K11" s="43">
        <f t="shared" si="1"/>
        <v>2039484924</v>
      </c>
      <c r="L11" s="43">
        <f t="shared" si="1"/>
        <v>2145143572</v>
      </c>
      <c r="M11" s="43">
        <f t="shared" si="1"/>
        <v>2379994297</v>
      </c>
      <c r="N11" s="43">
        <f t="shared" si="1"/>
        <v>2783029228</v>
      </c>
      <c r="O11" s="43">
        <f t="shared" si="1"/>
        <v>2969346620</v>
      </c>
      <c r="P11" s="44">
        <f>IFERROR((INDEX($D11:$O11,MATCH(FercYear,$D$4:$O$4,0))/INDEX($D11:$O11,MATCH(BaseYear,$D$4:$O$4,0)))^(1/(FercYear-BaseYear))-1,0)</f>
        <v>8.8084949573692617E-2</v>
      </c>
      <c r="Q11" s="45">
        <f>INDEX($D11:$O11,MATCH(FercYear,$D$4:$O$4,0))-INDEX($D11:$O11,MATCH(FercYear-1,$D$4:$O$4,0))</f>
        <v>186317392</v>
      </c>
      <c r="R11" s="44" cm="1">
        <f t="array" ref="R11">SAFEDIV(Q11,ABS(INDEX($D11:$O11,MATCH(FercYear-1,$D$4:$O$4,0))))</f>
        <v>6.6947695024351356E-2</v>
      </c>
    </row>
    <row r="12" spans="2:18" x14ac:dyDescent="0.3">
      <c r="B12" t="s">
        <v>227</v>
      </c>
      <c r="C12" s="61"/>
      <c r="D12" s="38">
        <f>SUMIFS(tbl_FERC_Revenue[dollar_value],tbl_FERC_Revenue[utility_id_ferc1],CompanyId,tbl_FERC_Revenue[report_year],D$4,tbl_FERC_Revenue[revenue_type],"sales_for_resale")</f>
        <v>130021814</v>
      </c>
      <c r="E12" s="38">
        <f>SUMIFS(tbl_FERC_Revenue[dollar_value],tbl_FERC_Revenue[utility_id_ferc1],CompanyId,tbl_FERC_Revenue[report_year],E$4,tbl_FERC_Revenue[revenue_type],"sales_for_resale")</f>
        <v>109756221</v>
      </c>
      <c r="F12" s="38">
        <f>SUMIFS(tbl_FERC_Revenue[dollar_value],tbl_FERC_Revenue[utility_id_ferc1],CompanyId,tbl_FERC_Revenue[report_year],F$4,tbl_FERC_Revenue[revenue_type],"sales_for_resale")</f>
        <v>123165759</v>
      </c>
      <c r="G12" s="38">
        <f>SUMIFS(tbl_FERC_Revenue[dollar_value],tbl_FERC_Revenue[utility_id_ferc1],CompanyId,tbl_FERC_Revenue[report_year],G$4,tbl_FERC_Revenue[revenue_type],"sales_for_resale")</f>
        <v>122591295</v>
      </c>
      <c r="H12" s="38">
        <f>SUMIFS(tbl_FERC_Revenue[dollar_value],tbl_FERC_Revenue[utility_id_ferc1],CompanyId,tbl_FERC_Revenue[report_year],H$4,tbl_FERC_Revenue[revenue_type],"sales_for_resale")</f>
        <v>177074310</v>
      </c>
      <c r="I12" s="38">
        <f>SUMIFS(tbl_FERC_Revenue[dollar_value],tbl_FERC_Revenue[utility_id_ferc1],CompanyId,tbl_FERC_Revenue[report_year],I$4,tbl_FERC_Revenue[revenue_type],"sales_for_resale")</f>
        <v>203335776</v>
      </c>
      <c r="J12" s="38">
        <f>SUMIFS(tbl_FERC_Revenue[dollar_value],tbl_FERC_Revenue[utility_id_ferc1],CompanyId,tbl_FERC_Revenue[report_year],J$4,tbl_FERC_Revenue[revenue_type],"sales_for_resale")</f>
        <v>184596850</v>
      </c>
      <c r="K12" s="38">
        <f>SUMIFS(tbl_FERC_Revenue[dollar_value],tbl_FERC_Revenue[utility_id_ferc1],CompanyId,tbl_FERC_Revenue[report_year],K$4,tbl_FERC_Revenue[revenue_type],"sales_for_resale")</f>
        <v>287282619</v>
      </c>
      <c r="L12" s="38">
        <f>SUMIFS(tbl_FERC_Revenue[dollar_value],tbl_FERC_Revenue[utility_id_ferc1],CompanyId,tbl_FERC_Revenue[report_year],L$4,tbl_FERC_Revenue[revenue_type],"sales_for_resale")</f>
        <v>431426146</v>
      </c>
      <c r="M12" s="38">
        <f>SUMIFS(tbl_FERC_Revenue[dollar_value],tbl_FERC_Revenue[utility_id_ferc1],CompanyId,tbl_FERC_Revenue[report_year],M$4,tbl_FERC_Revenue[revenue_type],"sales_for_resale")</f>
        <v>476723920</v>
      </c>
      <c r="N12" s="38">
        <f>SUMIFS(tbl_FERC_Revenue[dollar_value],tbl_FERC_Revenue[utility_id_ferc1],CompanyId,tbl_FERC_Revenue[report_year],N$4,tbl_FERC_Revenue[revenue_type],"sales_for_resale")</f>
        <v>588094149</v>
      </c>
      <c r="O12" s="38">
        <f>SUMIFS(tbl_FERC_Revenue[dollar_value],tbl_FERC_Revenue[utility_id_ferc1],CompanyId,tbl_FERC_Revenue[report_year],O$4,tbl_FERC_Revenue[revenue_type],"sales_for_resale")</f>
        <v>406261710</v>
      </c>
      <c r="P12" s="39">
        <f>IFERROR((INDEX($D12:$O12,MATCH(FercYear,$D$4:$O$4,0))/INDEX($D12:$O12,MATCH(BaseYear,$D$4:$O$4,0)))^(1/(FercYear-BaseYear))-1,0)</f>
        <v>0.12227343361446374</v>
      </c>
      <c r="Q12" s="40">
        <f>INDEX($D12:$O12,MATCH(FercYear,$D$4:$O$4,0))-INDEX($D12:$O12,MATCH(FercYear-1,$D$4:$O$4,0))</f>
        <v>-181832439</v>
      </c>
      <c r="R12" s="39" cm="1">
        <f t="array" ref="R12">SAFEDIV(Q12,ABS(INDEX($D12:$O12,MATCH(FercYear-1,$D$4:$O$4,0))))</f>
        <v>-0.30918933526067099</v>
      </c>
    </row>
    <row r="13" spans="2:18" x14ac:dyDescent="0.3">
      <c r="B13" t="s">
        <v>228</v>
      </c>
      <c r="C13" s="61"/>
      <c r="D13" s="38">
        <f>-SUMIFS(tbl_FERC_Revenue[dollar_value],tbl_FERC_Revenue[utility_id_ferc1],CompanyId,tbl_FERC_Revenue[report_year],D$4,tbl_FERC_Revenue[revenue_type],"provision_for_rate_refunds")</f>
        <v>-3398715</v>
      </c>
      <c r="E13" s="38">
        <f>-SUMIFS(tbl_FERC_Revenue[dollar_value],tbl_FERC_Revenue[utility_id_ferc1],CompanyId,tbl_FERC_Revenue[report_year],E$4,tbl_FERC_Revenue[revenue_type],"provision_for_rate_refunds")</f>
        <v>1197209</v>
      </c>
      <c r="F13" s="38">
        <f>-SUMIFS(tbl_FERC_Revenue[dollar_value],tbl_FERC_Revenue[utility_id_ferc1],CompanyId,tbl_FERC_Revenue[report_year],F$4,tbl_FERC_Revenue[revenue_type],"provision_for_rate_refunds")</f>
        <v>7913648</v>
      </c>
      <c r="G13" s="38">
        <f>-SUMIFS(tbl_FERC_Revenue[dollar_value],tbl_FERC_Revenue[utility_id_ferc1],CompanyId,tbl_FERC_Revenue[report_year],G$4,tbl_FERC_Revenue[revenue_type],"provision_for_rate_refunds")</f>
        <v>10337496</v>
      </c>
      <c r="H13" s="38">
        <f>-SUMIFS(tbl_FERC_Revenue[dollar_value],tbl_FERC_Revenue[utility_id_ferc1],CompanyId,tbl_FERC_Revenue[report_year],H$4,tbl_FERC_Revenue[revenue_type],"provision_for_rate_refunds")</f>
        <v>-40343222</v>
      </c>
      <c r="I13" s="38">
        <f>-SUMIFS(tbl_FERC_Revenue[dollar_value],tbl_FERC_Revenue[utility_id_ferc1],CompanyId,tbl_FERC_Revenue[report_year],I$4,tbl_FERC_Revenue[revenue_type],"provision_for_rate_refunds")</f>
        <v>24671723</v>
      </c>
      <c r="J13" s="38">
        <f>-SUMIFS(tbl_FERC_Revenue[dollar_value],tbl_FERC_Revenue[utility_id_ferc1],CompanyId,tbl_FERC_Revenue[report_year],J$4,tbl_FERC_Revenue[revenue_type],"provision_for_rate_refunds")</f>
        <v>5767072</v>
      </c>
      <c r="K13" s="38">
        <f>-SUMIFS(tbl_FERC_Revenue[dollar_value],tbl_FERC_Revenue[utility_id_ferc1],CompanyId,tbl_FERC_Revenue[report_year],K$4,tbl_FERC_Revenue[revenue_type],"provision_for_rate_refunds")</f>
        <v>-17402956</v>
      </c>
      <c r="L13" s="38">
        <f>-SUMIFS(tbl_FERC_Revenue[dollar_value],tbl_FERC_Revenue[utility_id_ferc1],CompanyId,tbl_FERC_Revenue[report_year],L$4,tbl_FERC_Revenue[revenue_type],"provision_for_rate_refunds")</f>
        <v>23353262</v>
      </c>
      <c r="M13" s="38">
        <f>-SUMIFS(tbl_FERC_Revenue[dollar_value],tbl_FERC_Revenue[utility_id_ferc1],CompanyId,tbl_FERC_Revenue[report_year],M$4,tbl_FERC_Revenue[revenue_type],"provision_for_rate_refunds")</f>
        <v>14313659</v>
      </c>
      <c r="N13" s="38">
        <f>-SUMIFS(tbl_FERC_Revenue[dollar_value],tbl_FERC_Revenue[utility_id_ferc1],CompanyId,tbl_FERC_Revenue[report_year],N$4,tbl_FERC_Revenue[revenue_type],"provision_for_rate_refunds")</f>
        <v>-36929618</v>
      </c>
      <c r="O13" s="38">
        <f>-SUMIFS(tbl_FERC_Revenue[dollar_value],tbl_FERC_Revenue[utility_id_ferc1],CompanyId,tbl_FERC_Revenue[report_year],O$4,tbl_FERC_Revenue[revenue_type],"provision_for_rate_refunds")</f>
        <v>20225849</v>
      </c>
      <c r="P13" s="39">
        <f>IFERROR((INDEX($D13:$O13,MATCH(FercYear,$D$4:$O$4,0))/INDEX($D13:$O13,MATCH(BaseYear,$D$4:$O$4,0)))^(1/(FercYear-BaseYear))-1,0)</f>
        <v>-3.2573721615527518E-2</v>
      </c>
      <c r="Q13" s="40">
        <f>INDEX($D13:$O13,MATCH(FercYear,$D$4:$O$4,0))-INDEX($D13:$O13,MATCH(FercYear-1,$D$4:$O$4,0))</f>
        <v>57155467</v>
      </c>
      <c r="R13" s="39" cm="1">
        <f t="array" ref="R13">SAFEDIV(Q13,ABS(INDEX($D13:$O13,MATCH(FercYear-1,$D$4:$O$4,0))))</f>
        <v>1.5476863854914502</v>
      </c>
    </row>
    <row r="14" spans="2:18" x14ac:dyDescent="0.3">
      <c r="B14" t="s">
        <v>229</v>
      </c>
      <c r="C14" s="61"/>
      <c r="D14" s="38">
        <f>SUMIFS(tbl_FERC_Revenue[dollar_value],tbl_FERC_Revenue[utility_id_ferc1],CompanyId,tbl_FERC_Revenue[report_year],D$4,tbl_FERC_Revenue[revenue_type],"other_operating_revenues")</f>
        <v>78961758</v>
      </c>
      <c r="E14" s="38">
        <f>SUMIFS(tbl_FERC_Revenue[dollar_value],tbl_FERC_Revenue[utility_id_ferc1],CompanyId,tbl_FERC_Revenue[report_year],E$4,tbl_FERC_Revenue[revenue_type],"other_operating_revenues")</f>
        <v>68384771</v>
      </c>
      <c r="F14" s="38">
        <f>SUMIFS(tbl_FERC_Revenue[dollar_value],tbl_FERC_Revenue[utility_id_ferc1],CompanyId,tbl_FERC_Revenue[report_year],F$4,tbl_FERC_Revenue[revenue_type],"other_operating_revenues")</f>
        <v>104159765</v>
      </c>
      <c r="G14" s="38">
        <f>SUMIFS(tbl_FERC_Revenue[dollar_value],tbl_FERC_Revenue[utility_id_ferc1],CompanyId,tbl_FERC_Revenue[report_year],G$4,tbl_FERC_Revenue[revenue_type],"other_operating_revenues")</f>
        <v>115569351</v>
      </c>
      <c r="H14" s="38">
        <f>SUMIFS(tbl_FERC_Revenue[dollar_value],tbl_FERC_Revenue[utility_id_ferc1],CompanyId,tbl_FERC_Revenue[report_year],H$4,tbl_FERC_Revenue[revenue_type],"other_operating_revenues")</f>
        <v>108227995</v>
      </c>
      <c r="I14" s="38">
        <f>SUMIFS(tbl_FERC_Revenue[dollar_value],tbl_FERC_Revenue[utility_id_ferc1],CompanyId,tbl_FERC_Revenue[report_year],I$4,tbl_FERC_Revenue[revenue_type],"other_operating_revenues")</f>
        <v>130671136</v>
      </c>
      <c r="J14" s="38">
        <f>SUMIFS(tbl_FERC_Revenue[dollar_value],tbl_FERC_Revenue[utility_id_ferc1],CompanyId,tbl_FERC_Revenue[report_year],J$4,tbl_FERC_Revenue[revenue_type],"other_operating_revenues")</f>
        <v>120765993</v>
      </c>
      <c r="K14" s="38">
        <f>SUMIFS(tbl_FERC_Revenue[dollar_value],tbl_FERC_Revenue[utility_id_ferc1],CompanyId,tbl_FERC_Revenue[report_year],K$4,tbl_FERC_Revenue[revenue_type],"other_operating_revenues")</f>
        <v>105789779</v>
      </c>
      <c r="L14" s="38">
        <f>SUMIFS(tbl_FERC_Revenue[dollar_value],tbl_FERC_Revenue[utility_id_ferc1],CompanyId,tbl_FERC_Revenue[report_year],L$4,tbl_FERC_Revenue[revenue_type],"other_operating_revenues")</f>
        <v>102501205</v>
      </c>
      <c r="M14" s="38">
        <f>SUMIFS(tbl_FERC_Revenue[dollar_value],tbl_FERC_Revenue[utility_id_ferc1],CompanyId,tbl_FERC_Revenue[report_year],M$4,tbl_FERC_Revenue[revenue_type],"other_operating_revenues")</f>
        <v>95519144</v>
      </c>
      <c r="N14" s="38">
        <f>SUMIFS(tbl_FERC_Revenue[dollar_value],tbl_FERC_Revenue[utility_id_ferc1],CompanyId,tbl_FERC_Revenue[report_year],N$4,tbl_FERC_Revenue[revenue_type],"other_operating_revenues")</f>
        <v>126520982</v>
      </c>
      <c r="O14" s="38">
        <f>SUMIFS(tbl_FERC_Revenue[dollar_value],tbl_FERC_Revenue[utility_id_ferc1],CompanyId,tbl_FERC_Revenue[report_year],O$4,tbl_FERC_Revenue[revenue_type],"other_operating_revenues")</f>
        <v>152350066</v>
      </c>
      <c r="P14" s="39">
        <f>IFERROR((INDEX($D14:$O14,MATCH(FercYear,$D$4:$O$4,0))/INDEX($D14:$O14,MATCH(BaseYear,$D$4:$O$4,0)))^(1/(FercYear-BaseYear))-1,0)</f>
        <v>2.5912914000435272E-2</v>
      </c>
      <c r="Q14" s="40">
        <f>INDEX($D14:$O14,MATCH(FercYear,$D$4:$O$4,0))-INDEX($D14:$O14,MATCH(FercYear-1,$D$4:$O$4,0))</f>
        <v>25829084</v>
      </c>
      <c r="R14" s="39" cm="1">
        <f t="array" ref="R14">SAFEDIV(Q14,ABS(INDEX($D14:$O14,MATCH(FercYear-1,$D$4:$O$4,0))))</f>
        <v>0.20414862097734904</v>
      </c>
    </row>
    <row r="15" spans="2:18" x14ac:dyDescent="0.3">
      <c r="B15" s="42" t="s">
        <v>230</v>
      </c>
      <c r="C15" s="62"/>
      <c r="D15" s="43">
        <f t="shared" ref="D15:O15" si="2">SUM(D11:D14)</f>
        <v>1926578668</v>
      </c>
      <c r="E15" s="43">
        <f t="shared" si="2"/>
        <v>1914921070</v>
      </c>
      <c r="F15" s="43">
        <f t="shared" si="2"/>
        <v>1939166814</v>
      </c>
      <c r="G15" s="43">
        <f t="shared" si="2"/>
        <v>2022693552</v>
      </c>
      <c r="H15" s="43">
        <f t="shared" si="2"/>
        <v>2005110043</v>
      </c>
      <c r="I15" s="43">
        <f t="shared" si="2"/>
        <v>2147982409</v>
      </c>
      <c r="J15" s="43">
        <f t="shared" si="2"/>
        <v>2157212368</v>
      </c>
      <c r="K15" s="43">
        <f t="shared" si="2"/>
        <v>2415154366</v>
      </c>
      <c r="L15" s="43">
        <f t="shared" si="2"/>
        <v>2702424185</v>
      </c>
      <c r="M15" s="43">
        <f t="shared" si="2"/>
        <v>2966551020</v>
      </c>
      <c r="N15" s="43">
        <f t="shared" si="2"/>
        <v>3460714741</v>
      </c>
      <c r="O15" s="43">
        <f t="shared" si="2"/>
        <v>3548184245</v>
      </c>
      <c r="P15" s="44">
        <f>IFERROR((INDEX($D15:$O15,MATCH(FercYear,$D$4:$O$4,0))/INDEX($D15:$O15,MATCH(BaseYear,$D$4:$O$4,0)))^(1/(FercYear-BaseYear))-1,0)</f>
        <v>8.7249559708563407E-2</v>
      </c>
      <c r="Q15" s="45">
        <f>INDEX($D15:$O15,MATCH(FercYear,$D$4:$O$4,0))-INDEX($D15:$O15,MATCH(FercYear-1,$D$4:$O$4,0))</f>
        <v>87469504</v>
      </c>
      <c r="R15" s="44" cm="1">
        <f t="array" ref="R15">SAFEDIV(Q15,ABS(INDEX($D15:$O15,MATCH(FercYear-1,$D$4:$O$4,0))))</f>
        <v>2.527498235082069E-2</v>
      </c>
    </row>
    <row r="16" spans="2:18" ht="18" customHeight="1" x14ac:dyDescent="0.3">
      <c r="B16" s="7" t="s">
        <v>231</v>
      </c>
      <c r="C16" s="60"/>
      <c r="D16" s="7"/>
      <c r="E16" s="7"/>
      <c r="F16" s="7"/>
      <c r="G16" s="7"/>
      <c r="H16" s="7"/>
      <c r="I16" s="7"/>
      <c r="J16" s="7"/>
      <c r="K16" s="7"/>
      <c r="L16" s="7"/>
      <c r="M16" s="7"/>
      <c r="N16" s="7"/>
      <c r="O16" s="7"/>
      <c r="P16" s="7"/>
      <c r="Q16" s="7"/>
      <c r="R16" s="7"/>
    </row>
    <row r="17" spans="2:18" x14ac:dyDescent="0.3">
      <c r="B17" t="s">
        <v>232</v>
      </c>
      <c r="C17" s="61"/>
      <c r="D17" s="38" cm="1">
        <f t="array" ref="D17">SUM(SUMIFS(tbl_FERC_Expense[dollar_value],tbl_FERC_Expense[utility_id_ferc1],CompanyId,tbl_FERC_Expense[report_year],D$4,tbl_FERC_Expense[expense_type],{"fuel_steam_power_generation","nuclear_fuel_expense","fuel","fuel_other_renewable_generation"}))</f>
        <v>251136059</v>
      </c>
      <c r="E17" s="38" cm="1">
        <f t="array" ref="E17">SUM(SUMIFS(tbl_FERC_Expense[dollar_value],tbl_FERC_Expense[utility_id_ferc1],CompanyId,tbl_FERC_Expense[report_year],E$4,tbl_FERC_Expense[expense_type],{"fuel_steam_power_generation","nuclear_fuel_expense","fuel","fuel_other_renewable_generation"}))</f>
        <v>275229785</v>
      </c>
      <c r="F17" s="38" cm="1">
        <f t="array" ref="F17">SUM(SUMIFS(tbl_FERC_Expense[dollar_value],tbl_FERC_Expense[utility_id_ferc1],CompanyId,tbl_FERC_Expense[report_year],F$4,tbl_FERC_Expense[expense_type],{"fuel_steam_power_generation","nuclear_fuel_expense","fuel","fuel_other_renewable_generation"}))</f>
        <v>294823521</v>
      </c>
      <c r="G17" s="38" cm="1">
        <f t="array" ref="G17">SUM(SUMIFS(tbl_FERC_Expense[dollar_value],tbl_FERC_Expense[utility_id_ferc1],CompanyId,tbl_FERC_Expense[report_year],G$4,tbl_FERC_Expense[expense_type],{"fuel_steam_power_generation","nuclear_fuel_expense","fuel","fuel_other_renewable_generation"}))</f>
        <v>280282013</v>
      </c>
      <c r="H17" s="38" cm="1">
        <f t="array" ref="H17">SUM(SUMIFS(tbl_FERC_Expense[dollar_value],tbl_FERC_Expense[utility_id_ferc1],CompanyId,tbl_FERC_Expense[report_year],H$4,tbl_FERC_Expense[expense_type],{"fuel_steam_power_generation","nuclear_fuel_expense","fuel","fuel_other_renewable_generation"}))</f>
        <v>250256859</v>
      </c>
      <c r="I17" s="38" cm="1">
        <f t="array" ref="I17">SUM(SUMIFS(tbl_FERC_Expense[dollar_value],tbl_FERC_Expense[utility_id_ferc1],CompanyId,tbl_FERC_Expense[report_year],I$4,tbl_FERC_Expense[expense_type],{"fuel_steam_power_generation","nuclear_fuel_expense","fuel","fuel_other_renewable_generation"}))</f>
        <v>287914148</v>
      </c>
      <c r="J17" s="38" cm="1">
        <f t="array" ref="J17">SUM(SUMIFS(tbl_FERC_Expense[dollar_value],tbl_FERC_Expense[utility_id_ferc1],CompanyId,tbl_FERC_Expense[report_year],J$4,tbl_FERC_Expense[expense_type],{"fuel_steam_power_generation","nuclear_fuel_expense","fuel","fuel_other_renewable_generation"}))</f>
        <v>241441550</v>
      </c>
      <c r="K17" s="38" cm="1">
        <f t="array" ref="K17">SUM(SUMIFS(tbl_FERC_Expense[dollar_value],tbl_FERC_Expense[utility_id_ferc1],CompanyId,tbl_FERC_Expense[report_year],K$4,tbl_FERC_Expense[expense_type],{"fuel_steam_power_generation","nuclear_fuel_expense","fuel","fuel_other_renewable_generation"}))</f>
        <v>236524037</v>
      </c>
      <c r="L17" s="38" cm="1">
        <f t="array" ref="L17">SUM(SUMIFS(tbl_FERC_Expense[dollar_value],tbl_FERC_Expense[utility_id_ferc1],CompanyId,tbl_FERC_Expense[report_year],L$4,tbl_FERC_Expense[expense_type],{"fuel_steam_power_generation","nuclear_fuel_expense","fuel","fuel_other_renewable_generation"}))</f>
        <v>189234411</v>
      </c>
      <c r="M17" s="38" cm="1">
        <f t="array" ref="M17">SUM(SUMIFS(tbl_FERC_Expense[dollar_value],tbl_FERC_Expense[utility_id_ferc1],CompanyId,tbl_FERC_Expense[report_year],M$4,tbl_FERC_Expense[expense_type],{"fuel_steam_power_generation","nuclear_fuel_expense","fuel","fuel_other_renewable_generation"}))</f>
        <v>390690750</v>
      </c>
      <c r="N17" s="38" cm="1">
        <f t="array" ref="N17">SUM(SUMIFS(tbl_FERC_Expense[dollar_value],tbl_FERC_Expense[utility_id_ferc1],CompanyId,tbl_FERC_Expense[report_year],N$4,tbl_FERC_Expense[expense_type],{"fuel_steam_power_generation","nuclear_fuel_expense","fuel","fuel_other_renewable_generation"}))</f>
        <v>457765130</v>
      </c>
      <c r="O17" s="38" cm="1">
        <f t="array" ref="O17">SUM(SUMIFS(tbl_FERC_Expense[dollar_value],tbl_FERC_Expense[utility_id_ferc1],CompanyId,tbl_FERC_Expense[report_year],O$4,tbl_FERC_Expense[expense_type],{"fuel_steam_power_generation","nuclear_fuel_expense","fuel","fuel_other_renewable_generation"}))</f>
        <v>475759791</v>
      </c>
      <c r="P17" s="39">
        <f>IFERROR((INDEX($D17:$O17,MATCH(FercYear,$D$4:$O$4,0))/INDEX($D17:$O17,MATCH(BaseYear,$D$4:$O$4,0)))^(1/(FercYear-BaseYear))-1,0)</f>
        <v>8.7311850456271767E-2</v>
      </c>
      <c r="Q17" s="40">
        <f>INDEX($D17:$O17,MATCH(FercYear,$D$4:$O$4,0))-INDEX($D17:$O17,MATCH(FercYear-1,$D$4:$O$4,0))</f>
        <v>17994661</v>
      </c>
      <c r="R17" s="39" cm="1">
        <f t="array" ref="R17">SAFEDIV(Q17,ABS(INDEX($D17:$O17,MATCH(FercYear-1,$D$4:$O$4,0))))</f>
        <v>3.9309811562099541E-2</v>
      </c>
    </row>
    <row r="18" spans="2:18" x14ac:dyDescent="0.3">
      <c r="B18" t="s">
        <v>233</v>
      </c>
      <c r="C18" s="61"/>
      <c r="D18" s="38" cm="1">
        <f t="array" ref="D18">SUM(SUMIFS(tbl_FERC_Expense[dollar_value],tbl_FERC_Expense[utility_id_ferc1],CompanyId,tbl_FERC_Expense[report_year],D$4,tbl_FERC_Expense[expense_type],{"purchased_power","power_purchased_for_storage_operations","storage_fuel_energy_storage_expense"}))</f>
        <v>414524300</v>
      </c>
      <c r="E18" s="38" cm="1">
        <f t="array" ref="E18">SUM(SUMIFS(tbl_FERC_Expense[dollar_value],tbl_FERC_Expense[utility_id_ferc1],CompanyId,tbl_FERC_Expense[report_year],E$4,tbl_FERC_Expense[expense_type],{"purchased_power","power_purchased_for_storage_operations","storage_fuel_energy_storage_expense"}))</f>
        <v>325139822</v>
      </c>
      <c r="F18" s="38" cm="1">
        <f t="array" ref="F18">SUM(SUMIFS(tbl_FERC_Expense[dollar_value],tbl_FERC_Expense[utility_id_ferc1],CompanyId,tbl_FERC_Expense[report_year],F$4,tbl_FERC_Expense[expense_type],{"purchased_power","power_purchased_for_storage_operations","storage_fuel_energy_storage_expense"}))</f>
        <v>264106264</v>
      </c>
      <c r="G18" s="38" cm="1">
        <f t="array" ref="G18">SUM(SUMIFS(tbl_FERC_Expense[dollar_value],tbl_FERC_Expense[utility_id_ferc1],CompanyId,tbl_FERC_Expense[report_year],G$4,tbl_FERC_Expense[expense_type],{"purchased_power","power_purchased_for_storage_operations","storage_fuel_energy_storage_expense"}))</f>
        <v>244313723</v>
      </c>
      <c r="H18" s="38" cm="1">
        <f t="array" ref="H18">SUM(SUMIFS(tbl_FERC_Expense[dollar_value],tbl_FERC_Expense[utility_id_ferc1],CompanyId,tbl_FERC_Expense[report_year],H$4,tbl_FERC_Expense[expense_type],{"purchased_power","power_purchased_for_storage_operations","storage_fuel_energy_storage_expense"}))</f>
        <v>257926636</v>
      </c>
      <c r="I18" s="38" cm="1">
        <f t="array" ref="I18">SUM(SUMIFS(tbl_FERC_Expense[dollar_value],tbl_FERC_Expense[utility_id_ferc1],CompanyId,tbl_FERC_Expense[report_year],I$4,tbl_FERC_Expense[expense_type],{"purchased_power","power_purchased_for_storage_operations","storage_fuel_energy_storage_expense"}))</f>
        <v>281457582</v>
      </c>
      <c r="J18" s="38" cm="1">
        <f t="array" ref="J18">SUM(SUMIFS(tbl_FERC_Expense[dollar_value],tbl_FERC_Expense[utility_id_ferc1],CompanyId,tbl_FERC_Expense[report_year],J$4,tbl_FERC_Expense[expense_type],{"purchased_power","power_purchased_for_storage_operations","storage_fuel_energy_storage_expense"}))</f>
        <v>418799466</v>
      </c>
      <c r="K18" s="38" cm="1">
        <f t="array" ref="K18">SUM(SUMIFS(tbl_FERC_Expense[dollar_value],tbl_FERC_Expense[utility_id_ferc1],CompanyId,tbl_FERC_Expense[report_year],K$4,tbl_FERC_Expense[expense_type],{"purchased_power","power_purchased_for_storage_operations","storage_fuel_energy_storage_expense"}))</f>
        <v>530010343</v>
      </c>
      <c r="L18" s="38" cm="1">
        <f t="array" ref="L18">SUM(SUMIFS(tbl_FERC_Expense[dollar_value],tbl_FERC_Expense[utility_id_ferc1],CompanyId,tbl_FERC_Expense[report_year],L$4,tbl_FERC_Expense[expense_type],{"purchased_power","power_purchased_for_storage_operations","storage_fuel_energy_storage_expense"}))</f>
        <v>785500386</v>
      </c>
      <c r="M18" s="38" cm="1">
        <f t="array" ref="M18">SUM(SUMIFS(tbl_FERC_Expense[dollar_value],tbl_FERC_Expense[utility_id_ferc1],CompanyId,tbl_FERC_Expense[report_year],M$4,tbl_FERC_Expense[expense_type],{"purchased_power","power_purchased_for_storage_operations","storage_fuel_energy_storage_expense"}))</f>
        <v>777351053</v>
      </c>
      <c r="N18" s="38" cm="1">
        <f t="array" ref="N18">SUM(SUMIFS(tbl_FERC_Expense[dollar_value],tbl_FERC_Expense[utility_id_ferc1],CompanyId,tbl_FERC_Expense[report_year],N$4,tbl_FERC_Expense[expense_type],{"purchased_power","power_purchased_for_storage_operations","storage_fuel_energy_storage_expense"}))</f>
        <v>879859761</v>
      </c>
      <c r="O18" s="38" cm="1">
        <f t="array" ref="O18">SUM(SUMIFS(tbl_FERC_Expense[dollar_value],tbl_FERC_Expense[utility_id_ferc1],CompanyId,tbl_FERC_Expense[report_year],O$4,tbl_FERC_Expense[expense_type],{"purchased_power","power_purchased_for_storage_operations","storage_fuel_energy_storage_expense"}))</f>
        <v>845996268</v>
      </c>
      <c r="P18" s="39">
        <f>IFERROR((INDEX($D18:$O18,MATCH(FercYear,$D$4:$O$4,0))/INDEX($D18:$O18,MATCH(BaseYear,$D$4:$O$4,0)))^(1/(FercYear-BaseYear))-1,0)</f>
        <v>0.20132149849000203</v>
      </c>
      <c r="Q18" s="40">
        <f>INDEX($D18:$O18,MATCH(FercYear,$D$4:$O$4,0))-INDEX($D18:$O18,MATCH(FercYear-1,$D$4:$O$4,0))</f>
        <v>-33863493</v>
      </c>
      <c r="R18" s="39" cm="1">
        <f t="array" ref="R18">SAFEDIV(Q18,ABS(INDEX($D18:$O18,MATCH(FercYear-1,$D$4:$O$4,0))))</f>
        <v>-3.8487375489831041E-2</v>
      </c>
    </row>
    <row r="19" spans="2:18" x14ac:dyDescent="0.3">
      <c r="B19" s="42" t="s">
        <v>234</v>
      </c>
      <c r="C19" s="62"/>
      <c r="D19" s="43">
        <f t="shared" ref="D19:O19" si="3">D17+D18</f>
        <v>665660359</v>
      </c>
      <c r="E19" s="43">
        <f t="shared" si="3"/>
        <v>600369607</v>
      </c>
      <c r="F19" s="43">
        <f t="shared" si="3"/>
        <v>558929785</v>
      </c>
      <c r="G19" s="43">
        <f t="shared" si="3"/>
        <v>524595736</v>
      </c>
      <c r="H19" s="43">
        <f t="shared" si="3"/>
        <v>508183495</v>
      </c>
      <c r="I19" s="43">
        <f t="shared" si="3"/>
        <v>569371730</v>
      </c>
      <c r="J19" s="43">
        <f t="shared" si="3"/>
        <v>660241016</v>
      </c>
      <c r="K19" s="43">
        <f t="shared" si="3"/>
        <v>766534380</v>
      </c>
      <c r="L19" s="43">
        <f t="shared" si="3"/>
        <v>974734797</v>
      </c>
      <c r="M19" s="43">
        <f t="shared" si="3"/>
        <v>1168041803</v>
      </c>
      <c r="N19" s="43">
        <f t="shared" si="3"/>
        <v>1337624891</v>
      </c>
      <c r="O19" s="43">
        <f t="shared" si="3"/>
        <v>1321756059</v>
      </c>
      <c r="P19" s="44">
        <f>IFERROR((INDEX($D19:$O19,MATCH(FercYear,$D$4:$O$4,0))/INDEX($D19:$O19,MATCH(BaseYear,$D$4:$O$4,0)))^(1/(FercYear-BaseYear))-1,0)</f>
        <v>0.15069237419007986</v>
      </c>
      <c r="Q19" s="45">
        <f>INDEX($D19:$O19,MATCH(FercYear,$D$4:$O$4,0))-INDEX($D19:$O19,MATCH(FercYear-1,$D$4:$O$4,0))</f>
        <v>-15868832</v>
      </c>
      <c r="R19" s="44" cm="1">
        <f t="array" ref="R19">SAFEDIV(Q19,ABS(INDEX($D19:$O19,MATCH(FercYear-1,$D$4:$O$4,0))))</f>
        <v>-1.1863439523868728E-2</v>
      </c>
    </row>
    <row r="20" spans="2:18" x14ac:dyDescent="0.3">
      <c r="B20" s="42" t="s">
        <v>235</v>
      </c>
      <c r="C20" s="62"/>
      <c r="D20" s="43">
        <f t="shared" ref="D20:O20" si="4">D15-D19</f>
        <v>1260918309</v>
      </c>
      <c r="E20" s="43">
        <f t="shared" si="4"/>
        <v>1314551463</v>
      </c>
      <c r="F20" s="43">
        <f t="shared" si="4"/>
        <v>1380237029</v>
      </c>
      <c r="G20" s="43">
        <f t="shared" si="4"/>
        <v>1498097816</v>
      </c>
      <c r="H20" s="43">
        <f t="shared" si="4"/>
        <v>1496926548</v>
      </c>
      <c r="I20" s="43">
        <f t="shared" si="4"/>
        <v>1578610679</v>
      </c>
      <c r="J20" s="43">
        <f t="shared" si="4"/>
        <v>1496971352</v>
      </c>
      <c r="K20" s="43">
        <f t="shared" si="4"/>
        <v>1648619986</v>
      </c>
      <c r="L20" s="43">
        <f t="shared" si="4"/>
        <v>1727689388</v>
      </c>
      <c r="M20" s="43">
        <f t="shared" si="4"/>
        <v>1798509217</v>
      </c>
      <c r="N20" s="43">
        <f t="shared" si="4"/>
        <v>2123089850</v>
      </c>
      <c r="O20" s="43">
        <f t="shared" si="4"/>
        <v>2226428186</v>
      </c>
      <c r="P20" s="44">
        <f>IFERROR((INDEX($D20:$O20,MATCH(FercYear,$D$4:$O$4,0))/INDEX($D20:$O20,MATCH(BaseYear,$D$4:$O$4,0)))^(1/(FercYear-BaseYear))-1,0)</f>
        <v>5.8982888147134371E-2</v>
      </c>
      <c r="Q20" s="45">
        <f>INDEX($D20:$O20,MATCH(FercYear,$D$4:$O$4,0))-INDEX($D20:$O20,MATCH(FercYear-1,$D$4:$O$4,0))</f>
        <v>103338336</v>
      </c>
      <c r="R20" s="44" cm="1">
        <f t="array" ref="R20">SAFEDIV(Q20,ABS(INDEX($D20:$O20,MATCH(FercYear-1,$D$4:$O$4,0))))</f>
        <v>4.8673557551038173E-2</v>
      </c>
    </row>
    <row r="21" spans="2:18" x14ac:dyDescent="0.3">
      <c r="B21" s="47" t="s">
        <v>236</v>
      </c>
      <c r="C21" s="59"/>
      <c r="D21" s="48" cm="1">
        <f t="array" ref="D21">SAFEDIV(D20,D15)</f>
        <v>0.65448576273761583</v>
      </c>
      <c r="E21" s="48" cm="1">
        <f t="array" ref="E21">SAFEDIV(E20,E15)</f>
        <v>0.68647814450127698</v>
      </c>
      <c r="F21" s="48" cm="1">
        <f t="array" ref="F21">SAFEDIV(F20,F15)</f>
        <v>0.71176807432720435</v>
      </c>
      <c r="G21" s="48" cm="1">
        <f t="array" ref="G21">SAFEDIV(G20,G15)</f>
        <v>0.7406449753689629</v>
      </c>
      <c r="H21" s="48" cm="1">
        <f t="array" ref="H21">SAFEDIV(H20,H15)</f>
        <v>0.74655580785996789</v>
      </c>
      <c r="I21" s="48" cm="1">
        <f t="array" ref="I21">SAFEDIV(I20,I15)</f>
        <v>0.7349271913893034</v>
      </c>
      <c r="J21" s="48" cm="1">
        <f t="array" ref="J21">SAFEDIV(J20,J15)</f>
        <v>0.69393786824422654</v>
      </c>
      <c r="K21" s="48" cm="1">
        <f t="array" ref="K21">SAFEDIV(K20,K15)</f>
        <v>0.68261474678757661</v>
      </c>
      <c r="L21" s="48" cm="1">
        <f t="array" ref="L21">SAFEDIV(L20,L15)</f>
        <v>0.63931095554490092</v>
      </c>
      <c r="M21" s="48" cm="1">
        <f t="array" ref="M21">SAFEDIV(M20,M15)</f>
        <v>0.60626269525612275</v>
      </c>
      <c r="N21" s="48" cm="1">
        <f t="array" ref="N21">SAFEDIV(N20,N15)</f>
        <v>0.61348305448212614</v>
      </c>
      <c r="O21" s="48" cm="1">
        <f t="array" ref="O21">SAFEDIV(O20,O15)</f>
        <v>0.62748381489417271</v>
      </c>
      <c r="P21" s="49">
        <f>INDEX($D21:$O21,MATCH(FercYear,$D$4:$O$4,0))-INDEX($D21:$O21,MATCH(BaseYear,$D$4:$O$4,0))</f>
        <v>-0.10744337649513069</v>
      </c>
      <c r="Q21" s="49">
        <f>INDEX($D21:$O21,MATCH(FercYear,$D$4:$O$4,0))-INDEX($D21:$O21,MATCH(FercYear-1,$D$4:$O$4,0))</f>
        <v>1.4000760412046565E-2</v>
      </c>
      <c r="R21" s="47"/>
    </row>
    <row r="22" spans="2:18" ht="18" customHeight="1" x14ac:dyDescent="0.3">
      <c r="B22" s="7" t="s">
        <v>237</v>
      </c>
      <c r="C22" s="60"/>
      <c r="D22" s="7"/>
      <c r="E22" s="7"/>
      <c r="F22" s="7"/>
      <c r="G22" s="7"/>
      <c r="H22" s="7"/>
      <c r="I22" s="7"/>
      <c r="J22" s="7"/>
      <c r="K22" s="7"/>
      <c r="L22" s="7"/>
      <c r="M22" s="7"/>
      <c r="N22" s="7"/>
      <c r="O22" s="7"/>
      <c r="P22" s="7"/>
      <c r="Q22" s="7"/>
      <c r="R22" s="7"/>
    </row>
    <row r="23" spans="2:18" x14ac:dyDescent="0.3">
      <c r="B23" t="s">
        <v>238</v>
      </c>
      <c r="C23" s="61"/>
      <c r="D23" s="38">
        <f>SUMIFS(tbl_FERC_Expense[dollar_value],tbl_FERC_Expense[utility_id_ferc1],CompanyId,tbl_FERC_Expense[report_year],D$4,tbl_FERC_Expense[expense_type],"power_production_expenses")-D19</f>
        <v>132400112</v>
      </c>
      <c r="E23" s="38">
        <f>SUMIFS(tbl_FERC_Expense[dollar_value],tbl_FERC_Expense[utility_id_ferc1],CompanyId,tbl_FERC_Expense[report_year],E$4,tbl_FERC_Expense[expense_type],"power_production_expenses")-E19</f>
        <v>140808746</v>
      </c>
      <c r="F23" s="38">
        <f>SUMIFS(tbl_FERC_Expense[dollar_value],tbl_FERC_Expense[utility_id_ferc1],CompanyId,tbl_FERC_Expense[report_year],F$4,tbl_FERC_Expense[expense_type],"power_production_expenses")-F19</f>
        <v>146447063</v>
      </c>
      <c r="G23" s="38">
        <f>SUMIFS(tbl_FERC_Expense[dollar_value],tbl_FERC_Expense[utility_id_ferc1],CompanyId,tbl_FERC_Expense[report_year],G$4,tbl_FERC_Expense[expense_type],"power_production_expenses")-G19</f>
        <v>154358468</v>
      </c>
      <c r="H23" s="38">
        <f>SUMIFS(tbl_FERC_Expense[dollar_value],tbl_FERC_Expense[utility_id_ferc1],CompanyId,tbl_FERC_Expense[report_year],H$4,tbl_FERC_Expense[expense_type],"power_production_expenses")-H19</f>
        <v>151929566</v>
      </c>
      <c r="I23" s="38">
        <f>SUMIFS(tbl_FERC_Expense[dollar_value],tbl_FERC_Expense[utility_id_ferc1],CompanyId,tbl_FERC_Expense[report_year],I$4,tbl_FERC_Expense[expense_type],"power_production_expenses")-I19</f>
        <v>162912941</v>
      </c>
      <c r="J23" s="38">
        <f>SUMIFS(tbl_FERC_Expense[dollar_value],tbl_FERC_Expense[utility_id_ferc1],CompanyId,tbl_FERC_Expense[report_year],J$4,tbl_FERC_Expense[expense_type],"power_production_expenses")-J19</f>
        <v>141931061</v>
      </c>
      <c r="K23" s="38">
        <f>SUMIFS(tbl_FERC_Expense[dollar_value],tbl_FERC_Expense[utility_id_ferc1],CompanyId,tbl_FERC_Expense[report_year],K$4,tbl_FERC_Expense[expense_type],"power_production_expenses")-K19</f>
        <v>131395452</v>
      </c>
      <c r="L23" s="38">
        <f>SUMIFS(tbl_FERC_Expense[dollar_value],tbl_FERC_Expense[utility_id_ferc1],CompanyId,tbl_FERC_Expense[report_year],L$4,tbl_FERC_Expense[expense_type],"power_production_expenses")-L19</f>
        <v>135947259</v>
      </c>
      <c r="M23" s="38">
        <f>SUMIFS(tbl_FERC_Expense[dollar_value],tbl_FERC_Expense[utility_id_ferc1],CompanyId,tbl_FERC_Expense[report_year],M$4,tbl_FERC_Expense[expense_type],"power_production_expenses")-M19</f>
        <v>147323568</v>
      </c>
      <c r="N23" s="38">
        <f>SUMIFS(tbl_FERC_Expense[dollar_value],tbl_FERC_Expense[utility_id_ferc1],CompanyId,tbl_FERC_Expense[report_year],N$4,tbl_FERC_Expense[expense_type],"power_production_expenses")-N19</f>
        <v>176252197</v>
      </c>
      <c r="O23" s="38">
        <f>SUMIFS(tbl_FERC_Expense[dollar_value],tbl_FERC_Expense[utility_id_ferc1],CompanyId,tbl_FERC_Expense[report_year],O$4,tbl_FERC_Expense[expense_type],"power_production_expenses")-O19</f>
        <v>181565942</v>
      </c>
      <c r="P23" s="39">
        <f>IFERROR((INDEX($D23:$O23,MATCH(FercYear,$D$4:$O$4,0))/INDEX($D23:$O23,MATCH(BaseYear,$D$4:$O$4,0)))^(1/(FercYear-BaseYear))-1,0)</f>
        <v>1.8231356932930431E-2</v>
      </c>
      <c r="Q23" s="40">
        <f>INDEX($D23:$O23,MATCH(FercYear,$D$4:$O$4,0))-INDEX($D23:$O23,MATCH(FercYear-1,$D$4:$O$4,0))</f>
        <v>5313745</v>
      </c>
      <c r="R23" s="39" cm="1">
        <f t="array" ref="R23">SAFEDIV(Q23,ABS(INDEX($D23:$O23,MATCH(FercYear-1,$D$4:$O$4,0))))</f>
        <v>3.0148531992483477E-2</v>
      </c>
    </row>
    <row r="24" spans="2:18" x14ac:dyDescent="0.3">
      <c r="B24" t="s">
        <v>239</v>
      </c>
      <c r="C24" s="61"/>
      <c r="D24" s="38">
        <f>SUMIFS(tbl_FERC_Expense[dollar_value],tbl_FERC_Expense[utility_id_ferc1],CompanyId,tbl_FERC_Expense[report_year],D$4,tbl_FERC_Expense[expense_type],"transmission_expenses")</f>
        <v>96567225</v>
      </c>
      <c r="E24" s="38">
        <f>SUMIFS(tbl_FERC_Expense[dollar_value],tbl_FERC_Expense[utility_id_ferc1],CompanyId,tbl_FERC_Expense[report_year],E$4,tbl_FERC_Expense[expense_type],"transmission_expenses")</f>
        <v>98091925</v>
      </c>
      <c r="F24" s="38">
        <f>SUMIFS(tbl_FERC_Expense[dollar_value],tbl_FERC_Expense[utility_id_ferc1],CompanyId,tbl_FERC_Expense[report_year],F$4,tbl_FERC_Expense[expense_type],"transmission_expenses")</f>
        <v>95364654</v>
      </c>
      <c r="G24" s="38">
        <f>SUMIFS(tbl_FERC_Expense[dollar_value],tbl_FERC_Expense[utility_id_ferc1],CompanyId,tbl_FERC_Expense[report_year],G$4,tbl_FERC_Expense[expense_type],"transmission_expenses")</f>
        <v>104281769</v>
      </c>
      <c r="H24" s="38">
        <f>SUMIFS(tbl_FERC_Expense[dollar_value],tbl_FERC_Expense[utility_id_ferc1],CompanyId,tbl_FERC_Expense[report_year],H$4,tbl_FERC_Expense[expense_type],"transmission_expenses")</f>
        <v>103337318</v>
      </c>
      <c r="I24" s="38">
        <f>SUMIFS(tbl_FERC_Expense[dollar_value],tbl_FERC_Expense[utility_id_ferc1],CompanyId,tbl_FERC_Expense[report_year],I$4,tbl_FERC_Expense[expense_type],"transmission_expenses")</f>
        <v>108556686</v>
      </c>
      <c r="J24" s="38">
        <f>SUMIFS(tbl_FERC_Expense[dollar_value],tbl_FERC_Expense[utility_id_ferc1],CompanyId,tbl_FERC_Expense[report_year],J$4,tbl_FERC_Expense[expense_type],"transmission_expenses")</f>
        <v>101525817</v>
      </c>
      <c r="K24" s="38">
        <f>SUMIFS(tbl_FERC_Expense[dollar_value],tbl_FERC_Expense[utility_id_ferc1],CompanyId,tbl_FERC_Expense[report_year],K$4,tbl_FERC_Expense[expense_type],"transmission_expenses")</f>
        <v>111907966</v>
      </c>
      <c r="L24" s="38">
        <f>SUMIFS(tbl_FERC_Expense[dollar_value],tbl_FERC_Expense[utility_id_ferc1],CompanyId,tbl_FERC_Expense[report_year],L$4,tbl_FERC_Expense[expense_type],"transmission_expenses")</f>
        <v>119618861</v>
      </c>
      <c r="M24" s="38">
        <f>SUMIFS(tbl_FERC_Expense[dollar_value],tbl_FERC_Expense[utility_id_ferc1],CompanyId,tbl_FERC_Expense[report_year],M$4,tbl_FERC_Expense[expense_type],"transmission_expenses")</f>
        <v>124193286</v>
      </c>
      <c r="N24" s="38">
        <f>SUMIFS(tbl_FERC_Expense[dollar_value],tbl_FERC_Expense[utility_id_ferc1],CompanyId,tbl_FERC_Expense[report_year],N$4,tbl_FERC_Expense[expense_type],"transmission_expenses")</f>
        <v>158804678</v>
      </c>
      <c r="O24" s="38">
        <f>SUMIFS(tbl_FERC_Expense[dollar_value],tbl_FERC_Expense[utility_id_ferc1],CompanyId,tbl_FERC_Expense[report_year],O$4,tbl_FERC_Expense[expense_type],"transmission_expenses")</f>
        <v>166944422</v>
      </c>
      <c r="P24" s="39">
        <f>IFERROR((INDEX($D24:$O24,MATCH(FercYear,$D$4:$O$4,0))/INDEX($D24:$O24,MATCH(BaseYear,$D$4:$O$4,0)))^(1/(FercYear-BaseYear))-1,0)</f>
        <v>7.4366742302684141E-2</v>
      </c>
      <c r="Q24" s="40">
        <f>INDEX($D24:$O24,MATCH(FercYear,$D$4:$O$4,0))-INDEX($D24:$O24,MATCH(FercYear-1,$D$4:$O$4,0))</f>
        <v>8139744</v>
      </c>
      <c r="R24" s="39" cm="1">
        <f t="array" ref="R24">SAFEDIV(Q24,ABS(INDEX($D24:$O24,MATCH(FercYear-1,$D$4:$O$4,0))))</f>
        <v>5.1256323821896481E-2</v>
      </c>
    </row>
    <row r="25" spans="2:18" x14ac:dyDescent="0.3">
      <c r="B25" t="s">
        <v>240</v>
      </c>
      <c r="C25" s="61"/>
      <c r="D25" s="38">
        <f>SUMIFS(tbl_FERC_Expense[dollar_value],tbl_FERC_Expense[utility_id_ferc1],CompanyId,tbl_FERC_Expense[report_year],D$4,tbl_FERC_Expense[expense_type],"distribution_expenses")</f>
        <v>99839203</v>
      </c>
      <c r="E25" s="38">
        <f>SUMIFS(tbl_FERC_Expense[dollar_value],tbl_FERC_Expense[utility_id_ferc1],CompanyId,tbl_FERC_Expense[report_year],E$4,tbl_FERC_Expense[expense_type],"distribution_expenses")</f>
        <v>101417432</v>
      </c>
      <c r="F25" s="38">
        <f>SUMIFS(tbl_FERC_Expense[dollar_value],tbl_FERC_Expense[utility_id_ferc1],CompanyId,tbl_FERC_Expense[report_year],F$4,tbl_FERC_Expense[expense_type],"distribution_expenses")</f>
        <v>116611492</v>
      </c>
      <c r="G25" s="38">
        <f>SUMIFS(tbl_FERC_Expense[dollar_value],tbl_FERC_Expense[utility_id_ferc1],CompanyId,tbl_FERC_Expense[report_year],G$4,tbl_FERC_Expense[expense_type],"distribution_expenses")</f>
        <v>127636822</v>
      </c>
      <c r="H25" s="38">
        <f>SUMIFS(tbl_FERC_Expense[dollar_value],tbl_FERC_Expense[utility_id_ferc1],CompanyId,tbl_FERC_Expense[report_year],H$4,tbl_FERC_Expense[expense_type],"distribution_expenses")</f>
        <v>113588197</v>
      </c>
      <c r="I25" s="38">
        <f>SUMIFS(tbl_FERC_Expense[dollar_value],tbl_FERC_Expense[utility_id_ferc1],CompanyId,tbl_FERC_Expense[report_year],I$4,tbl_FERC_Expense[expense_type],"distribution_expenses")</f>
        <v>134617893</v>
      </c>
      <c r="J25" s="38">
        <f>SUMIFS(tbl_FERC_Expense[dollar_value],tbl_FERC_Expense[utility_id_ferc1],CompanyId,tbl_FERC_Expense[report_year],J$4,tbl_FERC_Expense[expense_type],"distribution_expenses")</f>
        <v>124006010</v>
      </c>
      <c r="K25" s="38">
        <f>SUMIFS(tbl_FERC_Expense[dollar_value],tbl_FERC_Expense[utility_id_ferc1],CompanyId,tbl_FERC_Expense[report_year],K$4,tbl_FERC_Expense[expense_type],"distribution_expenses")</f>
        <v>159848932</v>
      </c>
      <c r="L25" s="38">
        <f>SUMIFS(tbl_FERC_Expense[dollar_value],tbl_FERC_Expense[utility_id_ferc1],CompanyId,tbl_FERC_Expense[report_year],L$4,tbl_FERC_Expense[expense_type],"distribution_expenses")</f>
        <v>192287093</v>
      </c>
      <c r="M25" s="38">
        <f>SUMIFS(tbl_FERC_Expense[dollar_value],tbl_FERC_Expense[utility_id_ferc1],CompanyId,tbl_FERC_Expense[report_year],M$4,tbl_FERC_Expense[expense_type],"distribution_expenses")</f>
        <v>200233520</v>
      </c>
      <c r="N25" s="38">
        <f>SUMIFS(tbl_FERC_Expense[dollar_value],tbl_FERC_Expense[utility_id_ferc1],CompanyId,tbl_FERC_Expense[report_year],N$4,tbl_FERC_Expense[expense_type],"distribution_expenses")</f>
        <v>228327958</v>
      </c>
      <c r="O25" s="38">
        <f>SUMIFS(tbl_FERC_Expense[dollar_value],tbl_FERC_Expense[utility_id_ferc1],CompanyId,tbl_FERC_Expense[report_year],O$4,tbl_FERC_Expense[expense_type],"distribution_expenses")</f>
        <v>246386322</v>
      </c>
      <c r="P25" s="39">
        <f>IFERROR((INDEX($D25:$O25,MATCH(FercYear,$D$4:$O$4,0))/INDEX($D25:$O25,MATCH(BaseYear,$D$4:$O$4,0)))^(1/(FercYear-BaseYear))-1,0)</f>
        <v>0.10599280312608772</v>
      </c>
      <c r="Q25" s="40">
        <f>INDEX($D25:$O25,MATCH(FercYear,$D$4:$O$4,0))-INDEX($D25:$O25,MATCH(FercYear-1,$D$4:$O$4,0))</f>
        <v>18058364</v>
      </c>
      <c r="R25" s="39" cm="1">
        <f t="array" ref="R25">SAFEDIV(Q25,ABS(INDEX($D25:$O25,MATCH(FercYear-1,$D$4:$O$4,0))))</f>
        <v>7.9089587443338855E-2</v>
      </c>
    </row>
    <row r="26" spans="2:18" x14ac:dyDescent="0.3">
      <c r="B26" t="s">
        <v>241</v>
      </c>
      <c r="C26" s="61"/>
      <c r="D26" s="38" cm="1">
        <f t="array" ref="D26">SUM(SUMIFS(tbl_FERC_Expense[dollar_value],tbl_FERC_Expense[utility_id_ferc1],CompanyId,tbl_FERC_Expense[report_year],D$4,tbl_FERC_Expense[expense_type],{"customer_account_expenses","customer_service_and_information_expenses","sales_expenses"}))</f>
        <v>66009525</v>
      </c>
      <c r="E26" s="38" cm="1">
        <f t="array" ref="E26">SUM(SUMIFS(tbl_FERC_Expense[dollar_value],tbl_FERC_Expense[utility_id_ferc1],CompanyId,tbl_FERC_Expense[report_year],E$4,tbl_FERC_Expense[expense_type],{"customer_account_expenses","customer_service_and_information_expenses","sales_expenses"}))</f>
        <v>69758456</v>
      </c>
      <c r="F26" s="38" cm="1">
        <f t="array" ref="F26">SUM(SUMIFS(tbl_FERC_Expense[dollar_value],tbl_FERC_Expense[utility_id_ferc1],CompanyId,tbl_FERC_Expense[report_year],F$4,tbl_FERC_Expense[expense_type],{"customer_account_expenses","customer_service_and_information_expenses","sales_expenses"}))</f>
        <v>70626752</v>
      </c>
      <c r="G26" s="38" cm="1">
        <f t="array" ref="G26">SUM(SUMIFS(tbl_FERC_Expense[dollar_value],tbl_FERC_Expense[utility_id_ferc1],CompanyId,tbl_FERC_Expense[report_year],G$4,tbl_FERC_Expense[expense_type],{"customer_account_expenses","customer_service_and_information_expenses","sales_expenses"}))</f>
        <v>74189210</v>
      </c>
      <c r="H26" s="38" cm="1">
        <f t="array" ref="H26">SUM(SUMIFS(tbl_FERC_Expense[dollar_value],tbl_FERC_Expense[utility_id_ferc1],CompanyId,tbl_FERC_Expense[report_year],H$4,tbl_FERC_Expense[expense_type],{"customer_account_expenses","customer_service_and_information_expenses","sales_expenses"}))</f>
        <v>86086288</v>
      </c>
      <c r="I26" s="38" cm="1">
        <f t="array" ref="I26">SUM(SUMIFS(tbl_FERC_Expense[dollar_value],tbl_FERC_Expense[utility_id_ferc1],CompanyId,tbl_FERC_Expense[report_year],I$4,tbl_FERC_Expense[expense_type],{"customer_account_expenses","customer_service_and_information_expenses","sales_expenses"}))</f>
        <v>79987880</v>
      </c>
      <c r="J26" s="38" cm="1">
        <f t="array" ref="J26">SUM(SUMIFS(tbl_FERC_Expense[dollar_value],tbl_FERC_Expense[utility_id_ferc1],CompanyId,tbl_FERC_Expense[report_year],J$4,tbl_FERC_Expense[expense_type],{"customer_account_expenses","customer_service_and_information_expenses","sales_expenses"}))</f>
        <v>80061690</v>
      </c>
      <c r="K26" s="38" cm="1">
        <f t="array" ref="K26">SUM(SUMIFS(tbl_FERC_Expense[dollar_value],tbl_FERC_Expense[utility_id_ferc1],CompanyId,tbl_FERC_Expense[report_year],K$4,tbl_FERC_Expense[expense_type],{"customer_account_expenses","customer_service_and_information_expenses","sales_expenses"}))</f>
        <v>89416307</v>
      </c>
      <c r="L26" s="38" cm="1">
        <f t="array" ref="L26">SUM(SUMIFS(tbl_FERC_Expense[dollar_value],tbl_FERC_Expense[utility_id_ferc1],CompanyId,tbl_FERC_Expense[report_year],L$4,tbl_FERC_Expense[expense_type],{"customer_account_expenses","customer_service_and_information_expenses","sales_expenses"}))</f>
        <v>94886763</v>
      </c>
      <c r="M26" s="38" cm="1">
        <f t="array" ref="M26">SUM(SUMIFS(tbl_FERC_Expense[dollar_value],tbl_FERC_Expense[utility_id_ferc1],CompanyId,tbl_FERC_Expense[report_year],M$4,tbl_FERC_Expense[expense_type],{"customer_account_expenses","customer_service_and_information_expenses","sales_expenses"}))</f>
        <v>99470835</v>
      </c>
      <c r="N26" s="38" cm="1">
        <f t="array" ref="N26">SUM(SUMIFS(tbl_FERC_Expense[dollar_value],tbl_FERC_Expense[utility_id_ferc1],CompanyId,tbl_FERC_Expense[report_year],N$4,tbl_FERC_Expense[expense_type],{"customer_account_expenses","customer_service_and_information_expenses","sales_expenses"}))</f>
        <v>113846883</v>
      </c>
      <c r="O26" s="38" cm="1">
        <f t="array" ref="O26">SUM(SUMIFS(tbl_FERC_Expense[dollar_value],tbl_FERC_Expense[utility_id_ferc1],CompanyId,tbl_FERC_Expense[report_year],O$4,tbl_FERC_Expense[expense_type],{"customer_account_expenses","customer_service_and_information_expenses","sales_expenses"}))</f>
        <v>82694489</v>
      </c>
      <c r="P26" s="39">
        <f>IFERROR((INDEX($D26:$O26,MATCH(FercYear,$D$4:$O$4,0))/INDEX($D26:$O26,MATCH(BaseYear,$D$4:$O$4,0)))^(1/(FercYear-BaseYear))-1,0)</f>
        <v>5.5617155921170447E-3</v>
      </c>
      <c r="Q26" s="40">
        <f>INDEX($D26:$O26,MATCH(FercYear,$D$4:$O$4,0))-INDEX($D26:$O26,MATCH(FercYear-1,$D$4:$O$4,0))</f>
        <v>-31152394</v>
      </c>
      <c r="R26" s="39" cm="1">
        <f t="array" ref="R26">SAFEDIV(Q26,ABS(INDEX($D26:$O26,MATCH(FercYear-1,$D$4:$O$4,0))))</f>
        <v>-0.27363414069052727</v>
      </c>
    </row>
    <row r="27" spans="2:18" x14ac:dyDescent="0.3">
      <c r="B27" t="s">
        <v>242</v>
      </c>
      <c r="C27" s="61"/>
      <c r="D27" s="38">
        <f>SUMIFS(tbl_FERC_Expense[dollar_value],tbl_FERC_Expense[utility_id_ferc1],CompanyId,tbl_FERC_Expense[report_year],D$4,tbl_FERC_Expense[expense_type],"administrative_and_general_expenses")</f>
        <v>161772278</v>
      </c>
      <c r="E27" s="38">
        <f>SUMIFS(tbl_FERC_Expense[dollar_value],tbl_FERC_Expense[utility_id_ferc1],CompanyId,tbl_FERC_Expense[report_year],E$4,tbl_FERC_Expense[expense_type],"administrative_and_general_expenses")</f>
        <v>171798280</v>
      </c>
      <c r="F27" s="38">
        <f>SUMIFS(tbl_FERC_Expense[dollar_value],tbl_FERC_Expense[utility_id_ferc1],CompanyId,tbl_FERC_Expense[report_year],F$4,tbl_FERC_Expense[expense_type],"administrative_and_general_expenses")</f>
        <v>176470725</v>
      </c>
      <c r="G27" s="38">
        <f>SUMIFS(tbl_FERC_Expense[dollar_value],tbl_FERC_Expense[utility_id_ferc1],CompanyId,tbl_FERC_Expense[report_year],G$4,tbl_FERC_Expense[expense_type],"administrative_and_general_expenses")</f>
        <v>190762897</v>
      </c>
      <c r="H27" s="38">
        <f>SUMIFS(tbl_FERC_Expense[dollar_value],tbl_FERC_Expense[utility_id_ferc1],CompanyId,tbl_FERC_Expense[report_year],H$4,tbl_FERC_Expense[expense_type],"administrative_and_general_expenses")</f>
        <v>190551981</v>
      </c>
      <c r="I27" s="38">
        <f>SUMIFS(tbl_FERC_Expense[dollar_value],tbl_FERC_Expense[utility_id_ferc1],CompanyId,tbl_FERC_Expense[report_year],I$4,tbl_FERC_Expense[expense_type],"administrative_and_general_expenses")</f>
        <v>210248968</v>
      </c>
      <c r="J27" s="38">
        <f>SUMIFS(tbl_FERC_Expense[dollar_value],tbl_FERC_Expense[utility_id_ferc1],CompanyId,tbl_FERC_Expense[report_year],J$4,tbl_FERC_Expense[expense_type],"administrative_and_general_expenses")</f>
        <v>204695622</v>
      </c>
      <c r="K27" s="38">
        <f>SUMIFS(tbl_FERC_Expense[dollar_value],tbl_FERC_Expense[utility_id_ferc1],CompanyId,tbl_FERC_Expense[report_year],K$4,tbl_FERC_Expense[expense_type],"administrative_and_general_expenses")</f>
        <v>242114888</v>
      </c>
      <c r="L27" s="38">
        <f>SUMIFS(tbl_FERC_Expense[dollar_value],tbl_FERC_Expense[utility_id_ferc1],CompanyId,tbl_FERC_Expense[report_year],L$4,tbl_FERC_Expense[expense_type],"administrative_and_general_expenses")</f>
        <v>222552630</v>
      </c>
      <c r="M27" s="38">
        <f>SUMIFS(tbl_FERC_Expense[dollar_value],tbl_FERC_Expense[utility_id_ferc1],CompanyId,tbl_FERC_Expense[report_year],M$4,tbl_FERC_Expense[expense_type],"administrative_and_general_expenses")</f>
        <v>222693087</v>
      </c>
      <c r="N27" s="38">
        <f>SUMIFS(tbl_FERC_Expense[dollar_value],tbl_FERC_Expense[utility_id_ferc1],CompanyId,tbl_FERC_Expense[report_year],N$4,tbl_FERC_Expense[expense_type],"administrative_and_general_expenses")</f>
        <v>263397780</v>
      </c>
      <c r="O27" s="38">
        <f>SUMIFS(tbl_FERC_Expense[dollar_value],tbl_FERC_Expense[utility_id_ferc1],CompanyId,tbl_FERC_Expense[report_year],O$4,tbl_FERC_Expense[expense_type],"administrative_and_general_expenses")</f>
        <v>283831875</v>
      </c>
      <c r="P27" s="39">
        <f>IFERROR((INDEX($D27:$O27,MATCH(FercYear,$D$4:$O$4,0))/INDEX($D27:$O27,MATCH(BaseYear,$D$4:$O$4,0)))^(1/(FercYear-BaseYear))-1,0)</f>
        <v>5.1286810023177365E-2</v>
      </c>
      <c r="Q27" s="40">
        <f>INDEX($D27:$O27,MATCH(FercYear,$D$4:$O$4,0))-INDEX($D27:$O27,MATCH(FercYear-1,$D$4:$O$4,0))</f>
        <v>20434095</v>
      </c>
      <c r="R27" s="39" cm="1">
        <f t="array" ref="R27">SAFEDIV(Q27,ABS(INDEX($D27:$O27,MATCH(FercYear-1,$D$4:$O$4,0))))</f>
        <v>7.7578842919632809E-2</v>
      </c>
    </row>
    <row r="28" spans="2:18" x14ac:dyDescent="0.3">
      <c r="B28" t="s">
        <v>243</v>
      </c>
      <c r="C28" s="61"/>
      <c r="D28" s="38">
        <f t="shared" ref="D28:O28" si="5">D29-SUM(D23:D27)</f>
        <v>0</v>
      </c>
      <c r="E28" s="38">
        <f t="shared" si="5"/>
        <v>0</v>
      </c>
      <c r="F28" s="38">
        <f t="shared" si="5"/>
        <v>0</v>
      </c>
      <c r="G28" s="38">
        <f t="shared" si="5"/>
        <v>0</v>
      </c>
      <c r="H28" s="38">
        <f t="shared" si="5"/>
        <v>0</v>
      </c>
      <c r="I28" s="38">
        <f t="shared" si="5"/>
        <v>0</v>
      </c>
      <c r="J28" s="38">
        <f t="shared" si="5"/>
        <v>0</v>
      </c>
      <c r="K28" s="38">
        <f t="shared" si="5"/>
        <v>0</v>
      </c>
      <c r="L28" s="38">
        <f t="shared" si="5"/>
        <v>0</v>
      </c>
      <c r="M28" s="38">
        <f t="shared" si="5"/>
        <v>0</v>
      </c>
      <c r="N28" s="38">
        <f t="shared" si="5"/>
        <v>0</v>
      </c>
      <c r="O28" s="38">
        <f t="shared" si="5"/>
        <v>4183939</v>
      </c>
      <c r="P28" s="39">
        <f>IFERROR((INDEX($D28:$O28,MATCH(FercYear,$D$4:$O$4,0))/INDEX($D28:$O28,MATCH(BaseYear,$D$4:$O$4,0)))^(1/(FercYear-BaseYear))-1,0)</f>
        <v>0</v>
      </c>
      <c r="Q28" s="40">
        <f>INDEX($D28:$O28,MATCH(FercYear,$D$4:$O$4,0))-INDEX($D28:$O28,MATCH(FercYear-1,$D$4:$O$4,0))</f>
        <v>4183939</v>
      </c>
      <c r="R28" s="39" cm="1">
        <f t="array" ref="R28">SAFEDIV(Q28,ABS(INDEX($D28:$O28,MATCH(FercYear-1,$D$4:$O$4,0))))</f>
        <v>0</v>
      </c>
    </row>
    <row r="29" spans="2:18" x14ac:dyDescent="0.3">
      <c r="B29" s="42" t="s">
        <v>244</v>
      </c>
      <c r="C29" s="62"/>
      <c r="D29" s="43">
        <f>SUMIFS(tbl_FERC_Expense[dollar_value],tbl_FERC_Expense[utility_id_ferc1],CompanyId,tbl_FERC_Expense[report_year],D$4,tbl_FERC_Expense[expense_type],"operations_and_maintenance_expenses_electric")-D19</f>
        <v>556588343</v>
      </c>
      <c r="E29" s="43">
        <f>SUMIFS(tbl_FERC_Expense[dollar_value],tbl_FERC_Expense[utility_id_ferc1],CompanyId,tbl_FERC_Expense[report_year],E$4,tbl_FERC_Expense[expense_type],"operations_and_maintenance_expenses_electric")-E19</f>
        <v>581874839</v>
      </c>
      <c r="F29" s="43">
        <f>SUMIFS(tbl_FERC_Expense[dollar_value],tbl_FERC_Expense[utility_id_ferc1],CompanyId,tbl_FERC_Expense[report_year],F$4,tbl_FERC_Expense[expense_type],"operations_and_maintenance_expenses_electric")-F19</f>
        <v>605520686</v>
      </c>
      <c r="G29" s="43">
        <f>SUMIFS(tbl_FERC_Expense[dollar_value],tbl_FERC_Expense[utility_id_ferc1],CompanyId,tbl_FERC_Expense[report_year],G$4,tbl_FERC_Expense[expense_type],"operations_and_maintenance_expenses_electric")-G19</f>
        <v>651229166</v>
      </c>
      <c r="H29" s="43">
        <f>SUMIFS(tbl_FERC_Expense[dollar_value],tbl_FERC_Expense[utility_id_ferc1],CompanyId,tbl_FERC_Expense[report_year],H$4,tbl_FERC_Expense[expense_type],"operations_and_maintenance_expenses_electric")-H19</f>
        <v>645493350</v>
      </c>
      <c r="I29" s="43">
        <f>SUMIFS(tbl_FERC_Expense[dollar_value],tbl_FERC_Expense[utility_id_ferc1],CompanyId,tbl_FERC_Expense[report_year],I$4,tbl_FERC_Expense[expense_type],"operations_and_maintenance_expenses_electric")-I19</f>
        <v>696324368</v>
      </c>
      <c r="J29" s="43">
        <f>SUMIFS(tbl_FERC_Expense[dollar_value],tbl_FERC_Expense[utility_id_ferc1],CompanyId,tbl_FERC_Expense[report_year],J$4,tbl_FERC_Expense[expense_type],"operations_and_maintenance_expenses_electric")-J19</f>
        <v>652220200</v>
      </c>
      <c r="K29" s="43">
        <f>SUMIFS(tbl_FERC_Expense[dollar_value],tbl_FERC_Expense[utility_id_ferc1],CompanyId,tbl_FERC_Expense[report_year],K$4,tbl_FERC_Expense[expense_type],"operations_and_maintenance_expenses_electric")-K19</f>
        <v>734683545</v>
      </c>
      <c r="L29" s="43">
        <f>SUMIFS(tbl_FERC_Expense[dollar_value],tbl_FERC_Expense[utility_id_ferc1],CompanyId,tbl_FERC_Expense[report_year],L$4,tbl_FERC_Expense[expense_type],"operations_and_maintenance_expenses_electric")-L19</f>
        <v>765292606</v>
      </c>
      <c r="M29" s="43">
        <f>SUMIFS(tbl_FERC_Expense[dollar_value],tbl_FERC_Expense[utility_id_ferc1],CompanyId,tbl_FERC_Expense[report_year],M$4,tbl_FERC_Expense[expense_type],"operations_and_maintenance_expenses_electric")-M19</f>
        <v>793914296</v>
      </c>
      <c r="N29" s="43">
        <f>SUMIFS(tbl_FERC_Expense[dollar_value],tbl_FERC_Expense[utility_id_ferc1],CompanyId,tbl_FERC_Expense[report_year],N$4,tbl_FERC_Expense[expense_type],"operations_and_maintenance_expenses_electric")-N19</f>
        <v>940629496</v>
      </c>
      <c r="O29" s="43">
        <f>SUMIFS(tbl_FERC_Expense[dollar_value],tbl_FERC_Expense[utility_id_ferc1],CompanyId,tbl_FERC_Expense[report_year],O$4,tbl_FERC_Expense[expense_type],"operations_and_maintenance_expenses_electric")-O19</f>
        <v>965606989</v>
      </c>
      <c r="P29" s="44">
        <f>IFERROR((INDEX($D29:$O29,MATCH(FercYear,$D$4:$O$4,0))/INDEX($D29:$O29,MATCH(BaseYear,$D$4:$O$4,0)))^(1/(FercYear-BaseYear))-1,0)</f>
        <v>5.600214690187677E-2</v>
      </c>
      <c r="Q29" s="45">
        <f>INDEX($D29:$O29,MATCH(FercYear,$D$4:$O$4,0))-INDEX($D29:$O29,MATCH(FercYear-1,$D$4:$O$4,0))</f>
        <v>24977493</v>
      </c>
      <c r="R29" s="44" cm="1">
        <f t="array" ref="R29">SAFEDIV(Q29,ABS(INDEX($D29:$O29,MATCH(FercYear-1,$D$4:$O$4,0))))</f>
        <v>2.6554018459144724E-2</v>
      </c>
    </row>
    <row r="30" spans="2:18" x14ac:dyDescent="0.3">
      <c r="B30" t="s">
        <v>245</v>
      </c>
      <c r="C30" s="61"/>
      <c r="D30" s="38" cm="1">
        <f t="array" ref="D30">SUM(SUMIFS(tbl_FERC_Income[dollar_value],tbl_FERC_Income[utility_id_ferc1],CompanyId,tbl_FERC_Income[report_year],D$4,tbl_FERC_Income[income_type],{"depreciation_expense","depreciation_expense_for_asset_retirement_costs","amortization_and_depletion_of_utility_plant","amortization_of_other_utility_plant"}))</f>
        <v>270700548</v>
      </c>
      <c r="E30" s="38" cm="1">
        <f t="array" ref="E30">SUM(SUMIFS(tbl_FERC_Income[dollar_value],tbl_FERC_Income[utility_id_ferc1],CompanyId,tbl_FERC_Income[report_year],E$4,tbl_FERC_Income[income_type],{"depreciation_expense","depreciation_expense_for_asset_retirement_costs","amortization_and_depletion_of_utility_plant","amortization_of_other_utility_plant"}))</f>
        <v>295789259</v>
      </c>
      <c r="F30" s="38" cm="1">
        <f t="array" ref="F30">SUM(SUMIFS(tbl_FERC_Income[dollar_value],tbl_FERC_Income[utility_id_ferc1],CompanyId,tbl_FERC_Income[report_year],F$4,tbl_FERC_Income[income_type],{"depreciation_expense","depreciation_expense_for_asset_retirement_costs","amortization_and_depletion_of_utility_plant","amortization_of_other_utility_plant"}))</f>
        <v>317600678</v>
      </c>
      <c r="G30" s="38" cm="1">
        <f t="array" ref="G30">SUM(SUMIFS(tbl_FERC_Income[dollar_value],tbl_FERC_Income[utility_id_ferc1],CompanyId,tbl_FERC_Income[report_year],G$4,tbl_FERC_Income[income_type],{"depreciation_expense","depreciation_expense_for_asset_retirement_costs","amortization_and_depletion_of_utility_plant","amortization_of_other_utility_plant"}))</f>
        <v>343699429</v>
      </c>
      <c r="H30" s="38" cm="1">
        <f t="array" ref="H30">SUM(SUMIFS(tbl_FERC_Income[dollar_value],tbl_FERC_Income[utility_id_ferc1],CompanyId,tbl_FERC_Income[report_year],H$4,tbl_FERC_Income[income_type],{"depreciation_expense","depreciation_expense_for_asset_retirement_costs","amortization_and_depletion_of_utility_plant","amortization_of_other_utility_plant"}))</f>
        <v>361731511</v>
      </c>
      <c r="I30" s="38" cm="1">
        <f t="array" ref="I30">SUM(SUMIFS(tbl_FERC_Income[dollar_value],tbl_FERC_Income[utility_id_ferc1],CompanyId,tbl_FERC_Income[report_year],I$4,tbl_FERC_Income[income_type],{"depreciation_expense","depreciation_expense_for_asset_retirement_costs","amortization_and_depletion_of_utility_plant","amortization_of_other_utility_plant"}))</f>
        <v>378993196</v>
      </c>
      <c r="J30" s="38" cm="1">
        <f t="array" ref="J30">SUM(SUMIFS(tbl_FERC_Income[dollar_value],tbl_FERC_Income[utility_id_ferc1],CompanyId,tbl_FERC_Income[report_year],J$4,tbl_FERC_Income[income_type],{"depreciation_expense","depreciation_expense_for_asset_retirement_costs","amortization_and_depletion_of_utility_plant","amortization_of_other_utility_plant"}))</f>
        <v>375712084</v>
      </c>
      <c r="K30" s="38" cm="1">
        <f t="array" ref="K30">SUM(SUMIFS(tbl_FERC_Income[dollar_value],tbl_FERC_Income[utility_id_ferc1],CompanyId,tbl_FERC_Income[report_year],K$4,tbl_FERC_Income[income_type],{"depreciation_expense","depreciation_expense_for_asset_retirement_costs","amortization_and_depletion_of_utility_plant","amortization_of_other_utility_plant"}))</f>
        <v>379591275</v>
      </c>
      <c r="L30" s="38" cm="1">
        <f t="array" ref="L30">SUM(SUMIFS(tbl_FERC_Income[dollar_value],tbl_FERC_Income[utility_id_ferc1],CompanyId,tbl_FERC_Income[report_year],L$4,tbl_FERC_Income[income_type],{"depreciation_expense","depreciation_expense_for_asset_retirement_costs","amortization_and_depletion_of_utility_plant","amortization_of_other_utility_plant"}))</f>
        <v>398863036</v>
      </c>
      <c r="M30" s="38" cm="1">
        <f t="array" ref="M30">SUM(SUMIFS(tbl_FERC_Income[dollar_value],tbl_FERC_Income[utility_id_ferc1],CompanyId,tbl_FERC_Income[report_year],M$4,tbl_FERC_Income[income_type],{"depreciation_expense","depreciation_expense_for_asset_retirement_costs","amortization_and_depletion_of_utility_plant","amortization_of_other_utility_plant"}))</f>
        <v>431040915</v>
      </c>
      <c r="N30" s="38" cm="1">
        <f t="array" ref="N30">SUM(SUMIFS(tbl_FERC_Income[dollar_value],tbl_FERC_Income[utility_id_ferc1],CompanyId,tbl_FERC_Income[report_year],N$4,tbl_FERC_Income[income_type],{"depreciation_expense","depreciation_expense_for_asset_retirement_costs","amortization_and_depletion_of_utility_plant","amortization_of_other_utility_plant"}))</f>
        <v>485456244</v>
      </c>
      <c r="O30" s="38" cm="1">
        <f t="array" ref="O30">SUM(SUMIFS(tbl_FERC_Income[dollar_value],tbl_FERC_Income[utility_id_ferc1],CompanyId,tbl_FERC_Income[report_year],O$4,tbl_FERC_Income[income_type],{"depreciation_expense","depreciation_expense_for_asset_retirement_costs","amortization_and_depletion_of_utility_plant","amortization_of_other_utility_plant"}))</f>
        <v>530444462</v>
      </c>
      <c r="P30" s="39">
        <f>IFERROR((INDEX($D30:$O30,MATCH(FercYear,$D$4:$O$4,0))/INDEX($D30:$O30,MATCH(BaseYear,$D$4:$O$4,0)))^(1/(FercYear-BaseYear))-1,0)</f>
        <v>5.7632410569657511E-2</v>
      </c>
      <c r="Q30" s="40">
        <f>INDEX($D30:$O30,MATCH(FercYear,$D$4:$O$4,0))-INDEX($D30:$O30,MATCH(FercYear-1,$D$4:$O$4,0))</f>
        <v>44988218</v>
      </c>
      <c r="R30" s="39" cm="1">
        <f t="array" ref="R30">SAFEDIV(Q30,ABS(INDEX($D30:$O30,MATCH(FercYear-1,$D$4:$O$4,0))))</f>
        <v>9.2672034928033595E-2</v>
      </c>
    </row>
    <row r="31" spans="2:18" x14ac:dyDescent="0.3">
      <c r="B31" t="s">
        <v>246</v>
      </c>
      <c r="C31" s="61"/>
      <c r="D31" s="38">
        <f>SUMIFS(tbl_FERC_Income[dollar_value],tbl_FERC_Income[utility_id_ferc1],CompanyId,tbl_FERC_Income[report_year],D$4,tbl_FERC_Income[income_type],"taxes_other_than_income_taxes_utility_operating_income")</f>
        <v>106846515</v>
      </c>
      <c r="E31" s="38">
        <f>SUMIFS(tbl_FERC_Income[dollar_value],tbl_FERC_Income[utility_id_ferc1],CompanyId,tbl_FERC_Income[report_year],E$4,tbl_FERC_Income[income_type],"taxes_other_than_income_taxes_utility_operating_income")</f>
        <v>114643947</v>
      </c>
      <c r="F31" s="38">
        <f>SUMIFS(tbl_FERC_Income[dollar_value],tbl_FERC_Income[utility_id_ferc1],CompanyId,tbl_FERC_Income[report_year],F$4,tbl_FERC_Income[income_type],"taxes_other_than_income_taxes_utility_operating_income")</f>
        <v>117893057</v>
      </c>
      <c r="G31" s="38">
        <f>SUMIFS(tbl_FERC_Income[dollar_value],tbl_FERC_Income[utility_id_ferc1],CompanyId,tbl_FERC_Income[report_year],G$4,tbl_FERC_Income[income_type],"taxes_other_than_income_taxes_utility_operating_income")</f>
        <v>121629678</v>
      </c>
      <c r="H31" s="38">
        <f>SUMIFS(tbl_FERC_Income[dollar_value],tbl_FERC_Income[utility_id_ferc1],CompanyId,tbl_FERC_Income[report_year],H$4,tbl_FERC_Income[income_type],"taxes_other_than_income_taxes_utility_operating_income")</f>
        <v>126448833</v>
      </c>
      <c r="I31" s="38">
        <f>SUMIFS(tbl_FERC_Income[dollar_value],tbl_FERC_Income[utility_id_ferc1],CompanyId,tbl_FERC_Income[report_year],I$4,tbl_FERC_Income[income_type],"taxes_other_than_income_taxes_utility_operating_income")</f>
        <v>132404584</v>
      </c>
      <c r="J31" s="38">
        <f>SUMIFS(tbl_FERC_Income[dollar_value],tbl_FERC_Income[utility_id_ferc1],CompanyId,tbl_FERC_Income[report_year],J$4,tbl_FERC_Income[income_type],"taxes_other_than_income_taxes_utility_operating_income")</f>
        <v>136443033</v>
      </c>
      <c r="K31" s="38">
        <f>SUMIFS(tbl_FERC_Income[dollar_value],tbl_FERC_Income[utility_id_ferc1],CompanyId,tbl_FERC_Income[report_year],K$4,tbl_FERC_Income[income_type],"taxes_other_than_income_taxes_utility_operating_income")</f>
        <v>143889438</v>
      </c>
      <c r="L31" s="38">
        <f>SUMIFS(tbl_FERC_Income[dollar_value],tbl_FERC_Income[utility_id_ferc1],CompanyId,tbl_FERC_Income[report_year],L$4,tbl_FERC_Income[income_type],"taxes_other_than_income_taxes_utility_operating_income")</f>
        <v>154021039</v>
      </c>
      <c r="M31" s="38">
        <f>SUMIFS(tbl_FERC_Income[dollar_value],tbl_FERC_Income[utility_id_ferc1],CompanyId,tbl_FERC_Income[report_year],M$4,tbl_FERC_Income[income_type],"taxes_other_than_income_taxes_utility_operating_income")</f>
        <v>161434174</v>
      </c>
      <c r="N31" s="38">
        <f>SUMIFS(tbl_FERC_Income[dollar_value],tbl_FERC_Income[utility_id_ferc1],CompanyId,tbl_FERC_Income[report_year],N$4,tbl_FERC_Income[income_type],"taxes_other_than_income_taxes_utility_operating_income")</f>
        <v>173230151</v>
      </c>
      <c r="O31" s="38">
        <f>SUMIFS(tbl_FERC_Income[dollar_value],tbl_FERC_Income[utility_id_ferc1],CompanyId,tbl_FERC_Income[report_year],O$4,tbl_FERC_Income[income_type],"taxes_other_than_income_taxes_utility_operating_income")</f>
        <v>187937578</v>
      </c>
      <c r="P31" s="39">
        <f>IFERROR((INDEX($D31:$O31,MATCH(FercYear,$D$4:$O$4,0))/INDEX($D31:$O31,MATCH(BaseYear,$D$4:$O$4,0)))^(1/(FercYear-BaseYear))-1,0)</f>
        <v>6.0112041168067343E-2</v>
      </c>
      <c r="Q31" s="40">
        <f>INDEX($D31:$O31,MATCH(FercYear,$D$4:$O$4,0))-INDEX($D31:$O31,MATCH(FercYear-1,$D$4:$O$4,0))</f>
        <v>14707427</v>
      </c>
      <c r="R31" s="39" cm="1">
        <f t="array" ref="R31">SAFEDIV(Q31,ABS(INDEX($D31:$O31,MATCH(FercYear-1,$D$4:$O$4,0))))</f>
        <v>8.4901080528412165E-2</v>
      </c>
    </row>
    <row r="32" spans="2:18" ht="13.5" thickBot="1" x14ac:dyDescent="0.35">
      <c r="B32" s="50" t="s">
        <v>247</v>
      </c>
      <c r="C32" s="63"/>
      <c r="D32" s="51">
        <f t="shared" ref="D32:O32" si="6">D20-D29-D30-D31</f>
        <v>326782903</v>
      </c>
      <c r="E32" s="51">
        <f t="shared" si="6"/>
        <v>322243418</v>
      </c>
      <c r="F32" s="51">
        <f t="shared" si="6"/>
        <v>339222608</v>
      </c>
      <c r="G32" s="51">
        <f t="shared" si="6"/>
        <v>381539543</v>
      </c>
      <c r="H32" s="51">
        <f t="shared" si="6"/>
        <v>363252854</v>
      </c>
      <c r="I32" s="51">
        <f t="shared" si="6"/>
        <v>370888531</v>
      </c>
      <c r="J32" s="51">
        <f t="shared" si="6"/>
        <v>332596035</v>
      </c>
      <c r="K32" s="51">
        <f t="shared" si="6"/>
        <v>390455728</v>
      </c>
      <c r="L32" s="51">
        <f t="shared" si="6"/>
        <v>409512707</v>
      </c>
      <c r="M32" s="51">
        <f t="shared" si="6"/>
        <v>412119832</v>
      </c>
      <c r="N32" s="51">
        <f t="shared" si="6"/>
        <v>523773959</v>
      </c>
      <c r="O32" s="51">
        <f t="shared" si="6"/>
        <v>542439157</v>
      </c>
      <c r="P32" s="52">
        <f>IFERROR((INDEX($D32:$O32,MATCH(FercYear,$D$4:$O$4,0))/INDEX($D32:$O32,MATCH(BaseYear,$D$4:$O$4,0)))^(1/(FercYear-BaseYear))-1,0)</f>
        <v>6.5412868545178471E-2</v>
      </c>
      <c r="Q32" s="53">
        <f>INDEX($D32:$O32,MATCH(FercYear,$D$4:$O$4,0))-INDEX($D32:$O32,MATCH(FercYear-1,$D$4:$O$4,0))</f>
        <v>18665198</v>
      </c>
      <c r="R32" s="52" cm="1">
        <f t="array" ref="R32">SAFEDIV(Q32,ABS(INDEX($D32:$O32,MATCH(FercYear-1,$D$4:$O$4,0))))</f>
        <v>3.5635979374835626E-2</v>
      </c>
    </row>
    <row r="33" spans="2:18" ht="13.5" thickTop="1" x14ac:dyDescent="0.3">
      <c r="B33" s="47" t="s">
        <v>248</v>
      </c>
      <c r="C33" s="59"/>
      <c r="D33" s="48" cm="1">
        <f t="array" ref="D33">SAFEDIV(D32,D15)</f>
        <v>0.16961825043938461</v>
      </c>
      <c r="E33" s="48" cm="1">
        <f t="array" ref="E33">SAFEDIV(E32,E15)</f>
        <v>0.16828026128512963</v>
      </c>
      <c r="F33" s="48" cm="1">
        <f t="array" ref="F33">SAFEDIV(F32,F15)</f>
        <v>0.17493214382122774</v>
      </c>
      <c r="G33" s="48" cm="1">
        <f t="array" ref="G33">SAFEDIV(G32,G15)</f>
        <v>0.18862943554783232</v>
      </c>
      <c r="H33" s="48" cm="1">
        <f t="array" ref="H33">SAFEDIV(H32,H15)</f>
        <v>0.18116355023413547</v>
      </c>
      <c r="I33" s="48" cm="1">
        <f t="array" ref="I33">SAFEDIV(I32,I15)</f>
        <v>0.17266832793694448</v>
      </c>
      <c r="J33" s="48" cm="1">
        <f t="array" ref="J33">SAFEDIV(J32,J15)</f>
        <v>0.15417862419746706</v>
      </c>
      <c r="K33" s="48" cm="1">
        <f t="array" ref="K33">SAFEDIV(K32,K15)</f>
        <v>0.16166905664364478</v>
      </c>
      <c r="L33" s="48" cm="1">
        <f t="array" ref="L33">SAFEDIV(L32,L15)</f>
        <v>0.15153531753935218</v>
      </c>
      <c r="M33" s="48" cm="1">
        <f t="array" ref="M33">SAFEDIV(M32,M15)</f>
        <v>0.13892221277219091</v>
      </c>
      <c r="N33" s="48" cm="1">
        <f t="array" ref="N33">SAFEDIV(N32,N15)</f>
        <v>0.15134849249338925</v>
      </c>
      <c r="O33" s="48" cm="1">
        <f t="array" ref="O33">SAFEDIV(O32,O15)</f>
        <v>0.15287795659551495</v>
      </c>
      <c r="P33" s="49">
        <f>INDEX($D33:$O33,MATCH(FercYear,$D$4:$O$4,0))-INDEX($D33:$O33,MATCH(BaseYear,$D$4:$O$4,0))</f>
        <v>-1.9790371341429525E-2</v>
      </c>
      <c r="Q33" s="49">
        <f>INDEX($D33:$O33,MATCH(FercYear,$D$4:$O$4,0))-INDEX($D33:$O33,MATCH(FercYear-1,$D$4:$O$4,0))</f>
        <v>1.5294641021257049E-3</v>
      </c>
      <c r="R33" s="47"/>
    </row>
    <row r="34" spans="2:18" ht="18" customHeight="1" x14ac:dyDescent="0.3">
      <c r="B34" s="7" t="s">
        <v>249</v>
      </c>
      <c r="C34" s="60"/>
      <c r="D34" s="7"/>
      <c r="E34" s="7"/>
      <c r="F34" s="7"/>
      <c r="G34" s="7"/>
      <c r="H34" s="7"/>
      <c r="I34" s="7"/>
      <c r="J34" s="7"/>
      <c r="K34" s="7"/>
      <c r="L34" s="7"/>
      <c r="M34" s="7"/>
      <c r="N34" s="7"/>
      <c r="O34" s="7"/>
      <c r="P34" s="7"/>
      <c r="Q34" s="7"/>
      <c r="R34" s="7"/>
    </row>
    <row r="35" spans="2:18" x14ac:dyDescent="0.3">
      <c r="B35" t="s">
        <v>206</v>
      </c>
      <c r="C35" s="61"/>
      <c r="D35" s="54">
        <f>SUMIFS(tbl_FERC_Revenue[sales_mwh],tbl_FERC_Revenue[utility_id_ferc1],CompanyId,tbl_FERC_Revenue[report_year],D$4,tbl_FERC_Revenue[revenue_type],"sales_to_ultimate_consumers")</f>
        <v>17603187</v>
      </c>
      <c r="E35" s="54">
        <f>SUMIFS(tbl_FERC_Revenue[sales_mwh],tbl_FERC_Revenue[utility_id_ferc1],CompanyId,tbl_FERC_Revenue[report_year],E$4,tbl_FERC_Revenue[revenue_type],"sales_to_ultimate_consumers")</f>
        <v>17696386</v>
      </c>
      <c r="F35" s="54">
        <f>SUMIFS(tbl_FERC_Revenue[sales_mwh],tbl_FERC_Revenue[utility_id_ferc1],CompanyId,tbl_FERC_Revenue[report_year],F$4,tbl_FERC_Revenue[revenue_type],"sales_to_ultimate_consumers")</f>
        <v>17248173</v>
      </c>
      <c r="G35" s="54">
        <f>SUMIFS(tbl_FERC_Revenue[sales_mwh],tbl_FERC_Revenue[utility_id_ferc1],CompanyId,tbl_FERC_Revenue[report_year],G$4,tbl_FERC_Revenue[revenue_type],"sales_to_ultimate_consumers")</f>
        <v>17754280</v>
      </c>
      <c r="H35" s="54">
        <f>SUMIFS(tbl_FERC_Revenue[sales_mwh],tbl_FERC_Revenue[utility_id_ferc1],CompanyId,tbl_FERC_Revenue[report_year],H$4,tbl_FERC_Revenue[revenue_type],"sales_to_ultimate_consumers")</f>
        <v>17186002</v>
      </c>
      <c r="I35" s="54">
        <f>SUMIFS(tbl_FERC_Revenue[sales_mwh],tbl_FERC_Revenue[utility_id_ferc1],CompanyId,tbl_FERC_Revenue[report_year],I$4,tbl_FERC_Revenue[revenue_type],"sales_to_ultimate_consumers")</f>
        <v>17304691</v>
      </c>
      <c r="J35" s="54">
        <f>SUMIFS(tbl_FERC_Revenue[sales_mwh],tbl_FERC_Revenue[utility_id_ferc1],CompanyId,tbl_FERC_Revenue[report_year],J$4,tbl_FERC_Revenue[revenue_type],"sales_to_ultimate_consumers")</f>
        <v>17423803</v>
      </c>
      <c r="K35" s="54">
        <f>SUMIFS(tbl_FERC_Revenue[sales_mwh],tbl_FERC_Revenue[utility_id_ferc1],CompanyId,tbl_FERC_Revenue[report_year],K$4,tbl_FERC_Revenue[revenue_type],"sales_to_ultimate_consumers")</f>
        <v>18296054</v>
      </c>
      <c r="L35" s="54">
        <f>SUMIFS(tbl_FERC_Revenue[sales_mwh],tbl_FERC_Revenue[utility_id_ferc1],CompanyId,tbl_FERC_Revenue[report_year],L$4,tbl_FERC_Revenue[revenue_type],"sales_to_ultimate_consumers")</f>
        <v>18905061</v>
      </c>
      <c r="M35" s="54">
        <f>SUMIFS(tbl_FERC_Revenue[sales_mwh],tbl_FERC_Revenue[utility_id_ferc1],CompanyId,tbl_FERC_Revenue[report_year],M$4,tbl_FERC_Revenue[revenue_type],"sales_to_ultimate_consumers")</f>
        <v>19131728</v>
      </c>
      <c r="N35" s="54">
        <f>SUMIFS(tbl_FERC_Revenue[sales_mwh],tbl_FERC_Revenue[utility_id_ferc1],CompanyId,tbl_FERC_Revenue[report_year],N$4,tbl_FERC_Revenue[revenue_type],"sales_to_ultimate_consumers")</f>
        <v>19272622</v>
      </c>
      <c r="O35" s="54">
        <f>SUMIFS(tbl_FERC_Revenue[sales_mwh],tbl_FERC_Revenue[utility_id_ferc1],CompanyId,tbl_FERC_Revenue[report_year],O$4,tbl_FERC_Revenue[revenue_type],"sales_to_ultimate_consumers")</f>
        <v>19968167</v>
      </c>
      <c r="P35" s="39">
        <f>IFERROR((INDEX($D35:$O35,MATCH(FercYear,$D$4:$O$4,0))/INDEX($D35:$O35,MATCH(BaseYear,$D$4:$O$4,0)))^(1/(FercYear-BaseYear))-1,0)</f>
        <v>2.4147223384501926E-2</v>
      </c>
      <c r="Q35" s="55">
        <f>INDEX($D35:$O35,MATCH(FercYear,$D$4:$O$4,0))-INDEX($D35:$O35,MATCH(FercYear-1,$D$4:$O$4,0))</f>
        <v>695545</v>
      </c>
      <c r="R35" s="39" cm="1">
        <f t="array" ref="R35">SAFEDIV(Q35,ABS(INDEX($D35:$O35,MATCH(FercYear-1,$D$4:$O$4,0))))</f>
        <v>3.6089796188603709E-2</v>
      </c>
    </row>
    <row r="36" spans="2:18" x14ac:dyDescent="0.3">
      <c r="B36" t="s">
        <v>250</v>
      </c>
      <c r="C36" s="61"/>
      <c r="D36" s="54">
        <f>SUMIFS(tbl_FERC_Revenue[sales_mwh],tbl_FERC_Revenue[utility_id_ferc1],CompanyId,tbl_FERC_Revenue[report_year],D$4,tbl_FERC_Revenue[revenue_type],"residential_sales")</f>
        <v>7461863</v>
      </c>
      <c r="E36" s="54">
        <f>SUMIFS(tbl_FERC_Revenue[sales_mwh],tbl_FERC_Revenue[utility_id_ferc1],CompanyId,tbl_FERC_Revenue[report_year],E$4,tbl_FERC_Revenue[revenue_type],"residential_sales")</f>
        <v>7325314</v>
      </c>
      <c r="F36" s="54">
        <f>SUMIFS(tbl_FERC_Revenue[sales_mwh],tbl_FERC_Revenue[utility_id_ferc1],CompanyId,tbl_FERC_Revenue[report_year],F$4,tbl_FERC_Revenue[revenue_type],"residential_sales")</f>
        <v>7347750</v>
      </c>
      <c r="G36" s="54">
        <f>SUMIFS(tbl_FERC_Revenue[sales_mwh],tbl_FERC_Revenue[utility_id_ferc1],CompanyId,tbl_FERC_Revenue[report_year],G$4,tbl_FERC_Revenue[revenue_type],"residential_sales")</f>
        <v>7879585</v>
      </c>
      <c r="H36" s="54">
        <f>SUMIFS(tbl_FERC_Revenue[sales_mwh],tbl_FERC_Revenue[utility_id_ferc1],CompanyId,tbl_FERC_Revenue[report_year],H$4,tbl_FERC_Revenue[revenue_type],"residential_sales")</f>
        <v>7415759</v>
      </c>
      <c r="I36" s="54">
        <f>SUMIFS(tbl_FERC_Revenue[sales_mwh],tbl_FERC_Revenue[utility_id_ferc1],CompanyId,tbl_FERC_Revenue[report_year],I$4,tbl_FERC_Revenue[revenue_type],"residential_sales")</f>
        <v>7471069</v>
      </c>
      <c r="J36" s="54">
        <f>SUMIFS(tbl_FERC_Revenue[sales_mwh],tbl_FERC_Revenue[utility_id_ferc1],CompanyId,tbl_FERC_Revenue[report_year],J$4,tbl_FERC_Revenue[revenue_type],"residential_sales")</f>
        <v>7756251</v>
      </c>
      <c r="K36" s="54">
        <f>SUMIFS(tbl_FERC_Revenue[sales_mwh],tbl_FERC_Revenue[utility_id_ferc1],CompanyId,tbl_FERC_Revenue[report_year],K$4,tbl_FERC_Revenue[revenue_type],"residential_sales")</f>
        <v>7978099</v>
      </c>
      <c r="L36" s="54">
        <f>SUMIFS(tbl_FERC_Revenue[sales_mwh],tbl_FERC_Revenue[utility_id_ferc1],CompanyId,tbl_FERC_Revenue[report_year],L$4,tbl_FERC_Revenue[revenue_type],"residential_sales")</f>
        <v>8088474</v>
      </c>
      <c r="M36" s="54">
        <f>SUMIFS(tbl_FERC_Revenue[sales_mwh],tbl_FERC_Revenue[utility_id_ferc1],CompanyId,tbl_FERC_Revenue[report_year],M$4,tbl_FERC_Revenue[revenue_type],"residential_sales")</f>
        <v>7952313</v>
      </c>
      <c r="N36" s="54">
        <f>SUMIFS(tbl_FERC_Revenue[sales_mwh],tbl_FERC_Revenue[utility_id_ferc1],CompanyId,tbl_FERC_Revenue[report_year],N$4,tbl_FERC_Revenue[revenue_type],"residential_sales")</f>
        <v>7731594</v>
      </c>
      <c r="O36" s="54">
        <f>SUMIFS(tbl_FERC_Revenue[sales_mwh],tbl_FERC_Revenue[utility_id_ferc1],CompanyId,tbl_FERC_Revenue[report_year],O$4,tbl_FERC_Revenue[revenue_type],"residential_sales")</f>
        <v>7596298</v>
      </c>
      <c r="P36" s="39">
        <f>IFERROR((INDEX($D36:$O36,MATCH(FercYear,$D$4:$O$4,0))/INDEX($D36:$O36,MATCH(BaseYear,$D$4:$O$4,0)))^(1/(FercYear-BaseYear))-1,0)</f>
        <v>2.7743294642477156E-3</v>
      </c>
      <c r="Q36" s="55">
        <f>INDEX($D36:$O36,MATCH(FercYear,$D$4:$O$4,0))-INDEX($D36:$O36,MATCH(FercYear-1,$D$4:$O$4,0))</f>
        <v>-135296</v>
      </c>
      <c r="R36" s="39" cm="1">
        <f t="array" ref="R36">SAFEDIV(Q36,ABS(INDEX($D36:$O36,MATCH(FercYear-1,$D$4:$O$4,0))))</f>
        <v>-1.7499108204595326E-2</v>
      </c>
    </row>
    <row r="37" spans="2:18" x14ac:dyDescent="0.3">
      <c r="B37" t="s">
        <v>251</v>
      </c>
      <c r="C37" s="61"/>
      <c r="D37" s="54">
        <f>SUMIFS(tbl_FERC_Revenue[sales_mwh],tbl_FERC_Revenue[utility_id_ferc1],CompanyId,tbl_FERC_Revenue[report_year],D$4,tbl_FERC_Revenue[revenue_type],"large_or_industrial")</f>
        <v>3210619</v>
      </c>
      <c r="E37" s="54">
        <f>SUMIFS(tbl_FERC_Revenue[sales_mwh],tbl_FERC_Revenue[utility_id_ferc1],CompanyId,tbl_FERC_Revenue[report_year],E$4,tbl_FERC_Revenue[revenue_type],"large_or_industrial")</f>
        <v>3369215</v>
      </c>
      <c r="F37" s="54">
        <f>SUMIFS(tbl_FERC_Revenue[sales_mwh],tbl_FERC_Revenue[utility_id_ferc1],CompanyId,tbl_FERC_Revenue[report_year],F$4,tbl_FERC_Revenue[revenue_type],"large_or_industrial")</f>
        <v>2968238</v>
      </c>
      <c r="G37" s="54">
        <f>SUMIFS(tbl_FERC_Revenue[sales_mwh],tbl_FERC_Revenue[utility_id_ferc1],CompanyId,tbl_FERC_Revenue[report_year],G$4,tbl_FERC_Revenue[revenue_type],"large_or_industrial")</f>
        <v>2942938</v>
      </c>
      <c r="H37" s="54">
        <f>SUMIFS(tbl_FERC_Revenue[sales_mwh],tbl_FERC_Revenue[utility_id_ferc1],CompanyId,tbl_FERC_Revenue[report_year],H$4,tbl_FERC_Revenue[revenue_type],"large_or_industrial")</f>
        <v>2987403</v>
      </c>
      <c r="I37" s="54">
        <f>SUMIFS(tbl_FERC_Revenue[sales_mwh],tbl_FERC_Revenue[utility_id_ferc1],CompanyId,tbl_FERC_Revenue[report_year],I$4,tbl_FERC_Revenue[revenue_type],"large_or_industrial")</f>
        <v>3180993</v>
      </c>
      <c r="J37" s="54">
        <f>SUMIFS(tbl_FERC_Revenue[sales_mwh],tbl_FERC_Revenue[utility_id_ferc1],CompanyId,tbl_FERC_Revenue[report_year],J$4,tbl_FERC_Revenue[revenue_type],"large_or_industrial")</f>
        <v>3445801</v>
      </c>
      <c r="K37" s="54">
        <f>SUMIFS(tbl_FERC_Revenue[sales_mwh],tbl_FERC_Revenue[utility_id_ferc1],CompanyId,tbl_FERC_Revenue[report_year],K$4,tbl_FERC_Revenue[revenue_type],"large_or_industrial")</f>
        <v>3713680</v>
      </c>
      <c r="L37" s="54">
        <f>SUMIFS(tbl_FERC_Revenue[sales_mwh],tbl_FERC_Revenue[utility_id_ferc1],CompanyId,tbl_FERC_Revenue[report_year],L$4,tbl_FERC_Revenue[revenue_type],"large_or_industrial")</f>
        <v>4228987</v>
      </c>
      <c r="M37" s="54">
        <f>SUMIFS(tbl_FERC_Revenue[sales_mwh],tbl_FERC_Revenue[utility_id_ferc1],CompanyId,tbl_FERC_Revenue[report_year],M$4,tbl_FERC_Revenue[revenue_type],"large_or_industrial")</f>
        <v>4578148</v>
      </c>
      <c r="N37" s="54">
        <f>SUMIFS(tbl_FERC_Revenue[sales_mwh],tbl_FERC_Revenue[utility_id_ferc1],CompanyId,tbl_FERC_Revenue[report_year],N$4,tbl_FERC_Revenue[revenue_type],"large_or_industrial")</f>
        <v>5032385</v>
      </c>
      <c r="O37" s="54">
        <f>SUMIFS(tbl_FERC_Revenue[sales_mwh],tbl_FERC_Revenue[utility_id_ferc1],CompanyId,tbl_FERC_Revenue[report_year],O$4,tbl_FERC_Revenue[revenue_type],"large_or_industrial")</f>
        <v>5904529</v>
      </c>
      <c r="P37" s="39">
        <f>IFERROR((INDEX($D37:$O37,MATCH(FercYear,$D$4:$O$4,0))/INDEX($D37:$O37,MATCH(BaseYear,$D$4:$O$4,0)))^(1/(FercYear-BaseYear))-1,0)</f>
        <v>0.1085886412197552</v>
      </c>
      <c r="Q37" s="55">
        <f>INDEX($D37:$O37,MATCH(FercYear,$D$4:$O$4,0))-INDEX($D37:$O37,MATCH(FercYear-1,$D$4:$O$4,0))</f>
        <v>872144</v>
      </c>
      <c r="R37" s="39" cm="1">
        <f t="array" ref="R37">SAFEDIV(Q37,ABS(INDEX($D37:$O37,MATCH(FercYear-1,$D$4:$O$4,0))))</f>
        <v>0.17330629512646589</v>
      </c>
    </row>
    <row r="38" spans="2:18" x14ac:dyDescent="0.3">
      <c r="B38" t="s">
        <v>252</v>
      </c>
      <c r="C38" s="61"/>
      <c r="D38" s="54">
        <f>SUMIFS(tbl_FERC_Revenue[sales_mwh],tbl_FERC_Revenue[utility_id_ferc1],CompanyId,tbl_FERC_Revenue[report_year],D$4,tbl_FERC_Revenue[revenue_type],"sales_of_electricity")</f>
        <v>21080082</v>
      </c>
      <c r="E38" s="54">
        <f>SUMIFS(tbl_FERC_Revenue[sales_mwh],tbl_FERC_Revenue[utility_id_ferc1],CompanyId,tbl_FERC_Revenue[report_year],E$4,tbl_FERC_Revenue[revenue_type],"sales_of_electricity")</f>
        <v>20859230</v>
      </c>
      <c r="F38" s="54">
        <f>SUMIFS(tbl_FERC_Revenue[sales_mwh],tbl_FERC_Revenue[utility_id_ferc1],CompanyId,tbl_FERC_Revenue[report_year],F$4,tbl_FERC_Revenue[revenue_type],"sales_of_electricity")</f>
        <v>21247271</v>
      </c>
      <c r="G38" s="54">
        <f>SUMIFS(tbl_FERC_Revenue[sales_mwh],tbl_FERC_Revenue[utility_id_ferc1],CompanyId,tbl_FERC_Revenue[report_year],G$4,tbl_FERC_Revenue[revenue_type],"sales_of_electricity")</f>
        <v>21328945</v>
      </c>
      <c r="H38" s="54">
        <f>SUMIFS(tbl_FERC_Revenue[sales_mwh],tbl_FERC_Revenue[utility_id_ferc1],CompanyId,tbl_FERC_Revenue[report_year],H$4,tbl_FERC_Revenue[revenue_type],"sales_of_electricity")</f>
        <v>21876992</v>
      </c>
      <c r="I38" s="54">
        <f>SUMIFS(tbl_FERC_Revenue[sales_mwh],tbl_FERC_Revenue[utility_id_ferc1],CompanyId,tbl_FERC_Revenue[report_year],I$4,tbl_FERC_Revenue[revenue_type],"sales_of_electricity")</f>
        <v>22572002</v>
      </c>
      <c r="J38" s="54">
        <f>SUMIFS(tbl_FERC_Revenue[sales_mwh],tbl_FERC_Revenue[utility_id_ferc1],CompanyId,tbl_FERC_Revenue[report_year],J$4,tbl_FERC_Revenue[revenue_type],"sales_of_electricity")</f>
        <v>23866383</v>
      </c>
      <c r="K38" s="54">
        <f>SUMIFS(tbl_FERC_Revenue[sales_mwh],tbl_FERC_Revenue[utility_id_ferc1],CompanyId,tbl_FERC_Revenue[report_year],K$4,tbl_FERC_Revenue[revenue_type],"sales_of_electricity")</f>
        <v>24780030</v>
      </c>
      <c r="L38" s="54">
        <f>SUMIFS(tbl_FERC_Revenue[sales_mwh],tbl_FERC_Revenue[utility_id_ferc1],CompanyId,tbl_FERC_Revenue[report_year],L$4,tbl_FERC_Revenue[revenue_type],"sales_of_electricity")</f>
        <v>25650331</v>
      </c>
      <c r="M38" s="54">
        <f>SUMIFS(tbl_FERC_Revenue[sales_mwh],tbl_FERC_Revenue[utility_id_ferc1],CompanyId,tbl_FERC_Revenue[report_year],M$4,tbl_FERC_Revenue[revenue_type],"sales_of_electricity")</f>
        <v>26935027</v>
      </c>
      <c r="N38" s="54">
        <f>SUMIFS(tbl_FERC_Revenue[sales_mwh],tbl_FERC_Revenue[utility_id_ferc1],CompanyId,tbl_FERC_Revenue[report_year],N$4,tbl_FERC_Revenue[revenue_type],"sales_of_electricity")</f>
        <v>29577661</v>
      </c>
      <c r="O38" s="54">
        <f>SUMIFS(tbl_FERC_Revenue[sales_mwh],tbl_FERC_Revenue[utility_id_ferc1],CompanyId,tbl_FERC_Revenue[report_year],O$4,tbl_FERC_Revenue[revenue_type],"sales_of_electricity")</f>
        <v>29824518</v>
      </c>
      <c r="P38" s="39">
        <f>IFERROR((INDEX($D38:$O38,MATCH(FercYear,$D$4:$O$4,0))/INDEX($D38:$O38,MATCH(BaseYear,$D$4:$O$4,0)))^(1/(FercYear-BaseYear))-1,0)</f>
        <v>4.7531823763400816E-2</v>
      </c>
      <c r="Q38" s="55">
        <f>INDEX($D38:$O38,MATCH(FercYear,$D$4:$O$4,0))-INDEX($D38:$O38,MATCH(FercYear-1,$D$4:$O$4,0))</f>
        <v>246857</v>
      </c>
      <c r="R38" s="39" cm="1">
        <f t="array" ref="R38">SAFEDIV(Q38,ABS(INDEX($D38:$O38,MATCH(FercYear-1,$D$4:$O$4,0))))</f>
        <v>8.346062252860359E-3</v>
      </c>
    </row>
    <row r="39" spans="2:18" x14ac:dyDescent="0.3">
      <c r="B39" t="s">
        <v>253</v>
      </c>
      <c r="C39" s="61"/>
      <c r="D39" s="54">
        <f>SUMIFS(tbl_FERC_Revenue[avg_customers_per_month],tbl_FERC_Revenue[utility_id_ferc1],CompanyId,tbl_FERC_Revenue[report_year],D$4,tbl_FERC_Revenue[revenue_type],"sales_to_ultimate_consumers")</f>
        <v>840993</v>
      </c>
      <c r="E39" s="54">
        <f>SUMIFS(tbl_FERC_Revenue[avg_customers_per_month],tbl_FERC_Revenue[utility_id_ferc1],CompanyId,tbl_FERC_Revenue[report_year],E$4,tbl_FERC_Revenue[revenue_type],"sales_to_ultimate_consumers")</f>
        <v>848524</v>
      </c>
      <c r="F39" s="54">
        <f>SUMIFS(tbl_FERC_Revenue[avg_customers_per_month],tbl_FERC_Revenue[utility_id_ferc1],CompanyId,tbl_FERC_Revenue[report_year],F$4,tbl_FERC_Revenue[revenue_type],"sales_to_ultimate_consumers")</f>
        <v>859396</v>
      </c>
      <c r="G39" s="54">
        <f>SUMIFS(tbl_FERC_Revenue[avg_customers_per_month],tbl_FERC_Revenue[utility_id_ferc1],CompanyId,tbl_FERC_Revenue[report_year],G$4,tbl_FERC_Revenue[revenue_type],"sales_to_ultimate_consumers")</f>
        <v>870333</v>
      </c>
      <c r="H39" s="54">
        <f>SUMIFS(tbl_FERC_Revenue[avg_customers_per_month],tbl_FERC_Revenue[utility_id_ferc1],CompanyId,tbl_FERC_Revenue[report_year],H$4,tbl_FERC_Revenue[revenue_type],"sales_to_ultimate_consumers")</f>
        <v>881766</v>
      </c>
      <c r="I39" s="54">
        <f>SUMIFS(tbl_FERC_Revenue[avg_customers_per_month],tbl_FERC_Revenue[utility_id_ferc1],CompanyId,tbl_FERC_Revenue[report_year],I$4,tbl_FERC_Revenue[revenue_type],"sales_to_ultimate_consumers")</f>
        <v>890019</v>
      </c>
      <c r="J39" s="54">
        <f>SUMIFS(tbl_FERC_Revenue[avg_customers_per_month],tbl_FERC_Revenue[utility_id_ferc1],CompanyId,tbl_FERC_Revenue[report_year],J$4,tbl_FERC_Revenue[revenue_type],"sales_to_ultimate_consumers")</f>
        <v>902237</v>
      </c>
      <c r="K39" s="54">
        <f>SUMIFS(tbl_FERC_Revenue[avg_customers_per_month],tbl_FERC_Revenue[utility_id_ferc1],CompanyId,tbl_FERC_Revenue[report_year],K$4,tbl_FERC_Revenue[revenue_type],"sales_to_ultimate_consumers")</f>
        <v>912209</v>
      </c>
      <c r="L39" s="54">
        <f>SUMIFS(tbl_FERC_Revenue[avg_customers_per_month],tbl_FERC_Revenue[utility_id_ferc1],CompanyId,tbl_FERC_Revenue[report_year],L$4,tbl_FERC_Revenue[revenue_type],"sales_to_ultimate_consumers")</f>
        <v>922444</v>
      </c>
      <c r="M39" s="54">
        <f>SUMIFS(tbl_FERC_Revenue[avg_customers_per_month],tbl_FERC_Revenue[utility_id_ferc1],CompanyId,tbl_FERC_Revenue[report_year],M$4,tbl_FERC_Revenue[revenue_type],"sales_to_ultimate_consumers")</f>
        <v>928859</v>
      </c>
      <c r="N39" s="54">
        <f>SUMIFS(tbl_FERC_Revenue[avg_customers_per_month],tbl_FERC_Revenue[utility_id_ferc1],CompanyId,tbl_FERC_Revenue[report_year],N$4,tbl_FERC_Revenue[revenue_type],"sales_to_ultimate_consumers")</f>
        <v>943944</v>
      </c>
      <c r="O39" s="54">
        <f>SUMIFS(tbl_FERC_Revenue[avg_customers_per_month],tbl_FERC_Revenue[utility_id_ferc1],CompanyId,tbl_FERC_Revenue[report_year],O$4,tbl_FERC_Revenue[revenue_type],"sales_to_ultimate_consumers")</f>
        <v>955654</v>
      </c>
      <c r="P39" s="39">
        <f>IFERROR((INDEX($D39:$O39,MATCH(FercYear,$D$4:$O$4,0))/INDEX($D39:$O39,MATCH(BaseYear,$D$4:$O$4,0)))^(1/(FercYear-BaseYear))-1,0)</f>
        <v>1.19294469748501E-2</v>
      </c>
      <c r="Q39" s="55">
        <f>INDEX($D39:$O39,MATCH(FercYear,$D$4:$O$4,0))-INDEX($D39:$O39,MATCH(FercYear-1,$D$4:$O$4,0))</f>
        <v>11710</v>
      </c>
      <c r="R39" s="39" cm="1">
        <f t="array" ref="R39">SAFEDIV(Q39,ABS(INDEX($D39:$O39,MATCH(FercYear-1,$D$4:$O$4,0))))</f>
        <v>1.2405396930326376E-2</v>
      </c>
    </row>
    <row r="40" spans="2:18" x14ac:dyDescent="0.3">
      <c r="B40" t="s">
        <v>254</v>
      </c>
      <c r="C40" s="61"/>
      <c r="D40" s="56" cm="1">
        <f t="array" ref="D40">CPK(D11,D35)</f>
        <v>9.7766035832034284</v>
      </c>
      <c r="E40" s="56" cm="1">
        <f t="array" ref="E40">CPK(E11,E35)</f>
        <v>9.8075554466318717</v>
      </c>
      <c r="F40" s="56" cm="1">
        <f t="array" ref="F40">CPK(F11,F35)</f>
        <v>9.8788877059616702</v>
      </c>
      <c r="G40" s="56" cm="1">
        <f t="array" ref="G40">CPK(G11,G35)</f>
        <v>9.9930575050072434</v>
      </c>
      <c r="H40" s="56" cm="1">
        <f t="array" ref="H40">CPK(H11,H35)</f>
        <v>10.241770948240319</v>
      </c>
      <c r="I40" s="56" cm="1">
        <f t="array" ref="I40">CPK(I11,I35)</f>
        <v>10.339992629744154</v>
      </c>
      <c r="J40" s="56" cm="1">
        <f t="array" ref="J40">CPK(J11,J35)</f>
        <v>10.595175192235587</v>
      </c>
      <c r="K40" s="56" cm="1">
        <f t="array" ref="K40">CPK(K11,K35)</f>
        <v>11.147129998632492</v>
      </c>
      <c r="L40" s="56" cm="1">
        <f t="array" ref="L40">CPK(L11,L35)</f>
        <v>11.346927534378228</v>
      </c>
      <c r="M40" s="56" cm="1">
        <f t="array" ref="M40">CPK(M11,M35)</f>
        <v>12.440038333181404</v>
      </c>
      <c r="N40" s="56" cm="1">
        <f t="array" ref="N40">CPK(N11,N35)</f>
        <v>14.440324871208494</v>
      </c>
      <c r="O40" s="56" cm="1">
        <f t="array" ref="O40">CPK(O11,O35)</f>
        <v>14.870401574666317</v>
      </c>
      <c r="P40" s="39">
        <f>IFERROR((INDEX($D40:$O40,MATCH(FercYear,$D$4:$O$4,0))/INDEX($D40:$O40,MATCH(BaseYear,$D$4:$O$4,0)))^(1/(FercYear-BaseYear))-1,0)</f>
        <v>6.2430209963266314E-2</v>
      </c>
      <c r="Q40" s="57">
        <f>INDEX($D40:$O40,MATCH(FercYear,$D$4:$O$4,0))-INDEX($D40:$O40,MATCH(FercYear-1,$D$4:$O$4,0))</f>
        <v>0.43007670345782323</v>
      </c>
      <c r="R40" s="39" cm="1">
        <f t="array" ref="R40">SAFEDIV(Q40,ABS(INDEX($D40:$O40,MATCH(FercYear-1,$D$4:$O$4,0))))</f>
        <v>2.9783035166703324E-2</v>
      </c>
    </row>
    <row r="41" spans="2:18" x14ac:dyDescent="0.3">
      <c r="B41" t="s">
        <v>255</v>
      </c>
      <c r="C41" s="61"/>
      <c r="D41" s="56" cm="1">
        <f t="array" ref="D41">CPK(D6,D36)</f>
        <v>11.372416714163743</v>
      </c>
      <c r="E41" s="56" cm="1">
        <f t="array" ref="E41">CPK(E6,E36)</f>
        <v>11.54771224823946</v>
      </c>
      <c r="F41" s="56" cm="1">
        <f t="array" ref="F41">CPK(F6,F36)</f>
        <v>11.404014358136845</v>
      </c>
      <c r="G41" s="56" cm="1">
        <f t="array" ref="G41">CPK(G6,G36)</f>
        <v>11.42410166271447</v>
      </c>
      <c r="H41" s="56" cm="1">
        <f t="array" ref="H41">CPK(H6,H36)</f>
        <v>12.006547097876293</v>
      </c>
      <c r="I41" s="56" cm="1">
        <f t="array" ref="I41">CPK(I6,I36)</f>
        <v>12.284618640250812</v>
      </c>
      <c r="J41" s="56" cm="1">
        <f t="array" ref="J41">CPK(J6,J36)</f>
        <v>12.504874507026654</v>
      </c>
      <c r="K41" s="56" cm="1">
        <f t="array" ref="K41">CPK(K6,K36)</f>
        <v>13.240856938476195</v>
      </c>
      <c r="L41" s="56" cm="1">
        <f t="array" ref="L41">CPK(L6,L36)</f>
        <v>13.638455918879137</v>
      </c>
      <c r="M41" s="56" cm="1">
        <f t="array" ref="M41">CPK(M6,M36)</f>
        <v>15.195596652194149</v>
      </c>
      <c r="N41" s="56" cm="1">
        <f t="array" ref="N41">CPK(N6,N36)</f>
        <v>18.189918340254287</v>
      </c>
      <c r="O41" s="56" cm="1">
        <f t="array" ref="O41">CPK(O6,O36)</f>
        <v>18.794483418107085</v>
      </c>
      <c r="P41" s="39">
        <f>IFERROR((INDEX($D41:$O41,MATCH(FercYear,$D$4:$O$4,0))/INDEX($D41:$O41,MATCH(BaseYear,$D$4:$O$4,0)))^(1/(FercYear-BaseYear))-1,0)</f>
        <v>7.3440851559748221E-2</v>
      </c>
      <c r="Q41" s="57">
        <f>INDEX($D41:$O41,MATCH(FercYear,$D$4:$O$4,0))-INDEX($D41:$O41,MATCH(FercYear-1,$D$4:$O$4,0))</f>
        <v>0.60456507785279712</v>
      </c>
      <c r="R41" s="39" cm="1">
        <f t="array" ref="R41">SAFEDIV(Q41,ABS(INDEX($D41:$O41,MATCH(FercYear-1,$D$4:$O$4,0))))</f>
        <v>3.3236272233003634E-2</v>
      </c>
    </row>
    <row r="42" spans="2:18" x14ac:dyDescent="0.3">
      <c r="B42" t="s">
        <v>256</v>
      </c>
      <c r="C42" s="61"/>
      <c r="D42" s="56" cm="1">
        <f t="array" ref="D42">CPK(D8,D37)</f>
        <v>6.8927133365871187</v>
      </c>
      <c r="E42" s="56" cm="1">
        <f t="array" ref="E42">CPK(E8,E37)</f>
        <v>6.7667133442062921</v>
      </c>
      <c r="F42" s="56" cm="1">
        <f t="array" ref="F42">CPK(F8,F37)</f>
        <v>6.9966752329159592</v>
      </c>
      <c r="G42" s="56" cm="1">
        <f t="array" ref="G42">CPK(G8,G37)</f>
        <v>7.1896975743287825</v>
      </c>
      <c r="H42" s="56" cm="1">
        <f t="array" ref="H42">CPK(H8,H37)</f>
        <v>7.0156645086049654</v>
      </c>
      <c r="I42" s="56" cm="1">
        <f t="array" ref="I42">CPK(I8,I37)</f>
        <v>6.9769075568541012</v>
      </c>
      <c r="J42" s="56" cm="1">
        <f t="array" ref="J42">CPK(J8,J37)</f>
        <v>7.1406121247280385</v>
      </c>
      <c r="K42" s="56" cm="1">
        <f t="array" ref="K42">CPK(K8,K37)</f>
        <v>7.5363533206953743</v>
      </c>
      <c r="L42" s="56" cm="1">
        <f t="array" ref="L42">CPK(L8,L37)</f>
        <v>7.3555152806097537</v>
      </c>
      <c r="M42" s="56" cm="1">
        <f t="array" ref="M42">CPK(M8,M37)</f>
        <v>8.0362510997896965</v>
      </c>
      <c r="N42" s="56" cm="1">
        <f t="array" ref="N42">CPK(N8,N37)</f>
        <v>9.0902375315084196</v>
      </c>
      <c r="O42" s="56" cm="1">
        <f t="array" ref="O42">CPK(O8,O37)</f>
        <v>9.4926619887886066</v>
      </c>
      <c r="P42" s="39">
        <f>IFERROR((INDEX($D42:$O42,MATCH(FercYear,$D$4:$O$4,0))/INDEX($D42:$O42,MATCH(BaseYear,$D$4:$O$4,0)))^(1/(FercYear-BaseYear))-1,0)</f>
        <v>5.2658515503548164E-2</v>
      </c>
      <c r="Q42" s="57">
        <f>INDEX($D42:$O42,MATCH(FercYear,$D$4:$O$4,0))-INDEX($D42:$O42,MATCH(FercYear-1,$D$4:$O$4,0))</f>
        <v>0.40242445728018694</v>
      </c>
      <c r="R42" s="39" cm="1">
        <f t="array" ref="R42">SAFEDIV(Q42,ABS(INDEX($D42:$O42,MATCH(FercYear-1,$D$4:$O$4,0))))</f>
        <v>4.4269960590722787E-2</v>
      </c>
    </row>
    <row r="43" spans="2:18" x14ac:dyDescent="0.3">
      <c r="B43" t="s">
        <v>257</v>
      </c>
      <c r="C43" s="61"/>
      <c r="D43" s="58" cm="1">
        <f t="array" ref="D43">SAFEDIV(D19,D38)</f>
        <v>31.577693056412208</v>
      </c>
      <c r="E43" s="58" cm="1">
        <f t="array" ref="E43">SAFEDIV(E19,E38)</f>
        <v>28.781964003465134</v>
      </c>
      <c r="F43" s="58" cm="1">
        <f t="array" ref="F43">SAFEDIV(F19,F38)</f>
        <v>26.305956421415249</v>
      </c>
      <c r="G43" s="58" cm="1">
        <f t="array" ref="G43">SAFEDIV(G19,G38)</f>
        <v>24.595484493021104</v>
      </c>
      <c r="H43" s="58" cm="1">
        <f t="array" ref="H43">SAFEDIV(H19,H38)</f>
        <v>23.229130174751628</v>
      </c>
      <c r="I43" s="58" cm="1">
        <f t="array" ref="I43">SAFEDIV(I19,I38)</f>
        <v>25.224688975306666</v>
      </c>
      <c r="J43" s="58" cm="1">
        <f t="array" ref="J43">SAFEDIV(J19,J38)</f>
        <v>27.664058521142479</v>
      </c>
      <c r="K43" s="58" cm="1">
        <f t="array" ref="K43">SAFEDIV(K19,K38)</f>
        <v>30.933553349209021</v>
      </c>
      <c r="L43" s="58" cm="1">
        <f t="array" ref="L43">SAFEDIV(L19,L38)</f>
        <v>38.000866226638557</v>
      </c>
      <c r="M43" s="58" cm="1">
        <f t="array" ref="M43">SAFEDIV(M19,M38)</f>
        <v>43.365161765013269</v>
      </c>
      <c r="N43" s="58" cm="1">
        <f t="array" ref="N43">SAFEDIV(N19,N38)</f>
        <v>45.22416059200895</v>
      </c>
      <c r="O43" s="58" cm="1">
        <f t="array" ref="O43">SAFEDIV(O19,O38)</f>
        <v>44.317767650092449</v>
      </c>
      <c r="P43" s="39">
        <f>IFERROR((INDEX($D43:$O43,MATCH(FercYear,$D$4:$O$4,0))/INDEX($D43:$O43,MATCH(BaseYear,$D$4:$O$4,0)))^(1/(FercYear-BaseYear))-1,0)</f>
        <v>9.8479633827314617E-2</v>
      </c>
      <c r="Q43" s="57">
        <f>INDEX($D43:$O43,MATCH(FercYear,$D$4:$O$4,0))-INDEX($D43:$O43,MATCH(FercYear-1,$D$4:$O$4,0))</f>
        <v>-0.90639294191650066</v>
      </c>
      <c r="R43" s="39" cm="1">
        <f t="array" ref="R43">SAFEDIV(Q43,ABS(INDEX($D43:$O43,MATCH(FercYear-1,$D$4:$O$4,0))))</f>
        <v>-2.0042228093375802E-2</v>
      </c>
    </row>
    <row r="44" spans="2:18" x14ac:dyDescent="0.3">
      <c r="B44" t="s">
        <v>258</v>
      </c>
      <c r="C44" s="61"/>
      <c r="D44" s="58" cm="1">
        <f t="array" ref="D44">SAFEDIV(D29,D39)</f>
        <v>661.82280114103207</v>
      </c>
      <c r="E44" s="58" cm="1">
        <f t="array" ref="E44">SAFEDIV(E29,E39)</f>
        <v>685.74941781257803</v>
      </c>
      <c r="F44" s="58" cm="1">
        <f t="array" ref="F44">SAFEDIV(F29,F39)</f>
        <v>704.58867157864358</v>
      </c>
      <c r="G44" s="58" cm="1">
        <f t="array" ref="G44">SAFEDIV(G29,G39)</f>
        <v>748.25287102752623</v>
      </c>
      <c r="H44" s="58" cm="1">
        <f t="array" ref="H44">SAFEDIV(H29,H39)</f>
        <v>732.04608705711041</v>
      </c>
      <c r="I44" s="58" cm="1">
        <f t="array" ref="I44">SAFEDIV(I29,I39)</f>
        <v>782.3702280513113</v>
      </c>
      <c r="J44" s="58" cm="1">
        <f t="array" ref="J44">SAFEDIV(J29,J39)</f>
        <v>722.89232208388705</v>
      </c>
      <c r="K44" s="58" cm="1">
        <f t="array" ref="K44">SAFEDIV(K29,K39)</f>
        <v>805.38949407427469</v>
      </c>
      <c r="L44" s="58" cm="1">
        <f t="array" ref="L44">SAFEDIV(L29,L39)</f>
        <v>829.63584347667722</v>
      </c>
      <c r="M44" s="58" cm="1">
        <f t="array" ref="M44">SAFEDIV(M29,M39)</f>
        <v>854.71992627513976</v>
      </c>
      <c r="N44" s="58" cm="1">
        <f t="array" ref="N44">SAFEDIV(N29,N39)</f>
        <v>996.48866458179725</v>
      </c>
      <c r="O44" s="58" cm="1">
        <f t="array" ref="O44">SAFEDIV(O29,O39)</f>
        <v>1010.4148457496123</v>
      </c>
      <c r="P44" s="39">
        <f>IFERROR((INDEX($D44:$O44,MATCH(FercYear,$D$4:$O$4,0))/INDEX($D44:$O44,MATCH(BaseYear,$D$4:$O$4,0)))^(1/(FercYear-BaseYear))-1,0)</f>
        <v>4.3553135111130015E-2</v>
      </c>
      <c r="Q44" s="57">
        <f>INDEX($D44:$O44,MATCH(FercYear,$D$4:$O$4,0))-INDEX($D44:$O44,MATCH(FercYear-1,$D$4:$O$4,0))</f>
        <v>13.926181167815002</v>
      </c>
      <c r="R44" s="39" cm="1">
        <f t="array" ref="R44">SAFEDIV(Q44,ABS(INDEX($D44:$O44,MATCH(FercYear-1,$D$4:$O$4,0))))</f>
        <v>1.3975252968541787E-2</v>
      </c>
    </row>
    <row r="45" spans="2:18" x14ac:dyDescent="0.3">
      <c r="B45" s="47" t="s">
        <v>259</v>
      </c>
      <c r="C45" s="59"/>
      <c r="D45" s="48" cm="1">
        <f t="array" ref="D45">SAFEDIV(D37,D35)</f>
        <v>0.18238850726291778</v>
      </c>
      <c r="E45" s="48" cm="1">
        <f t="array" ref="E45">SAFEDIV(E37,E35)</f>
        <v>0.19039000392509522</v>
      </c>
      <c r="F45" s="48" cm="1">
        <f t="array" ref="F45">SAFEDIV(F37,F35)</f>
        <v>0.17208999469103192</v>
      </c>
      <c r="G45" s="48" cm="1">
        <f t="array" ref="G45">SAFEDIV(G37,G35)</f>
        <v>0.16575935492737526</v>
      </c>
      <c r="H45" s="48" cm="1">
        <f t="array" ref="H45">SAFEDIV(H37,H35)</f>
        <v>0.1738276883710359</v>
      </c>
      <c r="I45" s="48" cm="1">
        <f t="array" ref="I45">SAFEDIV(I37,I35)</f>
        <v>0.18382258313656105</v>
      </c>
      <c r="J45" s="48" cm="1">
        <f t="array" ref="J45">SAFEDIV(J37,J35)</f>
        <v>0.19776400134918881</v>
      </c>
      <c r="K45" s="48" cm="1">
        <f t="array" ref="K45">SAFEDIV(K37,K35)</f>
        <v>0.20297710096395649</v>
      </c>
      <c r="L45" s="48" cm="1">
        <f t="array" ref="L45">SAFEDIV(L37,L35)</f>
        <v>0.22369602510142655</v>
      </c>
      <c r="M45" s="48" cm="1">
        <f t="array" ref="M45">SAFEDIV(M37,M35)</f>
        <v>0.23929610540145668</v>
      </c>
      <c r="N45" s="48" cm="1">
        <f t="array" ref="N45">SAFEDIV(N37,N35)</f>
        <v>0.26111574232089435</v>
      </c>
      <c r="O45" s="48" cm="1">
        <f t="array" ref="O45">SAFEDIV(O37,O35)</f>
        <v>0.29569709628329932</v>
      </c>
      <c r="P45" s="49">
        <f>INDEX($D45:$O45,MATCH(FercYear,$D$4:$O$4,0))-INDEX($D45:$O45,MATCH(BaseYear,$D$4:$O$4,0))</f>
        <v>0.11187451314673827</v>
      </c>
      <c r="Q45" s="49">
        <f>INDEX($D45:$O45,MATCH(FercYear,$D$4:$O$4,0))-INDEX($D45:$O45,MATCH(FercYear-1,$D$4:$O$4,0))</f>
        <v>3.458135396240497E-2</v>
      </c>
      <c r="R45" s="47"/>
    </row>
  </sheetData>
  <mergeCells count="1">
    <mergeCell ref="B2:R2"/>
  </mergeCells>
  <printOptions horizontalCentered="1"/>
  <pageMargins left="0.35" right="0.35" top="0.44999999999999996" bottom="0.5" header="0.3" footer="0.2"/>
  <pageSetup scale="63" orientation="landscape" r:id="rId1"/>
  <headerFooter>
    <oddFooter>&amp;C&amp;8&amp;A&amp;L&amp;8Portland General Electric utility FP&amp;&amp;A model · public data (EIA, FERC via PUDL, NOAA)&amp;R&amp;8Page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98169-5C3E-4ECF-99A7-47C313633256}">
  <sheetPr>
    <tabColor rgb="FF0F766E"/>
    <pageSetUpPr fitToPage="1"/>
  </sheetPr>
  <dimension ref="B1:O38"/>
  <sheetViews>
    <sheetView showGridLines="0" zoomScale="90" zoomScaleNormal="90" workbookViewId="0"/>
  </sheetViews>
  <sheetFormatPr defaultRowHeight="13" x14ac:dyDescent="0.3"/>
  <cols>
    <col min="1" max="1" width="2.69921875" customWidth="1"/>
    <col min="2" max="2" width="22.69921875" customWidth="1"/>
    <col min="3" max="3" width="26.69921875" customWidth="1"/>
    <col min="4" max="7" width="13.69921875" customWidth="1"/>
    <col min="8" max="9" width="11.69921875" customWidth="1"/>
    <col min="10" max="14" width="13.69921875" customWidth="1"/>
    <col min="15" max="15" width="11.69921875" customWidth="1"/>
  </cols>
  <sheetData>
    <row r="1" spans="2:15" ht="30" customHeight="1" x14ac:dyDescent="0.55000000000000004">
      <c r="B1" s="1" t="s">
        <v>260</v>
      </c>
    </row>
    <row r="2" spans="2:15" ht="28" customHeight="1" x14ac:dyDescent="0.3">
      <c r="B2" s="32" t="s">
        <v>261</v>
      </c>
      <c r="C2" s="32"/>
      <c r="D2" s="32"/>
      <c r="E2" s="32"/>
      <c r="F2" s="32"/>
      <c r="G2" s="32"/>
      <c r="H2" s="32"/>
      <c r="I2" s="32"/>
      <c r="J2" s="32"/>
      <c r="K2" s="32"/>
      <c r="L2" s="32"/>
      <c r="M2" s="32"/>
      <c r="N2" s="32"/>
      <c r="O2" s="32"/>
    </row>
    <row r="4" spans="2:15" ht="18" customHeight="1" x14ac:dyDescent="0.3">
      <c r="B4" s="7" t="str">
        <f>"Long view: "&amp;BaseYear&amp;" to "&amp;FercYear&amp;", FERC Form 1"</f>
        <v>Long view: 2019 to 2025, FERC Form 1</v>
      </c>
      <c r="C4" s="7"/>
      <c r="D4" s="7"/>
      <c r="E4" s="7"/>
      <c r="F4" s="7"/>
      <c r="G4" s="7"/>
      <c r="H4" s="7"/>
      <c r="I4" s="7"/>
      <c r="J4" s="7"/>
      <c r="K4" s="7"/>
      <c r="L4" s="7"/>
      <c r="M4" s="7"/>
      <c r="N4" s="7"/>
      <c r="O4" s="7"/>
    </row>
    <row r="5" spans="2:15" ht="30" customHeight="1" x14ac:dyDescent="0.3">
      <c r="B5" s="64" t="s">
        <v>208</v>
      </c>
      <c r="C5" s="66" t="s">
        <v>262</v>
      </c>
      <c r="D5" s="65" t="s">
        <v>263</v>
      </c>
      <c r="E5" s="65" t="s">
        <v>264</v>
      </c>
      <c r="F5" s="65" t="s">
        <v>265</v>
      </c>
      <c r="G5" s="65" t="s">
        <v>266</v>
      </c>
      <c r="H5" s="65" t="s">
        <v>267</v>
      </c>
      <c r="I5" s="65" t="s">
        <v>268</v>
      </c>
      <c r="J5" s="65" t="s">
        <v>269</v>
      </c>
      <c r="K5" s="65" t="s">
        <v>270</v>
      </c>
      <c r="L5" s="65" t="s">
        <v>271</v>
      </c>
      <c r="M5" s="65" t="s">
        <v>272</v>
      </c>
      <c r="N5" s="65" t="s">
        <v>273</v>
      </c>
      <c r="O5" s="65" t="s">
        <v>274</v>
      </c>
    </row>
    <row r="6" spans="2:15" x14ac:dyDescent="0.3">
      <c r="B6" t="s">
        <v>93</v>
      </c>
      <c r="C6" s="61" t="s">
        <v>34</v>
      </c>
      <c r="D6" s="54">
        <f>SUMIFS(tbl_FERC_Revenue[sales_mwh],tbl_FERC_Revenue[utility_id_ferc1],CompanyId,tbl_FERC_Revenue[report_year],BaseYear,tbl_FERC_Revenue[revenue_type],$C6)</f>
        <v>7471069</v>
      </c>
      <c r="E6" s="54">
        <f>SUMIFS(tbl_FERC_Revenue[dollar_value],tbl_FERC_Revenue[utility_id_ferc1],CompanyId,tbl_FERC_Revenue[report_year],BaseYear,tbl_FERC_Revenue[revenue_type],$C6)</f>
        <v>917792335</v>
      </c>
      <c r="F6" s="54">
        <f>SUMIFS(tbl_FERC_Revenue[sales_mwh],tbl_FERC_Revenue[utility_id_ferc1],CompanyId,tbl_FERC_Revenue[report_year],FercYear,tbl_FERC_Revenue[revenue_type],$C6)</f>
        <v>7596298</v>
      </c>
      <c r="G6" s="54">
        <f>SUMIFS(tbl_FERC_Revenue[dollar_value],tbl_FERC_Revenue[utility_id_ferc1],CompanyId,tbl_FERC_Revenue[report_year],FercYear,tbl_FERC_Revenue[revenue_type],$C6)</f>
        <v>1427684968</v>
      </c>
      <c r="H6" s="58" cm="1">
        <f t="array" ref="H6">SAFEDIV(E6,D6)</f>
        <v>122.84618640250812</v>
      </c>
      <c r="I6" s="58" cm="1">
        <f t="array" ref="I6">SAFEDIV(G6,F6)</f>
        <v>187.94483418107083</v>
      </c>
      <c r="J6" s="55">
        <f t="shared" ref="J6:J10" si="0">(F6-D6)*$H$11</f>
        <v>12948669.370302306</v>
      </c>
      <c r="K6" s="55">
        <f t="shared" ref="K6:K10" si="1">(F6-D6)*(H6-$H$11)</f>
        <v>2435235.7066973834</v>
      </c>
      <c r="L6" s="55">
        <f t="shared" ref="L6:L10" si="2">F6*(I6-H6)</f>
        <v>494508727.92300034</v>
      </c>
      <c r="M6" s="55">
        <f t="shared" ref="M6:M11" si="3">SUM(J6:L6)</f>
        <v>509892633</v>
      </c>
      <c r="N6" s="55">
        <f t="shared" ref="N6:N11" si="4">G6-E6</f>
        <v>509892633</v>
      </c>
      <c r="O6" s="67">
        <f t="shared" ref="O6:O11" si="5">M6-N6</f>
        <v>0</v>
      </c>
    </row>
    <row r="7" spans="2:15" x14ac:dyDescent="0.3">
      <c r="B7" t="s">
        <v>96</v>
      </c>
      <c r="C7" s="61" t="s">
        <v>39</v>
      </c>
      <c r="D7" s="54">
        <f>SUMIFS(tbl_FERC_Revenue[sales_mwh],tbl_FERC_Revenue[utility_id_ferc1],CompanyId,tbl_FERC_Revenue[report_year],BaseYear,tbl_FERC_Revenue[revenue_type],$C7)</f>
        <v>6603269</v>
      </c>
      <c r="E7" s="54">
        <f>SUMIFS(tbl_FERC_Revenue[dollar_value],tbl_FERC_Revenue[utility_id_ferc1],CompanyId,tbl_FERC_Revenue[report_year],BaseYear,tbl_FERC_Revenue[revenue_type],$C7)</f>
        <v>638317031</v>
      </c>
      <c r="F7" s="54">
        <f>SUMIFS(tbl_FERC_Revenue[sales_mwh],tbl_FERC_Revenue[utility_id_ferc1],CompanyId,tbl_FERC_Revenue[report_year],FercYear,tbl_FERC_Revenue[revenue_type],$C7)</f>
        <v>6425897</v>
      </c>
      <c r="G7" s="54">
        <f>SUMIFS(tbl_FERC_Revenue[dollar_value],tbl_FERC_Revenue[utility_id_ferc1],CompanyId,tbl_FERC_Revenue[report_year],FercYear,tbl_FERC_Revenue[revenue_type],$C7)</f>
        <v>966187754</v>
      </c>
      <c r="H7" s="58" cm="1">
        <f t="array" ref="H7">SAFEDIV(E7,D7)</f>
        <v>96.666822296653365</v>
      </c>
      <c r="I7" s="58" cm="1">
        <f t="array" ref="I7">SAFEDIV(G7,F7)</f>
        <v>150.35842529066369</v>
      </c>
      <c r="J7" s="55">
        <f t="shared" si="0"/>
        <v>-18340251.7272298</v>
      </c>
      <c r="K7" s="55">
        <f t="shared" si="1"/>
        <v>1194264.1228278</v>
      </c>
      <c r="L7" s="55">
        <f t="shared" si="2"/>
        <v>345016710.60440195</v>
      </c>
      <c r="M7" s="55">
        <f t="shared" si="3"/>
        <v>327870722.99999994</v>
      </c>
      <c r="N7" s="55">
        <f t="shared" si="4"/>
        <v>327870723</v>
      </c>
      <c r="O7" s="67">
        <f t="shared" si="5"/>
        <v>0</v>
      </c>
    </row>
    <row r="8" spans="2:15" x14ac:dyDescent="0.3">
      <c r="B8" t="s">
        <v>98</v>
      </c>
      <c r="C8" s="61" t="s">
        <v>31</v>
      </c>
      <c r="D8" s="54">
        <f>SUMIFS(tbl_FERC_Revenue[sales_mwh],tbl_FERC_Revenue[utility_id_ferc1],CompanyId,tbl_FERC_Revenue[report_year],BaseYear,tbl_FERC_Revenue[revenue_type],$C8)</f>
        <v>3180993</v>
      </c>
      <c r="E8" s="54">
        <f>SUMIFS(tbl_FERC_Revenue[dollar_value],tbl_FERC_Revenue[utility_id_ferc1],CompanyId,tbl_FERC_Revenue[report_year],BaseYear,tbl_FERC_Revenue[revenue_type],$C8)</f>
        <v>221934941</v>
      </c>
      <c r="F8" s="54">
        <f>SUMIFS(tbl_FERC_Revenue[sales_mwh],tbl_FERC_Revenue[utility_id_ferc1],CompanyId,tbl_FERC_Revenue[report_year],FercYear,tbl_FERC_Revenue[revenue_type],$C8)</f>
        <v>5904529</v>
      </c>
      <c r="G8" s="54">
        <f>SUMIFS(tbl_FERC_Revenue[dollar_value],tbl_FERC_Revenue[utility_id_ferc1],CompanyId,tbl_FERC_Revenue[report_year],FercYear,tbl_FERC_Revenue[revenue_type],$C8)</f>
        <v>560496980</v>
      </c>
      <c r="H8" s="58" cm="1">
        <f t="array" ref="H8">SAFEDIV(E8,D8)</f>
        <v>69.769075568541012</v>
      </c>
      <c r="I8" s="58" cm="1">
        <f t="array" ref="I8">SAFEDIV(G8,F8)</f>
        <v>94.926619887886062</v>
      </c>
      <c r="J8" s="55">
        <f t="shared" si="0"/>
        <v>281613421.66842872</v>
      </c>
      <c r="K8" s="55">
        <f t="shared" si="1"/>
        <v>-91594832.670786828</v>
      </c>
      <c r="L8" s="55">
        <f t="shared" si="2"/>
        <v>148543450.00235811</v>
      </c>
      <c r="M8" s="55">
        <f t="shared" si="3"/>
        <v>338562039</v>
      </c>
      <c r="N8" s="55">
        <f t="shared" si="4"/>
        <v>338562039</v>
      </c>
      <c r="O8" s="67">
        <f t="shared" si="5"/>
        <v>0</v>
      </c>
    </row>
    <row r="9" spans="2:15" x14ac:dyDescent="0.3">
      <c r="B9" t="s">
        <v>275</v>
      </c>
      <c r="C9" s="61" t="s">
        <v>33</v>
      </c>
      <c r="D9" s="54">
        <f>SUMIFS(tbl_FERC_Revenue[sales_mwh],tbl_FERC_Revenue[utility_id_ferc1],CompanyId,tbl_FERC_Revenue[report_year],BaseYear,tbl_FERC_Revenue[revenue_type],$C9)</f>
        <v>49360</v>
      </c>
      <c r="E9" s="54">
        <f>SUMIFS(tbl_FERC_Revenue[dollar_value],tbl_FERC_Revenue[utility_id_ferc1],CompanyId,tbl_FERC_Revenue[report_year],BaseYear,tbl_FERC_Revenue[revenue_type],$C9)</f>
        <v>11259467</v>
      </c>
      <c r="F9" s="54">
        <f>SUMIFS(tbl_FERC_Revenue[sales_mwh],tbl_FERC_Revenue[utility_id_ferc1],CompanyId,tbl_FERC_Revenue[report_year],FercYear,tbl_FERC_Revenue[revenue_type],$C9)</f>
        <v>41443</v>
      </c>
      <c r="G9" s="54">
        <f>SUMIFS(tbl_FERC_Revenue[dollar_value],tbl_FERC_Revenue[utility_id_ferc1],CompanyId,tbl_FERC_Revenue[report_year],FercYear,tbl_FERC_Revenue[revenue_type],$C9)</f>
        <v>14976918</v>
      </c>
      <c r="H9" s="58" cm="1">
        <f t="array" ref="H9">SAFEDIV(E9,D9)</f>
        <v>228.10913695299837</v>
      </c>
      <c r="I9" s="58" cm="1">
        <f t="array" ref="I9">SAFEDIV(G9,F9)</f>
        <v>361.38595178920446</v>
      </c>
      <c r="J9" s="55">
        <f t="shared" si="0"/>
        <v>-818617.21649684466</v>
      </c>
      <c r="K9" s="55">
        <f t="shared" si="1"/>
        <v>-987322.82076004345</v>
      </c>
      <c r="L9" s="55">
        <f t="shared" si="2"/>
        <v>5523391.037256889</v>
      </c>
      <c r="M9" s="55">
        <f t="shared" si="3"/>
        <v>3717451.0000000009</v>
      </c>
      <c r="N9" s="55">
        <f t="shared" si="4"/>
        <v>3717451</v>
      </c>
      <c r="O9" s="67">
        <f t="shared" si="5"/>
        <v>0</v>
      </c>
    </row>
    <row r="10" spans="2:15" x14ac:dyDescent="0.3">
      <c r="B10" t="s">
        <v>276</v>
      </c>
      <c r="C10" s="61" t="s">
        <v>41</v>
      </c>
      <c r="D10" s="54">
        <f>SUMIFS(tbl_FERC_Revenue[sales_mwh],tbl_FERC_Revenue[utility_id_ferc1],CompanyId,tbl_FERC_Revenue[report_year],BaseYear,tbl_FERC_Revenue[revenue_type],$C10)</f>
        <v>0</v>
      </c>
      <c r="E10" s="54">
        <f>SUMIFS(tbl_FERC_Revenue[dollar_value],tbl_FERC_Revenue[utility_id_ferc1],CompanyId,tbl_FERC_Revenue[report_year],BaseYear,tbl_FERC_Revenue[revenue_type],$C10)</f>
        <v>0</v>
      </c>
      <c r="F10" s="54">
        <f>SUMIFS(tbl_FERC_Revenue[sales_mwh],tbl_FERC_Revenue[utility_id_ferc1],CompanyId,tbl_FERC_Revenue[report_year],FercYear,tbl_FERC_Revenue[revenue_type],$C10)</f>
        <v>0</v>
      </c>
      <c r="G10" s="54">
        <f>SUMIFS(tbl_FERC_Revenue[dollar_value],tbl_FERC_Revenue[utility_id_ferc1],CompanyId,tbl_FERC_Revenue[report_year],FercYear,tbl_FERC_Revenue[revenue_type],$C10)</f>
        <v>0</v>
      </c>
      <c r="H10" s="58" cm="1">
        <f t="array" ref="H10">SAFEDIV(E10,D10)</f>
        <v>0</v>
      </c>
      <c r="I10" s="58" cm="1">
        <f t="array" ref="I10">SAFEDIV(G10,F10)</f>
        <v>0</v>
      </c>
      <c r="J10" s="55">
        <f t="shared" si="0"/>
        <v>0</v>
      </c>
      <c r="K10" s="55">
        <f t="shared" si="1"/>
        <v>0</v>
      </c>
      <c r="L10" s="55">
        <f t="shared" si="2"/>
        <v>0</v>
      </c>
      <c r="M10" s="55">
        <f t="shared" si="3"/>
        <v>0</v>
      </c>
      <c r="N10" s="55">
        <f t="shared" si="4"/>
        <v>0</v>
      </c>
      <c r="O10" s="67">
        <f t="shared" si="5"/>
        <v>0</v>
      </c>
    </row>
    <row r="11" spans="2:15" ht="13.5" thickBot="1" x14ac:dyDescent="0.35">
      <c r="B11" s="50" t="s">
        <v>207</v>
      </c>
      <c r="C11" s="50"/>
      <c r="D11" s="70">
        <f t="shared" ref="D11:G11" si="6">SUM(D6:D10)</f>
        <v>17304691</v>
      </c>
      <c r="E11" s="70">
        <f t="shared" si="6"/>
        <v>1789303774</v>
      </c>
      <c r="F11" s="70">
        <f t="shared" si="6"/>
        <v>19968167</v>
      </c>
      <c r="G11" s="70">
        <f t="shared" si="6"/>
        <v>2969346620</v>
      </c>
      <c r="H11" s="71" cm="1">
        <f t="array" ref="H11">SAFEDIV(E11,D11)</f>
        <v>103.39992629744154</v>
      </c>
      <c r="I11" s="71" cm="1">
        <f t="array" ref="I11">SAFEDIV(G11,F11)</f>
        <v>148.70401574666317</v>
      </c>
      <c r="J11" s="72">
        <f t="shared" ref="J11:L11" si="7">SUM(J6:J10)</f>
        <v>275403222.09500438</v>
      </c>
      <c r="K11" s="72">
        <f t="shared" si="7"/>
        <v>-88952655.662021682</v>
      </c>
      <c r="L11" s="72">
        <f t="shared" si="7"/>
        <v>993592279.5670172</v>
      </c>
      <c r="M11" s="72">
        <f t="shared" si="3"/>
        <v>1180042846</v>
      </c>
      <c r="N11" s="72">
        <f t="shared" si="4"/>
        <v>1180042846</v>
      </c>
      <c r="O11" s="73">
        <f t="shared" si="5"/>
        <v>0</v>
      </c>
    </row>
    <row r="12" spans="2:15" ht="13.5" thickTop="1" x14ac:dyDescent="0.3"/>
    <row r="14" spans="2:15" ht="18" customHeight="1" x14ac:dyDescent="0.3">
      <c r="B14" s="7" t="str">
        <f>"Last year: "&amp;(FercYear-1)&amp;" to "&amp;FercYear&amp;", FERC Form 1"</f>
        <v>Last year: 2024 to 2025, FERC Form 1</v>
      </c>
      <c r="C14" s="7"/>
      <c r="D14" s="7"/>
      <c r="E14" s="7"/>
      <c r="F14" s="7"/>
      <c r="G14" s="7"/>
      <c r="H14" s="7"/>
      <c r="I14" s="7"/>
      <c r="J14" s="7"/>
      <c r="K14" s="7"/>
      <c r="L14" s="7"/>
      <c r="M14" s="7"/>
      <c r="N14" s="7"/>
      <c r="O14" s="7"/>
    </row>
    <row r="15" spans="2:15" ht="30" customHeight="1" x14ac:dyDescent="0.3">
      <c r="B15" s="64" t="s">
        <v>208</v>
      </c>
      <c r="C15" s="66" t="s">
        <v>262</v>
      </c>
      <c r="D15" s="65" t="s">
        <v>263</v>
      </c>
      <c r="E15" s="65" t="s">
        <v>264</v>
      </c>
      <c r="F15" s="65" t="s">
        <v>265</v>
      </c>
      <c r="G15" s="65" t="s">
        <v>266</v>
      </c>
      <c r="H15" s="65" t="s">
        <v>267</v>
      </c>
      <c r="I15" s="65" t="s">
        <v>268</v>
      </c>
      <c r="J15" s="65" t="s">
        <v>269</v>
      </c>
      <c r="K15" s="65" t="s">
        <v>270</v>
      </c>
      <c r="L15" s="65" t="s">
        <v>271</v>
      </c>
      <c r="M15" s="65" t="s">
        <v>272</v>
      </c>
      <c r="N15" s="65" t="s">
        <v>273</v>
      </c>
      <c r="O15" s="65" t="s">
        <v>274</v>
      </c>
    </row>
    <row r="16" spans="2:15" x14ac:dyDescent="0.3">
      <c r="B16" t="s">
        <v>93</v>
      </c>
      <c r="C16" s="61" t="s">
        <v>34</v>
      </c>
      <c r="D16" s="54">
        <f>SUMIFS(tbl_FERC_Revenue[sales_mwh],tbl_FERC_Revenue[utility_id_ferc1],CompanyId,tbl_FERC_Revenue[report_year],FercYear-1,tbl_FERC_Revenue[revenue_type],$C16)</f>
        <v>7731594</v>
      </c>
      <c r="E16" s="54">
        <f>SUMIFS(tbl_FERC_Revenue[dollar_value],tbl_FERC_Revenue[utility_id_ferc1],CompanyId,tbl_FERC_Revenue[report_year],FercYear-1,tbl_FERC_Revenue[revenue_type],$C16)</f>
        <v>1406370635</v>
      </c>
      <c r="F16" s="54">
        <f>SUMIFS(tbl_FERC_Revenue[sales_mwh],tbl_FERC_Revenue[utility_id_ferc1],CompanyId,tbl_FERC_Revenue[report_year],FercYear,tbl_FERC_Revenue[revenue_type],$C16)</f>
        <v>7596298</v>
      </c>
      <c r="G16" s="54">
        <f>SUMIFS(tbl_FERC_Revenue[dollar_value],tbl_FERC_Revenue[utility_id_ferc1],CompanyId,tbl_FERC_Revenue[report_year],FercYear,tbl_FERC_Revenue[revenue_type],$C16)</f>
        <v>1427684968</v>
      </c>
      <c r="H16" s="58" cm="1">
        <f t="array" ref="H16">SAFEDIV(E16,D16)</f>
        <v>181.89918340254286</v>
      </c>
      <c r="I16" s="58" cm="1">
        <f t="array" ref="I16">SAFEDIV(G16,F16)</f>
        <v>187.94483418107083</v>
      </c>
      <c r="J16" s="55">
        <f t="shared" ref="J16:J20" si="8">(F16-D16)*$H$21</f>
        <v>-19537181.937750246</v>
      </c>
      <c r="K16" s="55">
        <f t="shared" ref="K16:K20" si="9">(F16-D16)*(H16-$H$21)</f>
        <v>-5073049.9798801942</v>
      </c>
      <c r="L16" s="55">
        <f t="shared" ref="L16:L20" si="10">F16*(I16-H16)</f>
        <v>45924564.917630471</v>
      </c>
      <c r="M16" s="55">
        <f t="shared" ref="M16:M21" si="11">SUM(J16:L16)</f>
        <v>21314333.00000003</v>
      </c>
      <c r="N16" s="55">
        <f t="shared" ref="N16:N21" si="12">G16-E16</f>
        <v>21314333</v>
      </c>
      <c r="O16" s="67">
        <f t="shared" ref="O16:O21" si="13">M16-N16</f>
        <v>2.9802322387695313E-8</v>
      </c>
    </row>
    <row r="17" spans="2:15" x14ac:dyDescent="0.3">
      <c r="B17" t="s">
        <v>96</v>
      </c>
      <c r="C17" s="61" t="s">
        <v>39</v>
      </c>
      <c r="D17" s="54">
        <f>SUMIFS(tbl_FERC_Revenue[sales_mwh],tbl_FERC_Revenue[utility_id_ferc1],CompanyId,tbl_FERC_Revenue[report_year],FercYear-1,tbl_FERC_Revenue[revenue_type],$C17)</f>
        <v>6466018</v>
      </c>
      <c r="E17" s="54">
        <f>SUMIFS(tbl_FERC_Revenue[dollar_value],tbl_FERC_Revenue[utility_id_ferc1],CompanyId,tbl_FERC_Revenue[report_year],FercYear-1,tbl_FERC_Revenue[revenue_type],$C17)</f>
        <v>904898637</v>
      </c>
      <c r="F17" s="54">
        <f>SUMIFS(tbl_FERC_Revenue[sales_mwh],tbl_FERC_Revenue[utility_id_ferc1],CompanyId,tbl_FERC_Revenue[report_year],FercYear,tbl_FERC_Revenue[revenue_type],$C17)</f>
        <v>6425897</v>
      </c>
      <c r="G17" s="54">
        <f>SUMIFS(tbl_FERC_Revenue[dollar_value],tbl_FERC_Revenue[utility_id_ferc1],CompanyId,tbl_FERC_Revenue[report_year],FercYear,tbl_FERC_Revenue[revenue_type],$C17)</f>
        <v>966187754</v>
      </c>
      <c r="H17" s="58" cm="1">
        <f t="array" ref="H17">SAFEDIV(E17,D17)</f>
        <v>139.94681688173463</v>
      </c>
      <c r="I17" s="58" cm="1">
        <f t="array" ref="I17">SAFEDIV(G17,F17)</f>
        <v>150.35842529066369</v>
      </c>
      <c r="J17" s="55">
        <f t="shared" si="8"/>
        <v>-5793602.7415775601</v>
      </c>
      <c r="K17" s="55">
        <f t="shared" si="9"/>
        <v>178796.50146548485</v>
      </c>
      <c r="L17" s="55">
        <f t="shared" si="10"/>
        <v>66903923.240111992</v>
      </c>
      <c r="M17" s="55">
        <f t="shared" si="11"/>
        <v>61289116.999999918</v>
      </c>
      <c r="N17" s="55">
        <f t="shared" si="12"/>
        <v>61289117</v>
      </c>
      <c r="O17" s="67">
        <f t="shared" si="13"/>
        <v>-8.1956386566162109E-8</v>
      </c>
    </row>
    <row r="18" spans="2:15" x14ac:dyDescent="0.3">
      <c r="B18" t="s">
        <v>98</v>
      </c>
      <c r="C18" s="61" t="s">
        <v>31</v>
      </c>
      <c r="D18" s="54">
        <f>SUMIFS(tbl_FERC_Revenue[sales_mwh],tbl_FERC_Revenue[utility_id_ferc1],CompanyId,tbl_FERC_Revenue[report_year],FercYear-1,tbl_FERC_Revenue[revenue_type],$C18)</f>
        <v>5032385</v>
      </c>
      <c r="E18" s="54">
        <f>SUMIFS(tbl_FERC_Revenue[dollar_value],tbl_FERC_Revenue[utility_id_ferc1],CompanyId,tbl_FERC_Revenue[report_year],FercYear-1,tbl_FERC_Revenue[revenue_type],$C18)</f>
        <v>457455750</v>
      </c>
      <c r="F18" s="54">
        <f>SUMIFS(tbl_FERC_Revenue[sales_mwh],tbl_FERC_Revenue[utility_id_ferc1],CompanyId,tbl_FERC_Revenue[report_year],FercYear,tbl_FERC_Revenue[revenue_type],$C18)</f>
        <v>5904529</v>
      </c>
      <c r="G18" s="54">
        <f>SUMIFS(tbl_FERC_Revenue[dollar_value],tbl_FERC_Revenue[utility_id_ferc1],CompanyId,tbl_FERC_Revenue[report_year],FercYear,tbl_FERC_Revenue[revenue_type],$C18)</f>
        <v>560496980</v>
      </c>
      <c r="H18" s="58" cm="1">
        <f t="array" ref="H18">SAFEDIV(E18,D18)</f>
        <v>90.9023753150842</v>
      </c>
      <c r="I18" s="58" cm="1">
        <f t="array" ref="I18">SAFEDIV(G18,F18)</f>
        <v>94.926619887886062</v>
      </c>
      <c r="J18" s="55">
        <f t="shared" si="8"/>
        <v>125940426.94475262</v>
      </c>
      <c r="K18" s="55">
        <f t="shared" si="9"/>
        <v>-46660465.727953821</v>
      </c>
      <c r="L18" s="55">
        <f t="shared" si="10"/>
        <v>23761268.783201206</v>
      </c>
      <c r="M18" s="55">
        <f t="shared" si="11"/>
        <v>103041230</v>
      </c>
      <c r="N18" s="55">
        <f t="shared" si="12"/>
        <v>103041230</v>
      </c>
      <c r="O18" s="67">
        <f t="shared" si="13"/>
        <v>0</v>
      </c>
    </row>
    <row r="19" spans="2:15" x14ac:dyDescent="0.3">
      <c r="B19" t="s">
        <v>275</v>
      </c>
      <c r="C19" s="61" t="s">
        <v>33</v>
      </c>
      <c r="D19" s="54">
        <f>SUMIFS(tbl_FERC_Revenue[sales_mwh],tbl_FERC_Revenue[utility_id_ferc1],CompanyId,tbl_FERC_Revenue[report_year],FercYear-1,tbl_FERC_Revenue[revenue_type],$C19)</f>
        <v>42625</v>
      </c>
      <c r="E19" s="54">
        <f>SUMIFS(tbl_FERC_Revenue[dollar_value],tbl_FERC_Revenue[utility_id_ferc1],CompanyId,tbl_FERC_Revenue[report_year],FercYear-1,tbl_FERC_Revenue[revenue_type],$C19)</f>
        <v>14304206</v>
      </c>
      <c r="F19" s="54">
        <f>SUMIFS(tbl_FERC_Revenue[sales_mwh],tbl_FERC_Revenue[utility_id_ferc1],CompanyId,tbl_FERC_Revenue[report_year],FercYear,tbl_FERC_Revenue[revenue_type],$C19)</f>
        <v>41443</v>
      </c>
      <c r="G19" s="54">
        <f>SUMIFS(tbl_FERC_Revenue[dollar_value],tbl_FERC_Revenue[utility_id_ferc1],CompanyId,tbl_FERC_Revenue[report_year],FercYear,tbl_FERC_Revenue[revenue_type],$C19)</f>
        <v>14976918</v>
      </c>
      <c r="H19" s="58" cm="1">
        <f t="array" ref="H19">SAFEDIV(E19,D19)</f>
        <v>335.58254545454548</v>
      </c>
      <c r="I19" s="58" cm="1">
        <f t="array" ref="I19">SAFEDIV(G19,F19)</f>
        <v>361.38595178920446</v>
      </c>
      <c r="J19" s="55">
        <f t="shared" si="8"/>
        <v>-170684.63997768442</v>
      </c>
      <c r="K19" s="55">
        <f t="shared" si="9"/>
        <v>-225973.92874958835</v>
      </c>
      <c r="L19" s="55">
        <f t="shared" si="10"/>
        <v>1069370.5687272719</v>
      </c>
      <c r="M19" s="55">
        <f t="shared" si="11"/>
        <v>672711.99999999907</v>
      </c>
      <c r="N19" s="55">
        <f t="shared" si="12"/>
        <v>672712</v>
      </c>
      <c r="O19" s="67">
        <f t="shared" si="13"/>
        <v>-9.3132257461547852E-10</v>
      </c>
    </row>
    <row r="20" spans="2:15" x14ac:dyDescent="0.3">
      <c r="B20" t="s">
        <v>276</v>
      </c>
      <c r="C20" s="61" t="s">
        <v>41</v>
      </c>
      <c r="D20" s="54">
        <f>SUMIFS(tbl_FERC_Revenue[sales_mwh],tbl_FERC_Revenue[utility_id_ferc1],CompanyId,tbl_FERC_Revenue[report_year],FercYear-1,tbl_FERC_Revenue[revenue_type],$C20)</f>
        <v>0</v>
      </c>
      <c r="E20" s="54">
        <f>SUMIFS(tbl_FERC_Revenue[dollar_value],tbl_FERC_Revenue[utility_id_ferc1],CompanyId,tbl_FERC_Revenue[report_year],FercYear-1,tbl_FERC_Revenue[revenue_type],$C20)</f>
        <v>0</v>
      </c>
      <c r="F20" s="54">
        <f>SUMIFS(tbl_FERC_Revenue[sales_mwh],tbl_FERC_Revenue[utility_id_ferc1],CompanyId,tbl_FERC_Revenue[report_year],FercYear,tbl_FERC_Revenue[revenue_type],$C20)</f>
        <v>0</v>
      </c>
      <c r="G20" s="54">
        <f>SUMIFS(tbl_FERC_Revenue[dollar_value],tbl_FERC_Revenue[utility_id_ferc1],CompanyId,tbl_FERC_Revenue[report_year],FercYear,tbl_FERC_Revenue[revenue_type],$C20)</f>
        <v>0</v>
      </c>
      <c r="H20" s="58" cm="1">
        <f t="array" ref="H20">SAFEDIV(E20,D20)</f>
        <v>0</v>
      </c>
      <c r="I20" s="58" cm="1">
        <f t="array" ref="I20">SAFEDIV(G20,F20)</f>
        <v>0</v>
      </c>
      <c r="J20" s="55">
        <f t="shared" si="8"/>
        <v>0</v>
      </c>
      <c r="K20" s="55">
        <f t="shared" si="9"/>
        <v>0</v>
      </c>
      <c r="L20" s="55">
        <f t="shared" si="10"/>
        <v>0</v>
      </c>
      <c r="M20" s="55">
        <f t="shared" si="11"/>
        <v>0</v>
      </c>
      <c r="N20" s="55">
        <f t="shared" si="12"/>
        <v>0</v>
      </c>
      <c r="O20" s="67">
        <f t="shared" si="13"/>
        <v>0</v>
      </c>
    </row>
    <row r="21" spans="2:15" ht="13.5" thickBot="1" x14ac:dyDescent="0.35">
      <c r="B21" s="50" t="s">
        <v>207</v>
      </c>
      <c r="C21" s="50"/>
      <c r="D21" s="70">
        <f t="shared" ref="D21:G21" si="14">SUM(D16:D20)</f>
        <v>19272622</v>
      </c>
      <c r="E21" s="70">
        <f t="shared" si="14"/>
        <v>2783029228</v>
      </c>
      <c r="F21" s="70">
        <f t="shared" si="14"/>
        <v>19968167</v>
      </c>
      <c r="G21" s="70">
        <f t="shared" si="14"/>
        <v>2969346620</v>
      </c>
      <c r="H21" s="71" cm="1">
        <f t="array" ref="H21">SAFEDIV(E21,D21)</f>
        <v>144.40324871208495</v>
      </c>
      <c r="I21" s="71" cm="1">
        <f t="array" ref="I21">SAFEDIV(G21,F21)</f>
        <v>148.70401574666317</v>
      </c>
      <c r="J21" s="72">
        <f t="shared" ref="J21:L21" si="15">SUM(J16:J20)</f>
        <v>100438957.62544714</v>
      </c>
      <c r="K21" s="72">
        <f t="shared" si="15"/>
        <v>-51780693.135118119</v>
      </c>
      <c r="L21" s="72">
        <f t="shared" si="15"/>
        <v>137659127.50967097</v>
      </c>
      <c r="M21" s="72">
        <f t="shared" si="11"/>
        <v>186317392</v>
      </c>
      <c r="N21" s="72">
        <f t="shared" si="12"/>
        <v>186317392</v>
      </c>
      <c r="O21" s="73">
        <f t="shared" si="13"/>
        <v>0</v>
      </c>
    </row>
    <row r="22" spans="2:15" ht="13.5" thickTop="1" x14ac:dyDescent="0.3"/>
    <row r="24" spans="2:15" ht="18" customHeight="1" x14ac:dyDescent="0.3">
      <c r="B24" s="7" t="str">
        <f>"Year to date: "&amp;TEXT(FYStart,"mmm")&amp;"–"&amp;TEXT(AsOfMonth,"mmm yyyy")&amp;" against the same months of "&amp;(FiscalYear-1)&amp;", EIA-861M"</f>
        <v>Year to date: Jan–Jun 2026 against the same months of 2025, EIA-861M</v>
      </c>
      <c r="C24" s="7"/>
      <c r="D24" s="7"/>
      <c r="E24" s="7"/>
      <c r="F24" s="7"/>
      <c r="G24" s="7"/>
      <c r="H24" s="7"/>
      <c r="I24" s="7"/>
      <c r="J24" s="7"/>
      <c r="K24" s="7"/>
      <c r="L24" s="7"/>
      <c r="M24" s="7"/>
      <c r="N24" s="7"/>
      <c r="O24" s="7"/>
    </row>
    <row r="25" spans="2:15" ht="30" customHeight="1" x14ac:dyDescent="0.3">
      <c r="B25" s="64" t="s">
        <v>208</v>
      </c>
      <c r="C25" s="66" t="s">
        <v>262</v>
      </c>
      <c r="D25" s="65" t="s">
        <v>263</v>
      </c>
      <c r="E25" s="65" t="s">
        <v>264</v>
      </c>
      <c r="F25" s="65" t="s">
        <v>265</v>
      </c>
      <c r="G25" s="65" t="s">
        <v>266</v>
      </c>
      <c r="H25" s="65" t="s">
        <v>267</v>
      </c>
      <c r="I25" s="65" t="s">
        <v>268</v>
      </c>
      <c r="J25" s="65" t="s">
        <v>269</v>
      </c>
      <c r="K25" s="65" t="s">
        <v>270</v>
      </c>
      <c r="L25" s="65" t="s">
        <v>271</v>
      </c>
      <c r="M25" s="65" t="s">
        <v>272</v>
      </c>
      <c r="N25" s="65" t="s">
        <v>273</v>
      </c>
      <c r="O25" s="65" t="s">
        <v>274</v>
      </c>
    </row>
    <row r="26" spans="2:15" x14ac:dyDescent="0.3">
      <c r="B26" t="s">
        <v>93</v>
      </c>
      <c r="C26" s="61" t="s">
        <v>92</v>
      </c>
      <c r="D26" s="54">
        <f>SUMIFS(tbl_Monthly[mwh],tbl_Monthly[class],$C26,tbl_Monthly[month],"&gt;="&amp;EDATE(FYStart,-12),tbl_Monthly[month],"&lt;="&amp;EDATE(AsOfMonth,-12))</f>
        <v>3797252.4870000002</v>
      </c>
      <c r="E26" s="54">
        <f>SUMIFS(tbl_Monthly[revenue],tbl_Monthly[class],$C26,tbl_Monthly[month],"&gt;="&amp;EDATE(FYStart,-12),tbl_Monthly[month],"&lt;="&amp;EDATE(AsOfMonth,-12))</f>
        <v>712293444</v>
      </c>
      <c r="F26" s="54">
        <f>SUMIFS(tbl_Monthly[mwh],tbl_Monthly[class],$C26,tbl_Monthly[month],"&gt;="&amp;FYStart,tbl_Monthly[month],"&lt;="&amp;AsOfMonth)</f>
        <v>3677698.2180000003</v>
      </c>
      <c r="G26" s="54">
        <f>SUMIFS(tbl_Monthly[revenue],tbl_Monthly[class],$C26,tbl_Monthly[month],"&gt;="&amp;FYStart,tbl_Monthly[month],"&lt;="&amp;AsOfMonth)</f>
        <v>695144762</v>
      </c>
      <c r="H26" s="58" cm="1">
        <f t="array" ref="H26">SAFEDIV(E26,D26)</f>
        <v>187.58126999417513</v>
      </c>
      <c r="I26" s="58" cm="1">
        <f t="array" ref="I26">SAFEDIV(G26,F26)</f>
        <v>189.01625984364549</v>
      </c>
      <c r="J26" s="55">
        <f t="shared" ref="J26:J29" si="16">(F26-D26)*$H$30</f>
        <v>-17615752.335250169</v>
      </c>
      <c r="K26" s="55">
        <f t="shared" ref="K26:K29" si="17">(F26-D26)*(H26-$H$30)</f>
        <v>-4810389.276995047</v>
      </c>
      <c r="L26" s="55">
        <f t="shared" ref="L26:L29" si="18">F26*(I26-H26)</f>
        <v>5277459.6122452142</v>
      </c>
      <c r="M26" s="55">
        <f t="shared" ref="M26:M30" si="19">SUM(J26:L26)</f>
        <v>-17148682.000000004</v>
      </c>
      <c r="N26" s="55">
        <f t="shared" ref="N26:N30" si="20">G26-E26</f>
        <v>-17148682</v>
      </c>
      <c r="O26" s="67">
        <f t="shared" ref="O26:O30" si="21">M26-N26</f>
        <v>0</v>
      </c>
    </row>
    <row r="27" spans="2:15" x14ac:dyDescent="0.3">
      <c r="B27" t="s">
        <v>96</v>
      </c>
      <c r="C27" s="61" t="s">
        <v>95</v>
      </c>
      <c r="D27" s="54">
        <f>SUMIFS(tbl_Monthly[mwh],tbl_Monthly[class],$C27,tbl_Monthly[month],"&gt;="&amp;EDATE(FYStart,-12),tbl_Monthly[month],"&lt;="&amp;EDATE(AsOfMonth,-12))</f>
        <v>3153190.4670000002</v>
      </c>
      <c r="E27" s="54">
        <f>SUMIFS(tbl_Monthly[revenue],tbl_Monthly[class],$C27,tbl_Monthly[month],"&gt;="&amp;EDATE(FYStart,-12),tbl_Monthly[month],"&lt;="&amp;EDATE(AsOfMonth,-12))</f>
        <v>468548856</v>
      </c>
      <c r="F27" s="54">
        <f>SUMIFS(tbl_Monthly[mwh],tbl_Monthly[class],$C27,tbl_Monthly[month],"&gt;="&amp;FYStart,tbl_Monthly[month],"&lt;="&amp;AsOfMonth)</f>
        <v>3100530.4840000002</v>
      </c>
      <c r="G27" s="54">
        <f>SUMIFS(tbl_Monthly[revenue],tbl_Monthly[class],$C27,tbl_Monthly[month],"&gt;="&amp;FYStart,tbl_Monthly[month],"&lt;="&amp;AsOfMonth)</f>
        <v>474305106</v>
      </c>
      <c r="H27" s="58" cm="1">
        <f t="array" ref="H27">SAFEDIV(E27,D27)</f>
        <v>148.5951644544281</v>
      </c>
      <c r="I27" s="58" cm="1">
        <f t="array" ref="I27">SAFEDIV(G27,F27)</f>
        <v>152.97546934229723</v>
      </c>
      <c r="J27" s="55">
        <f t="shared" si="16"/>
        <v>-7759197.7790980041</v>
      </c>
      <c r="K27" s="55">
        <f t="shared" si="17"/>
        <v>-65821.054954384686</v>
      </c>
      <c r="L27" s="55">
        <f t="shared" si="18"/>
        <v>13581268.83405244</v>
      </c>
      <c r="M27" s="55">
        <f t="shared" si="19"/>
        <v>5756250.0000000512</v>
      </c>
      <c r="N27" s="55">
        <f t="shared" si="20"/>
        <v>5756250</v>
      </c>
      <c r="O27" s="67">
        <f t="shared" si="21"/>
        <v>5.1222741603851318E-8</v>
      </c>
    </row>
    <row r="28" spans="2:15" x14ac:dyDescent="0.3">
      <c r="B28" t="s">
        <v>98</v>
      </c>
      <c r="C28" s="61" t="s">
        <v>97</v>
      </c>
      <c r="D28" s="54">
        <f>SUMIFS(tbl_Monthly[mwh],tbl_Monthly[class],$C28,tbl_Monthly[month],"&gt;="&amp;EDATE(FYStart,-12),tbl_Monthly[month],"&lt;="&amp;EDATE(AsOfMonth,-12))</f>
        <v>2832897.3419999997</v>
      </c>
      <c r="E28" s="54">
        <f>SUMIFS(tbl_Monthly[revenue],tbl_Monthly[class],$C28,tbl_Monthly[month],"&gt;="&amp;EDATE(FYStart,-12),tbl_Monthly[month],"&lt;="&amp;EDATE(AsOfMonth,-12))</f>
        <v>260794382</v>
      </c>
      <c r="F28" s="54">
        <f>SUMIFS(tbl_Monthly[mwh],tbl_Monthly[class],$C28,tbl_Monthly[month],"&gt;="&amp;FYStart,tbl_Monthly[month],"&lt;="&amp;AsOfMonth)</f>
        <v>3177473.0930000003</v>
      </c>
      <c r="G28" s="54">
        <f>SUMIFS(tbl_Monthly[revenue],tbl_Monthly[class],$C28,tbl_Monthly[month],"&gt;="&amp;FYStart,tbl_Monthly[month],"&lt;="&amp;AsOfMonth)</f>
        <v>299820792</v>
      </c>
      <c r="H28" s="58" cm="1">
        <f t="array" ref="H28">SAFEDIV(E28,D28)</f>
        <v>92.059242011177702</v>
      </c>
      <c r="I28" s="58" cm="1">
        <f t="array" ref="I28">SAFEDIV(G28,F28)</f>
        <v>94.358247331978262</v>
      </c>
      <c r="J28" s="55">
        <f t="shared" si="16"/>
        <v>50771596.373098552</v>
      </c>
      <c r="K28" s="55">
        <f t="shared" si="17"/>
        <v>-19050213.920606188</v>
      </c>
      <c r="L28" s="55">
        <f t="shared" si="18"/>
        <v>7305027.5475076148</v>
      </c>
      <c r="M28" s="55">
        <f t="shared" si="19"/>
        <v>39026409.999999978</v>
      </c>
      <c r="N28" s="55">
        <f t="shared" si="20"/>
        <v>39026410</v>
      </c>
      <c r="O28" s="67">
        <f t="shared" si="21"/>
        <v>0</v>
      </c>
    </row>
    <row r="29" spans="2:15" x14ac:dyDescent="0.3">
      <c r="B29" t="s">
        <v>101</v>
      </c>
      <c r="C29" s="61" t="s">
        <v>100</v>
      </c>
      <c r="D29" s="54">
        <f>SUMIFS(tbl_Monthly[mwh],tbl_Monthly[class],$C29,tbl_Monthly[month],"&gt;="&amp;EDATE(FYStart,-12),tbl_Monthly[month],"&lt;="&amp;EDATE(AsOfMonth,-12))</f>
        <v>5673.7510000000002</v>
      </c>
      <c r="E29" s="54">
        <f>SUMIFS(tbl_Monthly[revenue],tbl_Monthly[class],$C29,tbl_Monthly[month],"&gt;="&amp;EDATE(FYStart,-12),tbl_Monthly[month],"&lt;="&amp;EDATE(AsOfMonth,-12))</f>
        <v>727932</v>
      </c>
      <c r="F29" s="54">
        <f>SUMIFS(tbl_Monthly[mwh],tbl_Monthly[class],$C29,tbl_Monthly[month],"&gt;="&amp;FYStart,tbl_Monthly[month],"&lt;="&amp;AsOfMonth)</f>
        <v>5240.7759999999998</v>
      </c>
      <c r="G29" s="54">
        <f>SUMIFS(tbl_Monthly[revenue],tbl_Monthly[class],$C29,tbl_Monthly[month],"&gt;="&amp;FYStart,tbl_Monthly[month],"&lt;="&amp;AsOfMonth)</f>
        <v>691495</v>
      </c>
      <c r="H29" s="58" cm="1">
        <f t="array" ref="H29">SAFEDIV(E29,D29)</f>
        <v>128.29819285336984</v>
      </c>
      <c r="I29" s="58" cm="1">
        <f t="array" ref="I29">SAFEDIV(G29,F29)</f>
        <v>131.94515468701582</v>
      </c>
      <c r="J29" s="55">
        <f t="shared" si="16"/>
        <v>-63796.80484144784</v>
      </c>
      <c r="K29" s="55">
        <f t="shared" si="17"/>
        <v>8246.894790759985</v>
      </c>
      <c r="L29" s="55">
        <f t="shared" si="18"/>
        <v>19112.910050687817</v>
      </c>
      <c r="M29" s="55">
        <f t="shared" si="19"/>
        <v>-36437.000000000036</v>
      </c>
      <c r="N29" s="55">
        <f t="shared" si="20"/>
        <v>-36437</v>
      </c>
      <c r="O29" s="67">
        <f t="shared" si="21"/>
        <v>0</v>
      </c>
    </row>
    <row r="30" spans="2:15" ht="13.5" thickBot="1" x14ac:dyDescent="0.35">
      <c r="B30" s="50" t="s">
        <v>207</v>
      </c>
      <c r="C30" s="50"/>
      <c r="D30" s="70">
        <f t="shared" ref="D30:G30" si="22">SUM(D26:D29)</f>
        <v>9789014.0470000003</v>
      </c>
      <c r="E30" s="70">
        <f t="shared" si="22"/>
        <v>1442364614</v>
      </c>
      <c r="F30" s="70">
        <f t="shared" si="22"/>
        <v>9960942.5710000023</v>
      </c>
      <c r="G30" s="70">
        <f t="shared" si="22"/>
        <v>1469962155</v>
      </c>
      <c r="H30" s="71" cm="1">
        <f t="array" ref="H30">SAFEDIV(E30,D30)</f>
        <v>147.34523896633243</v>
      </c>
      <c r="I30" s="71" cm="1">
        <f t="array" ref="I30">SAFEDIV(G30,F30)</f>
        <v>147.57259611952838</v>
      </c>
      <c r="J30" s="72">
        <f t="shared" ref="J30:L30" si="23">SUM(J26:J29)</f>
        <v>25332849.453908931</v>
      </c>
      <c r="K30" s="72">
        <f t="shared" si="23"/>
        <v>-23918177.357764859</v>
      </c>
      <c r="L30" s="72">
        <f t="shared" si="23"/>
        <v>26182868.903855953</v>
      </c>
      <c r="M30" s="72">
        <f t="shared" si="19"/>
        <v>27597541.000000026</v>
      </c>
      <c r="N30" s="72">
        <f t="shared" si="20"/>
        <v>27597541</v>
      </c>
      <c r="O30" s="73">
        <f t="shared" si="21"/>
        <v>0</v>
      </c>
    </row>
    <row r="31" spans="2:15" ht="13.5" thickTop="1" x14ac:dyDescent="0.3"/>
    <row r="33" spans="2:15" ht="18" customHeight="1" x14ac:dyDescent="0.3">
      <c r="B33" s="7" t="s">
        <v>277</v>
      </c>
      <c r="C33" s="7"/>
      <c r="D33" s="7"/>
      <c r="E33" s="7"/>
      <c r="F33" s="7"/>
      <c r="G33" s="7"/>
      <c r="H33" s="7"/>
      <c r="I33" s="7"/>
      <c r="J33" s="7"/>
      <c r="K33" s="7"/>
      <c r="L33" s="7"/>
      <c r="M33" s="7"/>
      <c r="N33" s="7"/>
      <c r="O33" s="7"/>
    </row>
    <row r="34" spans="2:15" x14ac:dyDescent="0.3">
      <c r="B34" t="str">
        <f>BaseYear&amp;" retail revenue"</f>
        <v>2019 retail revenue</v>
      </c>
      <c r="C34" s="74">
        <f>E11</f>
        <v>1789303774</v>
      </c>
    </row>
    <row r="35" spans="2:15" x14ac:dyDescent="0.3">
      <c r="B35" t="s">
        <v>269</v>
      </c>
      <c r="C35" s="74">
        <f>J11</f>
        <v>275403222.09500438</v>
      </c>
    </row>
    <row r="36" spans="2:15" x14ac:dyDescent="0.3">
      <c r="B36" t="s">
        <v>270</v>
      </c>
      <c r="C36" s="74">
        <f>K11</f>
        <v>-88952655.662021682</v>
      </c>
    </row>
    <row r="37" spans="2:15" x14ac:dyDescent="0.3">
      <c r="B37" t="s">
        <v>271</v>
      </c>
      <c r="C37" s="74">
        <f>L11</f>
        <v>993592279.5670172</v>
      </c>
    </row>
    <row r="38" spans="2:15" x14ac:dyDescent="0.3">
      <c r="B38" t="str">
        <f>FercYear&amp;" retail revenue"</f>
        <v>2025 retail revenue</v>
      </c>
      <c r="C38" s="74">
        <f>G11</f>
        <v>2969346620</v>
      </c>
    </row>
  </sheetData>
  <mergeCells count="1">
    <mergeCell ref="B2:O2"/>
  </mergeCells>
  <conditionalFormatting sqref="J6:N11">
    <cfRule type="cellIs" dxfId="57" priority="1" stopIfTrue="1" operator="greaterThan">
      <formula>0</formula>
    </cfRule>
    <cfRule type="cellIs" dxfId="56" priority="2" stopIfTrue="1" operator="lessThan">
      <formula>0</formula>
    </cfRule>
  </conditionalFormatting>
  <conditionalFormatting sqref="J16:N21">
    <cfRule type="cellIs" dxfId="55" priority="3" stopIfTrue="1" operator="greaterThan">
      <formula>0</formula>
    </cfRule>
    <cfRule type="cellIs" dxfId="54" priority="4" stopIfTrue="1" operator="lessThan">
      <formula>0</formula>
    </cfRule>
  </conditionalFormatting>
  <conditionalFormatting sqref="J26:N30">
    <cfRule type="cellIs" dxfId="53" priority="5" stopIfTrue="1" operator="greaterThan">
      <formula>0</formula>
    </cfRule>
    <cfRule type="cellIs" dxfId="52" priority="6" stopIfTrue="1" operator="lessThan">
      <formula>0</formula>
    </cfRule>
  </conditionalFormatting>
  <printOptions horizontalCentered="1"/>
  <pageMargins left="0.35" right="0.35" top="0.44999999999999996" bottom="0.5" header="0.3" footer="0.2"/>
  <pageSetup scale="65" orientation="landscape" r:id="rId1"/>
  <headerFooter>
    <oddFooter>&amp;C&amp;8&amp;A&amp;L&amp;8Portland General Electric utility FP&amp;&amp;A model · public data (EIA, FERC via PUDL, NOAA)&amp;R&amp;8Page &amp;P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6CAE2-D0CB-4B08-8F84-4435723F84C8}">
  <sheetPr>
    <tabColor rgb="FF0F766E"/>
    <pageSetUpPr fitToPage="1"/>
  </sheetPr>
  <dimension ref="B1:Q38"/>
  <sheetViews>
    <sheetView showGridLines="0" zoomScale="90" zoomScaleNormal="90" workbookViewId="0"/>
  </sheetViews>
  <sheetFormatPr defaultRowHeight="13" x14ac:dyDescent="0.3"/>
  <cols>
    <col min="1" max="1" width="2.69921875" customWidth="1"/>
    <col min="2" max="2" width="16.69921875" customWidth="1"/>
    <col min="3" max="17" width="12.69921875" customWidth="1"/>
  </cols>
  <sheetData>
    <row r="1" spans="2:17" ht="30" customHeight="1" x14ac:dyDescent="0.55000000000000004">
      <c r="B1" s="1" t="s">
        <v>278</v>
      </c>
    </row>
    <row r="2" spans="2:17" ht="28" customHeight="1" x14ac:dyDescent="0.3">
      <c r="B2" s="32" t="str">
        <f>"PGE's monthly returns to EIA, "&amp;TEXT(FitStart,"mmm yyyy")&amp;" to "&amp;TEXT(AsOfMonth,"mmm yyyy")&amp;". EIA marks the latest months Preliminary and revises them."</f>
        <v>PGE's monthly returns to EIA, Jan 2017 to Jun 2026. EIA marks the latest months Preliminary and revises them.</v>
      </c>
      <c r="C2" s="32"/>
      <c r="D2" s="32"/>
      <c r="E2" s="32"/>
      <c r="F2" s="32"/>
      <c r="G2" s="32"/>
      <c r="H2" s="32"/>
      <c r="I2" s="32"/>
      <c r="J2" s="32"/>
      <c r="K2" s="32"/>
      <c r="L2" s="32"/>
      <c r="M2" s="32"/>
      <c r="N2" s="32"/>
      <c r="O2" s="32"/>
      <c r="P2" s="32"/>
      <c r="Q2" s="32"/>
    </row>
    <row r="4" spans="2:17" ht="18" customHeight="1" x14ac:dyDescent="0.3">
      <c r="B4" s="7" t="str">
        <f>"Year to date by class: "&amp;TEXT(FYStart,"mmm")&amp;"–"&amp;TEXT(AsOfMonth,"mmm yyyy")&amp;" against "&amp;(FiscalYear-1)</f>
        <v>Year to date by class: Jan–Jun 2026 against 2025</v>
      </c>
      <c r="C4" s="7"/>
      <c r="D4" s="7"/>
      <c r="E4" s="7"/>
      <c r="F4" s="7"/>
      <c r="G4" s="7"/>
      <c r="H4" s="7"/>
      <c r="I4" s="7"/>
      <c r="J4" s="7"/>
      <c r="K4" s="7"/>
      <c r="L4" s="7"/>
      <c r="M4" s="7"/>
      <c r="N4" s="7"/>
      <c r="O4" s="7"/>
      <c r="P4" s="7"/>
      <c r="Q4" s="7"/>
    </row>
    <row r="5" spans="2:17" ht="30" customHeight="1" x14ac:dyDescent="0.3">
      <c r="B5" s="64" t="s">
        <v>208</v>
      </c>
      <c r="C5" s="65" t="s">
        <v>279</v>
      </c>
      <c r="D5" s="65" t="s">
        <v>220</v>
      </c>
      <c r="E5" s="65" t="s">
        <v>280</v>
      </c>
      <c r="F5" s="65" t="s">
        <v>281</v>
      </c>
      <c r="G5" s="65" t="s">
        <v>282</v>
      </c>
      <c r="H5" s="65" t="s">
        <v>280</v>
      </c>
      <c r="I5" s="65" t="s">
        <v>281</v>
      </c>
      <c r="J5" s="65" t="s">
        <v>213</v>
      </c>
      <c r="K5" s="65" t="s">
        <v>280</v>
      </c>
      <c r="L5" s="65" t="s">
        <v>281</v>
      </c>
      <c r="M5" s="65" t="s">
        <v>283</v>
      </c>
      <c r="N5" s="65" t="s">
        <v>284</v>
      </c>
      <c r="O5" s="65" t="s">
        <v>281</v>
      </c>
      <c r="P5" s="65" t="s">
        <v>285</v>
      </c>
      <c r="Q5" s="65" t="s">
        <v>280</v>
      </c>
    </row>
    <row r="6" spans="2:17" x14ac:dyDescent="0.3">
      <c r="B6" t="s">
        <v>93</v>
      </c>
      <c r="C6" s="61" t="s">
        <v>92</v>
      </c>
      <c r="D6" s="54">
        <f>SUMIFS(tbl_Monthly[revenue],tbl_Monthly[class],$C6,tbl_Monthly[month],"&gt;="&amp;FYStart,tbl_Monthly[month],"&lt;="&amp;AsOfMonth)</f>
        <v>695144762</v>
      </c>
      <c r="E6" s="54">
        <f>SUMIFS(tbl_Monthly[revenue],tbl_Monthly[class],$C6,tbl_Monthly[month],"&gt;="&amp;EDATE(FYStart,-12),tbl_Monthly[month],"&lt;="&amp;EDATE(AsOfMonth,-12))</f>
        <v>712293444</v>
      </c>
      <c r="F6" s="39" cm="1">
        <f t="array" ref="F6">SAFEDIV(D6-E6,E6)</f>
        <v>-2.4075305121016948E-2</v>
      </c>
      <c r="G6" s="54">
        <f>SUMIFS(tbl_Monthly[mwh],tbl_Monthly[class],$C6,tbl_Monthly[month],"&gt;="&amp;FYStart,tbl_Monthly[month],"&lt;="&amp;AsOfMonth)</f>
        <v>3677698.2180000003</v>
      </c>
      <c r="H6" s="54">
        <f>SUMIFS(tbl_Monthly[mwh],tbl_Monthly[class],$C6,tbl_Monthly[month],"&gt;="&amp;EDATE(FYStart,-12),tbl_Monthly[month],"&lt;="&amp;EDATE(AsOfMonth,-12))</f>
        <v>3797252.4870000002</v>
      </c>
      <c r="I6" s="39" cm="1">
        <f t="array" ref="I6">SAFEDIV(G6-H6,H6)</f>
        <v>-3.1484413904341951E-2</v>
      </c>
      <c r="J6" s="56" cm="1">
        <f t="array" ref="J6">CPK(D6,G6)</f>
        <v>18.90162598436455</v>
      </c>
      <c r="K6" s="56" cm="1">
        <f t="array" ref="K6">CPK(E6,H6)</f>
        <v>18.758126999417513</v>
      </c>
      <c r="L6" s="39" cm="1">
        <f t="array" ref="L6">SAFEDIV(J6-K6,K6)</f>
        <v>7.6499633972780413E-3</v>
      </c>
      <c r="M6" s="54">
        <f>SUMIFS(tbl_Monthly[customers],tbl_Monthly[class],$C6,tbl_Monthly[month],AsOfMonth)</f>
        <v>846477</v>
      </c>
      <c r="N6" s="54">
        <f>SUMIFS(tbl_Monthly[customers],tbl_Monthly[class],$C6,tbl_Monthly[month],EDATE(AsOfMonth,-12))</f>
        <v>840422</v>
      </c>
      <c r="O6" s="39" cm="1">
        <f t="array" ref="O6">SAFEDIV(M6-N6,N6)</f>
        <v>7.2047138223416329E-3</v>
      </c>
      <c r="P6" s="16" cm="1">
        <f t="array" ref="P6">SAFEDIV(G6,M6)</f>
        <v>4.3447113365159362</v>
      </c>
      <c r="Q6" s="16" cm="1">
        <f t="array" ref="Q6">SAFEDIV(H6,N6)</f>
        <v>4.5182687828257713</v>
      </c>
    </row>
    <row r="7" spans="2:17" x14ac:dyDescent="0.3">
      <c r="B7" t="s">
        <v>96</v>
      </c>
      <c r="C7" s="61" t="s">
        <v>95</v>
      </c>
      <c r="D7" s="54">
        <f>SUMIFS(tbl_Monthly[revenue],tbl_Monthly[class],$C7,tbl_Monthly[month],"&gt;="&amp;FYStart,tbl_Monthly[month],"&lt;="&amp;AsOfMonth)</f>
        <v>474305106</v>
      </c>
      <c r="E7" s="54">
        <f>SUMIFS(tbl_Monthly[revenue],tbl_Monthly[class],$C7,tbl_Monthly[month],"&gt;="&amp;EDATE(FYStart,-12),tbl_Monthly[month],"&lt;="&amp;EDATE(AsOfMonth,-12))</f>
        <v>468548856</v>
      </c>
      <c r="F7" s="39" cm="1">
        <f t="array" ref="F7">SAFEDIV(D7-E7,E7)</f>
        <v>1.2285271698539799E-2</v>
      </c>
      <c r="G7" s="54">
        <f>SUMIFS(tbl_Monthly[mwh],tbl_Monthly[class],$C7,tbl_Monthly[month],"&gt;="&amp;FYStart,tbl_Monthly[month],"&lt;="&amp;AsOfMonth)</f>
        <v>3100530.4840000002</v>
      </c>
      <c r="H7" s="54">
        <f>SUMIFS(tbl_Monthly[mwh],tbl_Monthly[class],$C7,tbl_Monthly[month],"&gt;="&amp;EDATE(FYStart,-12),tbl_Monthly[month],"&lt;="&amp;EDATE(AsOfMonth,-12))</f>
        <v>3153190.4670000002</v>
      </c>
      <c r="I7" s="39" cm="1">
        <f t="array" ref="I7">SAFEDIV(G7-H7,H7)</f>
        <v>-1.6700539834531982E-2</v>
      </c>
      <c r="J7" s="56" cm="1">
        <f t="array" ref="J7">CPK(D7,G7)</f>
        <v>15.297546934229723</v>
      </c>
      <c r="K7" s="56" cm="1">
        <f t="array" ref="K7">CPK(E7,H7)</f>
        <v>14.859516445442811</v>
      </c>
      <c r="L7" s="39" cm="1">
        <f t="array" ref="L7">SAFEDIV(J7-K7,K7)</f>
        <v>2.9478111915361146E-2</v>
      </c>
      <c r="M7" s="54">
        <f>SUMIFS(tbl_Monthly[customers],tbl_Monthly[class],$C7,tbl_Monthly[month],AsOfMonth)</f>
        <v>110492</v>
      </c>
      <c r="N7" s="54">
        <f>SUMIFS(tbl_Monthly[customers],tbl_Monthly[class],$C7,tbl_Monthly[month],EDATE(AsOfMonth,-12))</f>
        <v>110061</v>
      </c>
      <c r="O7" s="39" cm="1">
        <f t="array" ref="O7">SAFEDIV(M7-N7,N7)</f>
        <v>3.9160102125185125E-3</v>
      </c>
      <c r="P7" s="16" cm="1">
        <f t="array" ref="P7">SAFEDIV(G7,M7)</f>
        <v>28.06113097780835</v>
      </c>
      <c r="Q7" s="16" cm="1">
        <f t="array" ref="Q7">SAFEDIV(H7,N7)</f>
        <v>28.649480442663616</v>
      </c>
    </row>
    <row r="8" spans="2:17" x14ac:dyDescent="0.3">
      <c r="B8" t="s">
        <v>98</v>
      </c>
      <c r="C8" s="61" t="s">
        <v>97</v>
      </c>
      <c r="D8" s="54">
        <f>SUMIFS(tbl_Monthly[revenue],tbl_Monthly[class],$C8,tbl_Monthly[month],"&gt;="&amp;FYStart,tbl_Monthly[month],"&lt;="&amp;AsOfMonth)</f>
        <v>299820792</v>
      </c>
      <c r="E8" s="54">
        <f>SUMIFS(tbl_Monthly[revenue],tbl_Monthly[class],$C8,tbl_Monthly[month],"&gt;="&amp;EDATE(FYStart,-12),tbl_Monthly[month],"&lt;="&amp;EDATE(AsOfMonth,-12))</f>
        <v>260794382</v>
      </c>
      <c r="F8" s="39" cm="1">
        <f t="array" ref="F8">SAFEDIV(D8-E8,E8)</f>
        <v>0.14964436618883914</v>
      </c>
      <c r="G8" s="54">
        <f>SUMIFS(tbl_Monthly[mwh],tbl_Monthly[class],$C8,tbl_Monthly[month],"&gt;="&amp;FYStart,tbl_Monthly[month],"&lt;="&amp;AsOfMonth)</f>
        <v>3177473.0930000003</v>
      </c>
      <c r="H8" s="54">
        <f>SUMIFS(tbl_Monthly[mwh],tbl_Monthly[class],$C8,tbl_Monthly[month],"&gt;="&amp;EDATE(FYStart,-12),tbl_Monthly[month],"&lt;="&amp;EDATE(AsOfMonth,-12))</f>
        <v>2832897.3419999997</v>
      </c>
      <c r="I8" s="39" cm="1">
        <f t="array" ref="I8">SAFEDIV(G8-H8,H8)</f>
        <v>0.12163368784720356</v>
      </c>
      <c r="J8" s="56" cm="1">
        <f t="array" ref="J8">CPK(D8,G8)</f>
        <v>9.4358247331978262</v>
      </c>
      <c r="K8" s="56" cm="1">
        <f t="array" ref="K8">CPK(E8,H8)</f>
        <v>9.2059242011177709</v>
      </c>
      <c r="L8" s="39" cm="1">
        <f t="array" ref="L8">SAFEDIV(J8-K8,K8)</f>
        <v>2.4973107214172056E-2</v>
      </c>
      <c r="M8" s="54">
        <f>SUMIFS(tbl_Monthly[customers],tbl_Monthly[class],$C8,tbl_Monthly[month],AsOfMonth)</f>
        <v>4318</v>
      </c>
      <c r="N8" s="54">
        <f>SUMIFS(tbl_Monthly[customers],tbl_Monthly[class],$C8,tbl_Monthly[month],EDATE(AsOfMonth,-12))</f>
        <v>4362</v>
      </c>
      <c r="O8" s="39" cm="1">
        <f t="array" ref="O8">SAFEDIV(M8-N8,N8)</f>
        <v>-1.0087116001834021E-2</v>
      </c>
      <c r="P8" s="16" cm="1">
        <f t="array" ref="P8">SAFEDIV(G8,M8)</f>
        <v>735.86685803612795</v>
      </c>
      <c r="Q8" s="16" cm="1">
        <f t="array" ref="Q8">SAFEDIV(H8,N8)</f>
        <v>649.44918431911958</v>
      </c>
    </row>
    <row r="9" spans="2:17" x14ac:dyDescent="0.3">
      <c r="B9" t="s">
        <v>101</v>
      </c>
      <c r="C9" s="61" t="s">
        <v>100</v>
      </c>
      <c r="D9" s="54">
        <f>SUMIFS(tbl_Monthly[revenue],tbl_Monthly[class],$C9,tbl_Monthly[month],"&gt;="&amp;FYStart,tbl_Monthly[month],"&lt;="&amp;AsOfMonth)</f>
        <v>691495</v>
      </c>
      <c r="E9" s="54">
        <f>SUMIFS(tbl_Monthly[revenue],tbl_Monthly[class],$C9,tbl_Monthly[month],"&gt;="&amp;EDATE(FYStart,-12),tbl_Monthly[month],"&lt;="&amp;EDATE(AsOfMonth,-12))</f>
        <v>727932</v>
      </c>
      <c r="F9" s="39" cm="1">
        <f t="array" ref="F9">SAFEDIV(D9-E9,E9)</f>
        <v>-5.0055499689531442E-2</v>
      </c>
      <c r="G9" s="54">
        <f>SUMIFS(tbl_Monthly[mwh],tbl_Monthly[class],$C9,tbl_Monthly[month],"&gt;="&amp;FYStart,tbl_Monthly[month],"&lt;="&amp;AsOfMonth)</f>
        <v>5240.7759999999998</v>
      </c>
      <c r="H9" s="54">
        <f>SUMIFS(tbl_Monthly[mwh],tbl_Monthly[class],$C9,tbl_Monthly[month],"&gt;="&amp;EDATE(FYStart,-12),tbl_Monthly[month],"&lt;="&amp;EDATE(AsOfMonth,-12))</f>
        <v>5673.7510000000002</v>
      </c>
      <c r="I9" s="39" cm="1">
        <f t="array" ref="I9">SAFEDIV(G9-H9,H9)</f>
        <v>-7.631194953744011E-2</v>
      </c>
      <c r="J9" s="56" cm="1">
        <f t="array" ref="J9">CPK(D9,G9)</f>
        <v>13.194515468701582</v>
      </c>
      <c r="K9" s="56" cm="1">
        <f t="array" ref="K9">CPK(E9,H9)</f>
        <v>12.829819285336985</v>
      </c>
      <c r="L9" s="39" cm="1">
        <f t="array" ref="L9">SAFEDIV(J9-K9,K9)</f>
        <v>2.8425667989057549E-2</v>
      </c>
      <c r="M9" s="54">
        <f>SUMIFS(tbl_Monthly[customers],tbl_Monthly[class],$C9,tbl_Monthly[month],AsOfMonth)</f>
        <v>1</v>
      </c>
      <c r="N9" s="54">
        <f>SUMIFS(tbl_Monthly[customers],tbl_Monthly[class],$C9,tbl_Monthly[month],EDATE(AsOfMonth,-12))</f>
        <v>1</v>
      </c>
      <c r="O9" s="39" cm="1">
        <f t="array" ref="O9">SAFEDIV(M9-N9,N9)</f>
        <v>0</v>
      </c>
      <c r="P9" s="16" cm="1">
        <f t="array" ref="P9">SAFEDIV(G9,M9)</f>
        <v>5240.7759999999998</v>
      </c>
      <c r="Q9" s="16" cm="1">
        <f t="array" ref="Q9">SAFEDIV(H9,N9)</f>
        <v>5673.7510000000002</v>
      </c>
    </row>
    <row r="10" spans="2:17" ht="13.5" thickBot="1" x14ac:dyDescent="0.35">
      <c r="B10" s="50" t="s">
        <v>207</v>
      </c>
      <c r="C10" s="50"/>
      <c r="D10" s="70">
        <f>SUM(D6:D9)</f>
        <v>1469962155</v>
      </c>
      <c r="E10" s="70">
        <f>SUM(E6:E9)</f>
        <v>1442364614</v>
      </c>
      <c r="F10" s="52" cm="1">
        <f t="array" ref="F10">SAFEDIV(D10-E10,E10)</f>
        <v>1.91335399746572E-2</v>
      </c>
      <c r="G10" s="70">
        <f>SUM(G6:G9)</f>
        <v>9960942.5710000023</v>
      </c>
      <c r="H10" s="70">
        <f>SUM(H6:H9)</f>
        <v>9789014.0470000003</v>
      </c>
      <c r="I10" s="52" cm="1">
        <f t="array" ref="I10">SAFEDIV(G10-H10,H10)</f>
        <v>1.7563415802094216E-2</v>
      </c>
      <c r="J10" s="75" cm="1">
        <f t="array" ref="J10">CPK(D10,G10)</f>
        <v>14.757259611952838</v>
      </c>
      <c r="K10" s="75" cm="1">
        <f t="array" ref="K10">CPK(E10,H10)</f>
        <v>14.734523896633243</v>
      </c>
      <c r="L10" s="52" cm="1">
        <f t="array" ref="L10">SAFEDIV(J10-K10,K10)</f>
        <v>1.5430234108066161E-3</v>
      </c>
      <c r="M10" s="70">
        <f>SUM(M6:M9)</f>
        <v>961288</v>
      </c>
      <c r="N10" s="70">
        <f>SUM(N6:N9)</f>
        <v>954846</v>
      </c>
      <c r="O10" s="52" cm="1">
        <f t="array" ref="O10">SAFEDIV(M10-N10,N10)</f>
        <v>6.7466376776988118E-3</v>
      </c>
      <c r="P10" s="76" cm="1">
        <f t="array" ref="P10">SAFEDIV(G10,M10)</f>
        <v>10.362079388279062</v>
      </c>
      <c r="Q10" s="76" cm="1">
        <f t="array" ref="Q10">SAFEDIV(H10,N10)</f>
        <v>10.251929679759877</v>
      </c>
    </row>
    <row r="11" spans="2:17" ht="13.5" thickTop="1" x14ac:dyDescent="0.3"/>
    <row r="13" spans="2:17" ht="18" customHeight="1" x14ac:dyDescent="0.3">
      <c r="B13" s="7" t="s">
        <v>286</v>
      </c>
      <c r="C13" s="7"/>
      <c r="D13" s="7"/>
      <c r="E13" s="7"/>
      <c r="F13" s="7"/>
      <c r="G13" s="7"/>
      <c r="H13" s="7"/>
      <c r="I13" s="7"/>
      <c r="J13" s="7"/>
      <c r="K13" s="7"/>
      <c r="L13" s="7"/>
      <c r="M13" s="7"/>
      <c r="N13" s="7"/>
      <c r="O13" s="7"/>
      <c r="P13" s="7"/>
      <c r="Q13" s="7"/>
    </row>
    <row r="14" spans="2:17" x14ac:dyDescent="0.3">
      <c r="B14" s="24" t="s">
        <v>217</v>
      </c>
      <c r="C14" s="34" t="str">
        <f t="shared" ref="C14:N14" si="0">TEXT(DATE(2000,COLUMN()-2,1),"mmm")</f>
        <v>Jan</v>
      </c>
      <c r="D14" s="34" t="str">
        <f t="shared" si="0"/>
        <v>Feb</v>
      </c>
      <c r="E14" s="34" t="str">
        <f t="shared" si="0"/>
        <v>Mar</v>
      </c>
      <c r="F14" s="34" t="str">
        <f t="shared" si="0"/>
        <v>Apr</v>
      </c>
      <c r="G14" s="34" t="str">
        <f t="shared" si="0"/>
        <v>May</v>
      </c>
      <c r="H14" s="34" t="str">
        <f t="shared" si="0"/>
        <v>Jun</v>
      </c>
      <c r="I14" s="34" t="str">
        <f t="shared" si="0"/>
        <v>Jul</v>
      </c>
      <c r="J14" s="34" t="str">
        <f t="shared" si="0"/>
        <v>Aug</v>
      </c>
      <c r="K14" s="34" t="str">
        <f t="shared" si="0"/>
        <v>Sep</v>
      </c>
      <c r="L14" s="34" t="str">
        <f t="shared" si="0"/>
        <v>Oct</v>
      </c>
      <c r="M14" s="34" t="str">
        <f t="shared" si="0"/>
        <v>Nov</v>
      </c>
      <c r="N14" s="34" t="str">
        <f t="shared" si="0"/>
        <v>Dec</v>
      </c>
      <c r="O14" s="34" t="s">
        <v>217</v>
      </c>
    </row>
    <row r="15" spans="2:17" x14ac:dyDescent="0.3">
      <c r="B15" s="4">
        <f>YEAR(FitStart)+ROWS($B$15:B15)-1</f>
        <v>2017</v>
      </c>
      <c r="C15" s="77">
        <f>SUMIFS(tbl_Monthly[revenue],tbl_Monthly[month],DATE($B15,COLUMN()-2,1))/1000000</f>
        <v>178.42218399999999</v>
      </c>
      <c r="D15" s="77">
        <f>SUMIFS(tbl_Monthly[revenue],tbl_Monthly[month],DATE($B15,COLUMN()-2,1))/1000000</f>
        <v>145.79399699999999</v>
      </c>
      <c r="E15" s="77">
        <f>SUMIFS(tbl_Monthly[revenue],tbl_Monthly[month],DATE($B15,COLUMN()-2,1))/1000000</f>
        <v>145.63286500000001</v>
      </c>
      <c r="F15" s="77">
        <f>SUMIFS(tbl_Monthly[revenue],tbl_Monthly[month],DATE($B15,COLUMN()-2,1))/1000000</f>
        <v>130.334678</v>
      </c>
      <c r="G15" s="77">
        <f>SUMIFS(tbl_Monthly[revenue],tbl_Monthly[month],DATE($B15,COLUMN()-2,1))/1000000</f>
        <v>133.13686100000001</v>
      </c>
      <c r="H15" s="77">
        <f>SUMIFS(tbl_Monthly[revenue],tbl_Monthly[month],DATE($B15,COLUMN()-2,1))/1000000</f>
        <v>128.56026600000001</v>
      </c>
      <c r="I15" s="77">
        <f>SUMIFS(tbl_Monthly[revenue],tbl_Monthly[month],DATE($B15,COLUMN()-2,1))/1000000</f>
        <v>141.08893499999999</v>
      </c>
      <c r="J15" s="77">
        <f>SUMIFS(tbl_Monthly[revenue],tbl_Monthly[month],DATE($B15,COLUMN()-2,1))/1000000</f>
        <v>158.94713999999999</v>
      </c>
      <c r="K15" s="77">
        <f>SUMIFS(tbl_Monthly[revenue],tbl_Monthly[month],DATE($B15,COLUMN()-2,1))/1000000</f>
        <v>129.789513</v>
      </c>
      <c r="L15" s="77">
        <f>SUMIFS(tbl_Monthly[revenue],tbl_Monthly[month],DATE($B15,COLUMN()-2,1))/1000000</f>
        <v>129.860558</v>
      </c>
      <c r="M15" s="77">
        <f>SUMIFS(tbl_Monthly[revenue],tbl_Monthly[month],DATE($B15,COLUMN()-2,1))/1000000</f>
        <v>145.12470300000001</v>
      </c>
      <c r="N15" s="77">
        <f>SUMIFS(tbl_Monthly[revenue],tbl_Monthly[month],DATE($B15,COLUMN()-2,1))/1000000</f>
        <v>170.91503700000001</v>
      </c>
      <c r="O15" s="78">
        <f t="shared" ref="O15:O24" si="1">SUM(C15:N15)</f>
        <v>1737.6067369999998</v>
      </c>
    </row>
    <row r="16" spans="2:17" x14ac:dyDescent="0.3">
      <c r="B16" s="4">
        <f>YEAR(FitStart)+ROWS($B$15:B16)-1</f>
        <v>2018</v>
      </c>
      <c r="C16" s="77">
        <f>SUMIFS(tbl_Monthly[revenue],tbl_Monthly[month],DATE($B16,COLUMN()-2,1))/1000000</f>
        <v>152.233507</v>
      </c>
      <c r="D16" s="77">
        <f>SUMIFS(tbl_Monthly[revenue],tbl_Monthly[month],DATE($B16,COLUMN()-2,1))/1000000</f>
        <v>148.135515</v>
      </c>
      <c r="E16" s="77">
        <f>SUMIFS(tbl_Monthly[revenue],tbl_Monthly[month],DATE($B16,COLUMN()-2,1))/1000000</f>
        <v>144.760783</v>
      </c>
      <c r="F16" s="77">
        <f>SUMIFS(tbl_Monthly[revenue],tbl_Monthly[month],DATE($B16,COLUMN()-2,1))/1000000</f>
        <v>139.28359800000001</v>
      </c>
      <c r="G16" s="77">
        <f>SUMIFS(tbl_Monthly[revenue],tbl_Monthly[month],DATE($B16,COLUMN()-2,1))/1000000</f>
        <v>129.63941800000001</v>
      </c>
      <c r="H16" s="77">
        <f>SUMIFS(tbl_Monthly[revenue],tbl_Monthly[month],DATE($B16,COLUMN()-2,1))/1000000</f>
        <v>127.11055399999999</v>
      </c>
      <c r="I16" s="77">
        <f>SUMIFS(tbl_Monthly[revenue],tbl_Monthly[month],DATE($B16,COLUMN()-2,1))/1000000</f>
        <v>151.678269</v>
      </c>
      <c r="J16" s="77">
        <f>SUMIFS(tbl_Monthly[revenue],tbl_Monthly[month],DATE($B16,COLUMN()-2,1))/1000000</f>
        <v>152.609588</v>
      </c>
      <c r="K16" s="77">
        <f>SUMIFS(tbl_Monthly[revenue],tbl_Monthly[month],DATE($B16,COLUMN()-2,1))/1000000</f>
        <v>128.88502099999999</v>
      </c>
      <c r="L16" s="77">
        <f>SUMIFS(tbl_Monthly[revenue],tbl_Monthly[month],DATE($B16,COLUMN()-2,1))/1000000</f>
        <v>136.20119399999999</v>
      </c>
      <c r="M16" s="77">
        <f>SUMIFS(tbl_Monthly[revenue],tbl_Monthly[month],DATE($B16,COLUMN()-2,1))/1000000</f>
        <v>142.206953</v>
      </c>
      <c r="N16" s="77">
        <f>SUMIFS(tbl_Monthly[revenue],tbl_Monthly[month],DATE($B16,COLUMN()-2,1))/1000000</f>
        <v>164.75733500000001</v>
      </c>
      <c r="O16" s="78">
        <f t="shared" si="1"/>
        <v>1717.5017350000001</v>
      </c>
    </row>
    <row r="17" spans="2:17" x14ac:dyDescent="0.3">
      <c r="B17" s="4">
        <f>YEAR(FitStart)+ROWS($B$15:B17)-1</f>
        <v>2019</v>
      </c>
      <c r="C17" s="77">
        <f>SUMIFS(tbl_Monthly[revenue],tbl_Monthly[month],DATE($B17,COLUMN()-2,1))/1000000</f>
        <v>157.83685700000001</v>
      </c>
      <c r="D17" s="77">
        <f>SUMIFS(tbl_Monthly[revenue],tbl_Monthly[month],DATE($B17,COLUMN()-2,1))/1000000</f>
        <v>162.68924699999999</v>
      </c>
      <c r="E17" s="77">
        <f>SUMIFS(tbl_Monthly[revenue],tbl_Monthly[month],DATE($B17,COLUMN()-2,1))/1000000</f>
        <v>148.83768800000001</v>
      </c>
      <c r="F17" s="77">
        <f>SUMIFS(tbl_Monthly[revenue],tbl_Monthly[month],DATE($B17,COLUMN()-2,1))/1000000</f>
        <v>134.15942200000001</v>
      </c>
      <c r="G17" s="77">
        <f>SUMIFS(tbl_Monthly[revenue],tbl_Monthly[month],DATE($B17,COLUMN()-2,1))/1000000</f>
        <v>132.22680500000001</v>
      </c>
      <c r="H17" s="77">
        <f>SUMIFS(tbl_Monthly[revenue],tbl_Monthly[month],DATE($B17,COLUMN()-2,1))/1000000</f>
        <v>131.87399600000001</v>
      </c>
      <c r="I17" s="77">
        <f>SUMIFS(tbl_Monthly[revenue],tbl_Monthly[month],DATE($B17,COLUMN()-2,1))/1000000</f>
        <v>142.49410499999999</v>
      </c>
      <c r="J17" s="77">
        <f>SUMIFS(tbl_Monthly[revenue],tbl_Monthly[month],DATE($B17,COLUMN()-2,1))/1000000</f>
        <v>149.200839</v>
      </c>
      <c r="K17" s="77">
        <f>SUMIFS(tbl_Monthly[revenue],tbl_Monthly[month],DATE($B17,COLUMN()-2,1))/1000000</f>
        <v>128.42620400000001</v>
      </c>
      <c r="L17" s="77">
        <f>SUMIFS(tbl_Monthly[revenue],tbl_Monthly[month],DATE($B17,COLUMN()-2,1))/1000000</f>
        <v>143.34789799999999</v>
      </c>
      <c r="M17" s="77">
        <f>SUMIFS(tbl_Monthly[revenue],tbl_Monthly[month],DATE($B17,COLUMN()-2,1))/1000000</f>
        <v>149.14196000000001</v>
      </c>
      <c r="N17" s="77">
        <f>SUMIFS(tbl_Monthly[revenue],tbl_Monthly[month],DATE($B17,COLUMN()-2,1))/1000000</f>
        <v>165.516536</v>
      </c>
      <c r="O17" s="78">
        <f t="shared" si="1"/>
        <v>1745.7515570000003</v>
      </c>
    </row>
    <row r="18" spans="2:17" x14ac:dyDescent="0.3">
      <c r="B18" s="4">
        <f>YEAR(FitStart)+ROWS($B$15:B18)-1</f>
        <v>2020</v>
      </c>
      <c r="C18" s="77">
        <f>SUMIFS(tbl_Monthly[revenue],tbl_Monthly[month],DATE($B18,COLUMN()-2,1))/1000000</f>
        <v>161.60307700000001</v>
      </c>
      <c r="D18" s="77">
        <f>SUMIFS(tbl_Monthly[revenue],tbl_Monthly[month],DATE($B18,COLUMN()-2,1))/1000000</f>
        <v>155.07724300000001</v>
      </c>
      <c r="E18" s="77">
        <f>SUMIFS(tbl_Monthly[revenue],tbl_Monthly[month],DATE($B18,COLUMN()-2,1))/1000000</f>
        <v>155.85650999999999</v>
      </c>
      <c r="F18" s="77">
        <f>SUMIFS(tbl_Monthly[revenue],tbl_Monthly[month],DATE($B18,COLUMN()-2,1))/1000000</f>
        <v>132.59429299999999</v>
      </c>
      <c r="G18" s="77">
        <f>SUMIFS(tbl_Monthly[revenue],tbl_Monthly[month],DATE($B18,COLUMN()-2,1))/1000000</f>
        <v>138.235221</v>
      </c>
      <c r="H18" s="77">
        <f>SUMIFS(tbl_Monthly[revenue],tbl_Monthly[month],DATE($B18,COLUMN()-2,1))/1000000</f>
        <v>131.37244000000001</v>
      </c>
      <c r="I18" s="77">
        <f>SUMIFS(tbl_Monthly[revenue],tbl_Monthly[month],DATE($B18,COLUMN()-2,1))/1000000</f>
        <v>154.09748200000001</v>
      </c>
      <c r="J18" s="77">
        <f>SUMIFS(tbl_Monthly[revenue],tbl_Monthly[month],DATE($B18,COLUMN()-2,1))/1000000</f>
        <v>159.56197499999999</v>
      </c>
      <c r="K18" s="77">
        <f>SUMIFS(tbl_Monthly[revenue],tbl_Monthly[month],DATE($B18,COLUMN()-2,1))/1000000</f>
        <v>137.79272700000001</v>
      </c>
      <c r="L18" s="77">
        <f>SUMIFS(tbl_Monthly[revenue],tbl_Monthly[month],DATE($B18,COLUMN()-2,1))/1000000</f>
        <v>143.396467</v>
      </c>
      <c r="M18" s="77">
        <f>SUMIFS(tbl_Monthly[revenue],tbl_Monthly[month],DATE($B18,COLUMN()-2,1))/1000000</f>
        <v>156.94281100000001</v>
      </c>
      <c r="N18" s="77">
        <f>SUMIFS(tbl_Monthly[revenue],tbl_Monthly[month],DATE($B18,COLUMN()-2,1))/1000000</f>
        <v>173.583065</v>
      </c>
      <c r="O18" s="78">
        <f t="shared" si="1"/>
        <v>1800.1133110000003</v>
      </c>
    </row>
    <row r="19" spans="2:17" x14ac:dyDescent="0.3">
      <c r="B19" s="4">
        <f>YEAR(FitStart)+ROWS($B$15:B19)-1</f>
        <v>2021</v>
      </c>
      <c r="C19" s="77">
        <f>SUMIFS(tbl_Monthly[revenue],tbl_Monthly[month],DATE($B19,COLUMN()-2,1))/1000000</f>
        <v>176.214405</v>
      </c>
      <c r="D19" s="77">
        <f>SUMIFS(tbl_Monthly[revenue],tbl_Monthly[month],DATE($B19,COLUMN()-2,1))/1000000</f>
        <v>165.30813800000001</v>
      </c>
      <c r="E19" s="77">
        <f>SUMIFS(tbl_Monthly[revenue],tbl_Monthly[month],DATE($B19,COLUMN()-2,1))/1000000</f>
        <v>172.696766</v>
      </c>
      <c r="F19" s="77">
        <f>SUMIFS(tbl_Monthly[revenue],tbl_Monthly[month],DATE($B19,COLUMN()-2,1))/1000000</f>
        <v>148.395589</v>
      </c>
      <c r="G19" s="77">
        <f>SUMIFS(tbl_Monthly[revenue],tbl_Monthly[month],DATE($B19,COLUMN()-2,1))/1000000</f>
        <v>151.318701</v>
      </c>
      <c r="H19" s="77">
        <f>SUMIFS(tbl_Monthly[revenue],tbl_Monthly[month],DATE($B19,COLUMN()-2,1))/1000000</f>
        <v>166.44078500000001</v>
      </c>
      <c r="I19" s="77">
        <f>SUMIFS(tbl_Monthly[revenue],tbl_Monthly[month],DATE($B19,COLUMN()-2,1))/1000000</f>
        <v>175.865906</v>
      </c>
      <c r="J19" s="77">
        <f>SUMIFS(tbl_Monthly[revenue],tbl_Monthly[month],DATE($B19,COLUMN()-2,1))/1000000</f>
        <v>175.41912099999999</v>
      </c>
      <c r="K19" s="77">
        <f>SUMIFS(tbl_Monthly[revenue],tbl_Monthly[month],DATE($B19,COLUMN()-2,1))/1000000</f>
        <v>148.02863199999999</v>
      </c>
      <c r="L19" s="77">
        <f>SUMIFS(tbl_Monthly[revenue],tbl_Monthly[month],DATE($B19,COLUMN()-2,1))/1000000</f>
        <v>152.559676</v>
      </c>
      <c r="M19" s="77">
        <f>SUMIFS(tbl_Monthly[revenue],tbl_Monthly[month],DATE($B19,COLUMN()-2,1))/1000000</f>
        <v>157.190459</v>
      </c>
      <c r="N19" s="77">
        <f>SUMIFS(tbl_Monthly[revenue],tbl_Monthly[month],DATE($B19,COLUMN()-2,1))/1000000</f>
        <v>202.727822</v>
      </c>
      <c r="O19" s="78">
        <f t="shared" si="1"/>
        <v>1992.1660000000002</v>
      </c>
    </row>
    <row r="20" spans="2:17" x14ac:dyDescent="0.3">
      <c r="B20" s="4">
        <f>YEAR(FitStart)+ROWS($B$15:B20)-1</f>
        <v>2022</v>
      </c>
      <c r="C20" s="77">
        <f>SUMIFS(tbl_Monthly[revenue],tbl_Monthly[month],DATE($B20,COLUMN()-2,1))/1000000</f>
        <v>193.18140500000001</v>
      </c>
      <c r="D20" s="77">
        <f>SUMIFS(tbl_Monthly[revenue],tbl_Monthly[month],DATE($B20,COLUMN()-2,1))/1000000</f>
        <v>169.31433899999999</v>
      </c>
      <c r="E20" s="77">
        <f>SUMIFS(tbl_Monthly[revenue],tbl_Monthly[month],DATE($B20,COLUMN()-2,1))/1000000</f>
        <v>175.66605899999999</v>
      </c>
      <c r="F20" s="77">
        <f>SUMIFS(tbl_Monthly[revenue],tbl_Monthly[month],DATE($B20,COLUMN()-2,1))/1000000</f>
        <v>165.605448</v>
      </c>
      <c r="G20" s="77">
        <f>SUMIFS(tbl_Monthly[revenue],tbl_Monthly[month],DATE($B20,COLUMN()-2,1))/1000000</f>
        <v>160.30868799999999</v>
      </c>
      <c r="H20" s="77">
        <f>SUMIFS(tbl_Monthly[revenue],tbl_Monthly[month],DATE($B20,COLUMN()-2,1))/1000000</f>
        <v>153.24457100000001</v>
      </c>
      <c r="I20" s="77">
        <f>SUMIFS(tbl_Monthly[revenue],tbl_Monthly[month],DATE($B20,COLUMN()-2,1))/1000000</f>
        <v>186.06806700000001</v>
      </c>
      <c r="J20" s="77">
        <f>SUMIFS(tbl_Monthly[revenue],tbl_Monthly[month],DATE($B20,COLUMN()-2,1))/1000000</f>
        <v>192.573069</v>
      </c>
      <c r="K20" s="77">
        <f>SUMIFS(tbl_Monthly[revenue],tbl_Monthly[month],DATE($B20,COLUMN()-2,1))/1000000</f>
        <v>158.25547399999999</v>
      </c>
      <c r="L20" s="77">
        <f>SUMIFS(tbl_Monthly[revenue],tbl_Monthly[month],DATE($B20,COLUMN()-2,1))/1000000</f>
        <v>159.21499800000001</v>
      </c>
      <c r="M20" s="77">
        <f>SUMIFS(tbl_Monthly[revenue],tbl_Monthly[month],DATE($B20,COLUMN()-2,1))/1000000</f>
        <v>188.390725</v>
      </c>
      <c r="N20" s="77">
        <f>SUMIFS(tbl_Monthly[revenue],tbl_Monthly[month],DATE($B20,COLUMN()-2,1))/1000000</f>
        <v>209.16121100000001</v>
      </c>
      <c r="O20" s="78">
        <f t="shared" si="1"/>
        <v>2110.984054</v>
      </c>
    </row>
    <row r="21" spans="2:17" x14ac:dyDescent="0.3">
      <c r="B21" s="4">
        <f>YEAR(FitStart)+ROWS($B$15:B21)-1</f>
        <v>2023</v>
      </c>
      <c r="C21" s="77">
        <f>SUMIFS(tbl_Monthly[revenue],tbl_Monthly[month],DATE($B21,COLUMN()-2,1))/1000000</f>
        <v>211.43023700000001</v>
      </c>
      <c r="D21" s="77">
        <f>SUMIFS(tbl_Monthly[revenue],tbl_Monthly[month],DATE($B21,COLUMN()-2,1))/1000000</f>
        <v>202.893462</v>
      </c>
      <c r="E21" s="77">
        <f>SUMIFS(tbl_Monthly[revenue],tbl_Monthly[month],DATE($B21,COLUMN()-2,1))/1000000</f>
        <v>209.38596200000001</v>
      </c>
      <c r="F21" s="77">
        <f>SUMIFS(tbl_Monthly[revenue],tbl_Monthly[month],DATE($B21,COLUMN()-2,1))/1000000</f>
        <v>191.70715000000001</v>
      </c>
      <c r="G21" s="77">
        <f>SUMIFS(tbl_Monthly[revenue],tbl_Monthly[month],DATE($B21,COLUMN()-2,1))/1000000</f>
        <v>180.913813</v>
      </c>
      <c r="H21" s="77">
        <f>SUMIFS(tbl_Monthly[revenue],tbl_Monthly[month],DATE($B21,COLUMN()-2,1))/1000000</f>
        <v>176.73344299999999</v>
      </c>
      <c r="I21" s="77">
        <f>SUMIFS(tbl_Monthly[revenue],tbl_Monthly[month],DATE($B21,COLUMN()-2,1))/1000000</f>
        <v>204.96872500000001</v>
      </c>
      <c r="J21" s="77">
        <f>SUMIFS(tbl_Monthly[revenue],tbl_Monthly[month],DATE($B21,COLUMN()-2,1))/1000000</f>
        <v>211.01881299999999</v>
      </c>
      <c r="K21" s="77">
        <f>SUMIFS(tbl_Monthly[revenue],tbl_Monthly[month],DATE($B21,COLUMN()-2,1))/1000000</f>
        <v>173.44332</v>
      </c>
      <c r="L21" s="77">
        <f>SUMIFS(tbl_Monthly[revenue],tbl_Monthly[month],DATE($B21,COLUMN()-2,1))/1000000</f>
        <v>179.99040299999999</v>
      </c>
      <c r="M21" s="77">
        <f>SUMIFS(tbl_Monthly[revenue],tbl_Monthly[month],DATE($B21,COLUMN()-2,1))/1000000</f>
        <v>199.31822700000001</v>
      </c>
      <c r="N21" s="77">
        <f>SUMIFS(tbl_Monthly[revenue],tbl_Monthly[month],DATE($B21,COLUMN()-2,1))/1000000</f>
        <v>212.02617000000001</v>
      </c>
      <c r="O21" s="78">
        <f t="shared" si="1"/>
        <v>2353.8297250000001</v>
      </c>
    </row>
    <row r="22" spans="2:17" x14ac:dyDescent="0.3">
      <c r="B22" s="4">
        <f>YEAR(FitStart)+ROWS($B$15:B22)-1</f>
        <v>2024</v>
      </c>
      <c r="C22" s="77">
        <f>SUMIFS(tbl_Monthly[revenue],tbl_Monthly[month],DATE($B22,COLUMN()-2,1))/1000000</f>
        <v>264.74354499999998</v>
      </c>
      <c r="D22" s="77">
        <f>SUMIFS(tbl_Monthly[revenue],tbl_Monthly[month],DATE($B22,COLUMN()-2,1))/1000000</f>
        <v>230.983859</v>
      </c>
      <c r="E22" s="77">
        <f>SUMIFS(tbl_Monthly[revenue],tbl_Monthly[month],DATE($B22,COLUMN()-2,1))/1000000</f>
        <v>232.479399</v>
      </c>
      <c r="F22" s="77">
        <f>SUMIFS(tbl_Monthly[revenue],tbl_Monthly[month],DATE($B22,COLUMN()-2,1))/1000000</f>
        <v>205.41080600000001</v>
      </c>
      <c r="G22" s="77">
        <f>SUMIFS(tbl_Monthly[revenue],tbl_Monthly[month],DATE($B22,COLUMN()-2,1))/1000000</f>
        <v>208.81291100000001</v>
      </c>
      <c r="H22" s="77">
        <f>SUMIFS(tbl_Monthly[revenue],tbl_Monthly[month],DATE($B22,COLUMN()-2,1))/1000000</f>
        <v>204.832437</v>
      </c>
      <c r="I22" s="77">
        <f>SUMIFS(tbl_Monthly[revenue],tbl_Monthly[month],DATE($B22,COLUMN()-2,1))/1000000</f>
        <v>251.60973999999999</v>
      </c>
      <c r="J22" s="77">
        <f>SUMIFS(tbl_Monthly[revenue],tbl_Monthly[month],DATE($B22,COLUMN()-2,1))/1000000</f>
        <v>235.68340499999999</v>
      </c>
      <c r="K22" s="77">
        <f>SUMIFS(tbl_Monthly[revenue],tbl_Monthly[month],DATE($B22,COLUMN()-2,1))/1000000</f>
        <v>213.84414200000001</v>
      </c>
      <c r="L22" s="77">
        <f>SUMIFS(tbl_Monthly[revenue],tbl_Monthly[month],DATE($B22,COLUMN()-2,1))/1000000</f>
        <v>212.69633200000001</v>
      </c>
      <c r="M22" s="77">
        <f>SUMIFS(tbl_Monthly[revenue],tbl_Monthly[month],DATE($B22,COLUMN()-2,1))/1000000</f>
        <v>232.16559699999999</v>
      </c>
      <c r="N22" s="77">
        <f>SUMIFS(tbl_Monthly[revenue],tbl_Monthly[month],DATE($B22,COLUMN()-2,1))/1000000</f>
        <v>257.819729</v>
      </c>
      <c r="O22" s="78">
        <f t="shared" si="1"/>
        <v>2751.0819020000004</v>
      </c>
    </row>
    <row r="23" spans="2:17" x14ac:dyDescent="0.3">
      <c r="B23" s="4">
        <f>YEAR(FitStart)+ROWS($B$15:B23)-1</f>
        <v>2025</v>
      </c>
      <c r="C23" s="77">
        <f>SUMIFS(tbl_Monthly[revenue],tbl_Monthly[month],DATE($B23,COLUMN()-2,1))/1000000</f>
        <v>280.46172100000001</v>
      </c>
      <c r="D23" s="77">
        <f>SUMIFS(tbl_Monthly[revenue],tbl_Monthly[month],DATE($B23,COLUMN()-2,1))/1000000</f>
        <v>252.28829500000001</v>
      </c>
      <c r="E23" s="77">
        <f>SUMIFS(tbl_Monthly[revenue],tbl_Monthly[month],DATE($B23,COLUMN()-2,1))/1000000</f>
        <v>247.602397</v>
      </c>
      <c r="F23" s="77">
        <f>SUMIFS(tbl_Monthly[revenue],tbl_Monthly[month],DATE($B23,COLUMN()-2,1))/1000000</f>
        <v>217.63784200000001</v>
      </c>
      <c r="G23" s="77">
        <f>SUMIFS(tbl_Monthly[revenue],tbl_Monthly[month],DATE($B23,COLUMN()-2,1))/1000000</f>
        <v>216.29053099999999</v>
      </c>
      <c r="H23" s="77">
        <f>SUMIFS(tbl_Monthly[revenue],tbl_Monthly[month],DATE($B23,COLUMN()-2,1))/1000000</f>
        <v>228.08382800000001</v>
      </c>
      <c r="I23" s="77">
        <f>SUMIFS(tbl_Monthly[revenue],tbl_Monthly[month],DATE($B23,COLUMN()-2,1))/1000000</f>
        <v>260.23352999999997</v>
      </c>
      <c r="J23" s="77">
        <f>SUMIFS(tbl_Monthly[revenue],tbl_Monthly[month],DATE($B23,COLUMN()-2,1))/1000000</f>
        <v>268.27437800000001</v>
      </c>
      <c r="K23" s="77">
        <f>SUMIFS(tbl_Monthly[revenue],tbl_Monthly[month],DATE($B23,COLUMN()-2,1))/1000000</f>
        <v>230.382555</v>
      </c>
      <c r="L23" s="77">
        <f>SUMIFS(tbl_Monthly[revenue],tbl_Monthly[month],DATE($B23,COLUMN()-2,1))/1000000</f>
        <v>226.390278</v>
      </c>
      <c r="M23" s="77">
        <f>SUMIFS(tbl_Monthly[revenue],tbl_Monthly[month],DATE($B23,COLUMN()-2,1))/1000000</f>
        <v>236.444019</v>
      </c>
      <c r="N23" s="77">
        <f>SUMIFS(tbl_Monthly[revenue],tbl_Monthly[month],DATE($B23,COLUMN()-2,1))/1000000</f>
        <v>264.090576</v>
      </c>
      <c r="O23" s="78">
        <f t="shared" si="1"/>
        <v>2928.1799499999997</v>
      </c>
    </row>
    <row r="24" spans="2:17" x14ac:dyDescent="0.3">
      <c r="B24" s="4">
        <f>YEAR(FitStart)+ROWS($B$15:B24)-1</f>
        <v>2026</v>
      </c>
      <c r="C24" s="77">
        <f>SUMIFS(tbl_Monthly[revenue],tbl_Monthly[month],DATE($B24,COLUMN()-2,1))/1000000</f>
        <v>271.49543</v>
      </c>
      <c r="D24" s="77">
        <f>SUMIFS(tbl_Monthly[revenue],tbl_Monthly[month],DATE($B24,COLUMN()-2,1))/1000000</f>
        <v>236.44691900000001</v>
      </c>
      <c r="E24" s="77">
        <f>SUMIFS(tbl_Monthly[revenue],tbl_Monthly[month],DATE($B24,COLUMN()-2,1))/1000000</f>
        <v>241.51682500000001</v>
      </c>
      <c r="F24" s="77">
        <f>SUMIFS(tbl_Monthly[revenue],tbl_Monthly[month],DATE($B24,COLUMN()-2,1))/1000000</f>
        <v>233.58514600000001</v>
      </c>
      <c r="G24" s="77">
        <f>SUMIFS(tbl_Monthly[revenue],tbl_Monthly[month],DATE($B24,COLUMN()-2,1))/1000000</f>
        <v>239.271154</v>
      </c>
      <c r="H24" s="77">
        <f>SUMIFS(tbl_Monthly[revenue],tbl_Monthly[month],DATE($B24,COLUMN()-2,1))/1000000</f>
        <v>247.646681</v>
      </c>
      <c r="I24" s="77">
        <f>SUMIFS(tbl_Monthly[revenue],tbl_Monthly[month],DATE($B24,COLUMN()-2,1))/1000000</f>
        <v>0</v>
      </c>
      <c r="J24" s="77">
        <f>SUMIFS(tbl_Monthly[revenue],tbl_Monthly[month],DATE($B24,COLUMN()-2,1))/1000000</f>
        <v>0</v>
      </c>
      <c r="K24" s="77">
        <f>SUMIFS(tbl_Monthly[revenue],tbl_Monthly[month],DATE($B24,COLUMN()-2,1))/1000000</f>
        <v>0</v>
      </c>
      <c r="L24" s="77">
        <f>SUMIFS(tbl_Monthly[revenue],tbl_Monthly[month],DATE($B24,COLUMN()-2,1))/1000000</f>
        <v>0</v>
      </c>
      <c r="M24" s="77">
        <f>SUMIFS(tbl_Monthly[revenue],tbl_Monthly[month],DATE($B24,COLUMN()-2,1))/1000000</f>
        <v>0</v>
      </c>
      <c r="N24" s="77">
        <f>SUMIFS(tbl_Monthly[revenue],tbl_Monthly[month],DATE($B24,COLUMN()-2,1))/1000000</f>
        <v>0</v>
      </c>
      <c r="O24" s="78">
        <f t="shared" si="1"/>
        <v>1469.9621549999999</v>
      </c>
    </row>
    <row r="27" spans="2:17" ht="18" customHeight="1" x14ac:dyDescent="0.3">
      <c r="B27" s="7" t="s">
        <v>287</v>
      </c>
      <c r="C27" s="7"/>
      <c r="D27" s="7"/>
      <c r="E27" s="7"/>
      <c r="F27" s="7"/>
      <c r="G27" s="7"/>
      <c r="H27" s="7"/>
      <c r="I27" s="7"/>
      <c r="J27" s="7"/>
      <c r="K27" s="7"/>
      <c r="L27" s="7"/>
      <c r="M27" s="7"/>
      <c r="N27" s="7"/>
      <c r="O27" s="7"/>
      <c r="P27" s="7"/>
      <c r="Q27" s="7"/>
    </row>
    <row r="28" spans="2:17" ht="39" x14ac:dyDescent="0.3">
      <c r="B28" s="64" t="s">
        <v>217</v>
      </c>
      <c r="C28" s="65" t="s">
        <v>288</v>
      </c>
      <c r="D28" s="65" t="s">
        <v>289</v>
      </c>
      <c r="E28" s="65" t="s">
        <v>290</v>
      </c>
      <c r="F28" s="65" t="s">
        <v>291</v>
      </c>
      <c r="G28" s="65" t="s">
        <v>292</v>
      </c>
      <c r="H28" s="65" t="s">
        <v>293</v>
      </c>
      <c r="I28" s="65" t="s">
        <v>294</v>
      </c>
    </row>
    <row r="29" spans="2:17" x14ac:dyDescent="0.3">
      <c r="B29" s="4">
        <f>YEAR(FitStart)</f>
        <v>2017</v>
      </c>
      <c r="C29" s="54">
        <f>SUMIFS(tbl_Monthly[mwh],tbl_Monthly[month],"&gt;="&amp;DATE($B29,1,1),tbl_Monthly[month],"&lt;="&amp;DATE($B29,12,1))</f>
        <v>17754279.960000001</v>
      </c>
      <c r="D29" s="54">
        <f>SUMIFS(tbl_FERC_Revenue[sales_mwh],tbl_FERC_Revenue[utility_id_ferc1],CompanyId,tbl_FERC_Revenue[report_year],$B29,tbl_FERC_Revenue[revenue_type],"sales_to_ultimate_consumers")</f>
        <v>17754280</v>
      </c>
      <c r="E29" s="54">
        <f t="shared" ref="E29:E37" si="2">C29-D29</f>
        <v>-3.9999999105930328E-2</v>
      </c>
      <c r="F29" s="54">
        <f>SUMIFS(tbl_Monthly[revenue],tbl_Monthly[month],"&gt;="&amp;DATE($B29,1,1),tbl_Monthly[month],"&lt;="&amp;DATE($B29,12,1))</f>
        <v>1737606737</v>
      </c>
      <c r="G29" s="54">
        <f>SUMIFS(tbl_FERC_Revenue[dollar_value],tbl_FERC_Revenue[utility_id_ferc1],CompanyId,tbl_FERC_Revenue[report_year],$B29,tbl_FERC_Revenue[revenue_type],"sales_to_ultimate_consumers")</f>
        <v>1774195410</v>
      </c>
      <c r="H29" s="54">
        <f t="shared" ref="H29:H37" si="3">F29-G29</f>
        <v>-36588673</v>
      </c>
      <c r="I29" s="39" cm="1">
        <f t="array" ref="I29">SAFEDIV(H29,G29)</f>
        <v>-2.0622684961179107E-2</v>
      </c>
    </row>
    <row r="30" spans="2:17" x14ac:dyDescent="0.3">
      <c r="B30" s="4">
        <f t="shared" ref="B30:B37" si="4">B29+1</f>
        <v>2018</v>
      </c>
      <c r="C30" s="54">
        <f>SUMIFS(tbl_Monthly[mwh],tbl_Monthly[month],"&gt;="&amp;DATE($B30,1,1),tbl_Monthly[month],"&lt;="&amp;DATE($B30,12,1))</f>
        <v>17197021.535</v>
      </c>
      <c r="D30" s="54">
        <f>SUMIFS(tbl_FERC_Revenue[sales_mwh],tbl_FERC_Revenue[utility_id_ferc1],CompanyId,tbl_FERC_Revenue[report_year],$B30,tbl_FERC_Revenue[revenue_type],"sales_to_ultimate_consumers")</f>
        <v>17186002</v>
      </c>
      <c r="E30" s="54">
        <f t="shared" si="2"/>
        <v>11019.535000000149</v>
      </c>
      <c r="F30" s="54">
        <f>SUMIFS(tbl_Monthly[revenue],tbl_Monthly[month],"&gt;="&amp;DATE($B30,1,1),tbl_Monthly[month],"&lt;="&amp;DATE($B30,12,1))</f>
        <v>1717501735</v>
      </c>
      <c r="G30" s="54">
        <f>SUMIFS(tbl_FERC_Revenue[dollar_value],tbl_FERC_Revenue[utility_id_ferc1],CompanyId,tbl_FERC_Revenue[report_year],$B30,tbl_FERC_Revenue[revenue_type],"sales_to_ultimate_consumers")</f>
        <v>1760150960</v>
      </c>
      <c r="H30" s="54">
        <f t="shared" si="3"/>
        <v>-42649225</v>
      </c>
      <c r="I30" s="39" cm="1">
        <f t="array" ref="I30">SAFEDIV(H30,G30)</f>
        <v>-2.4230435893975822E-2</v>
      </c>
    </row>
    <row r="31" spans="2:17" x14ac:dyDescent="0.3">
      <c r="B31" s="4">
        <f t="shared" si="4"/>
        <v>2019</v>
      </c>
      <c r="C31" s="54">
        <f>SUMIFS(tbl_Monthly[mwh],tbl_Monthly[month],"&gt;="&amp;DATE($B31,1,1),tbl_Monthly[month],"&lt;="&amp;DATE($B31,12,1))</f>
        <v>17304690.115000002</v>
      </c>
      <c r="D31" s="54">
        <f>SUMIFS(tbl_FERC_Revenue[sales_mwh],tbl_FERC_Revenue[utility_id_ferc1],CompanyId,tbl_FERC_Revenue[report_year],$B31,tbl_FERC_Revenue[revenue_type],"sales_to_ultimate_consumers")</f>
        <v>17304691</v>
      </c>
      <c r="E31" s="54">
        <f t="shared" si="2"/>
        <v>-0.88499999791383743</v>
      </c>
      <c r="F31" s="54">
        <f>SUMIFS(tbl_Monthly[revenue],tbl_Monthly[month],"&gt;="&amp;DATE($B31,1,1),tbl_Monthly[month],"&lt;="&amp;DATE($B31,12,1))</f>
        <v>1745751557</v>
      </c>
      <c r="G31" s="54">
        <f>SUMIFS(tbl_FERC_Revenue[dollar_value],tbl_FERC_Revenue[utility_id_ferc1],CompanyId,tbl_FERC_Revenue[report_year],$B31,tbl_FERC_Revenue[revenue_type],"sales_to_ultimate_consumers")</f>
        <v>1789303774</v>
      </c>
      <c r="H31" s="54">
        <f t="shared" si="3"/>
        <v>-43552217</v>
      </c>
      <c r="I31" s="39" cm="1">
        <f t="array" ref="I31">SAFEDIV(H31,G31)</f>
        <v>-2.4340314726234966E-2</v>
      </c>
    </row>
    <row r="32" spans="2:17" x14ac:dyDescent="0.3">
      <c r="B32" s="4">
        <f t="shared" si="4"/>
        <v>2020</v>
      </c>
      <c r="C32" s="54">
        <f>SUMIFS(tbl_Monthly[mwh],tbl_Monthly[month],"&gt;="&amp;DATE($B32,1,1),tbl_Monthly[month],"&lt;="&amp;DATE($B32,12,1))</f>
        <v>17423802.777000006</v>
      </c>
      <c r="D32" s="54">
        <f>SUMIFS(tbl_FERC_Revenue[sales_mwh],tbl_FERC_Revenue[utility_id_ferc1],CompanyId,tbl_FERC_Revenue[report_year],$B32,tbl_FERC_Revenue[revenue_type],"sales_to_ultimate_consumers")</f>
        <v>17423803</v>
      </c>
      <c r="E32" s="54">
        <f t="shared" si="2"/>
        <v>-0.22299999371170998</v>
      </c>
      <c r="F32" s="54">
        <f>SUMIFS(tbl_Monthly[revenue],tbl_Monthly[month],"&gt;="&amp;DATE($B32,1,1),tbl_Monthly[month],"&lt;="&amp;DATE($B32,12,1))</f>
        <v>1800113311</v>
      </c>
      <c r="G32" s="54">
        <f>SUMIFS(tbl_FERC_Revenue[dollar_value],tbl_FERC_Revenue[utility_id_ferc1],CompanyId,tbl_FERC_Revenue[report_year],$B32,tbl_FERC_Revenue[revenue_type],"sales_to_ultimate_consumers")</f>
        <v>1846082453</v>
      </c>
      <c r="H32" s="54">
        <f t="shared" si="3"/>
        <v>-45969142</v>
      </c>
      <c r="I32" s="39" cm="1">
        <f t="array" ref="I32">SAFEDIV(H32,G32)</f>
        <v>-2.4900914867208263E-2</v>
      </c>
    </row>
    <row r="33" spans="2:9" x14ac:dyDescent="0.3">
      <c r="B33" s="4">
        <f t="shared" si="4"/>
        <v>2021</v>
      </c>
      <c r="C33" s="54">
        <f>SUMIFS(tbl_Monthly[mwh],tbl_Monthly[month],"&gt;="&amp;DATE($B33,1,1),tbl_Monthly[month],"&lt;="&amp;DATE($B33,12,1))</f>
        <v>18296054.533000007</v>
      </c>
      <c r="D33" s="54">
        <f>SUMIFS(tbl_FERC_Revenue[sales_mwh],tbl_FERC_Revenue[utility_id_ferc1],CompanyId,tbl_FERC_Revenue[report_year],$B33,tbl_FERC_Revenue[revenue_type],"sales_to_ultimate_consumers")</f>
        <v>18296054</v>
      </c>
      <c r="E33" s="54">
        <f t="shared" si="2"/>
        <v>0.53300000727176666</v>
      </c>
      <c r="F33" s="54">
        <f>SUMIFS(tbl_Monthly[revenue],tbl_Monthly[month],"&gt;="&amp;DATE($B33,1,1),tbl_Monthly[month],"&lt;="&amp;DATE($B33,12,1))</f>
        <v>1992166000</v>
      </c>
      <c r="G33" s="54">
        <f>SUMIFS(tbl_FERC_Revenue[dollar_value],tbl_FERC_Revenue[utility_id_ferc1],CompanyId,tbl_FERC_Revenue[report_year],$B33,tbl_FERC_Revenue[revenue_type],"sales_to_ultimate_consumers")</f>
        <v>2039484924</v>
      </c>
      <c r="H33" s="54">
        <f t="shared" si="3"/>
        <v>-47318924</v>
      </c>
      <c r="I33" s="39" cm="1">
        <f t="array" ref="I33">SAFEDIV(H33,G33)</f>
        <v>-2.3201409063222867E-2</v>
      </c>
    </row>
    <row r="34" spans="2:9" x14ac:dyDescent="0.3">
      <c r="B34" s="4">
        <f t="shared" si="4"/>
        <v>2022</v>
      </c>
      <c r="C34" s="54">
        <f>SUMIFS(tbl_Monthly[mwh],tbl_Monthly[month],"&gt;="&amp;DATE($B34,1,1),tbl_Monthly[month],"&lt;="&amp;DATE($B34,12,1))</f>
        <v>18905061.513999991</v>
      </c>
      <c r="D34" s="54">
        <f>SUMIFS(tbl_FERC_Revenue[sales_mwh],tbl_FERC_Revenue[utility_id_ferc1],CompanyId,tbl_FERC_Revenue[report_year],$B34,tbl_FERC_Revenue[revenue_type],"sales_to_ultimate_consumers")</f>
        <v>18905061</v>
      </c>
      <c r="E34" s="54">
        <f t="shared" si="2"/>
        <v>0.51399999111890793</v>
      </c>
      <c r="F34" s="54">
        <f>SUMIFS(tbl_Monthly[revenue],tbl_Monthly[month],"&gt;="&amp;DATE($B34,1,1),tbl_Monthly[month],"&lt;="&amp;DATE($B34,12,1))</f>
        <v>2110984054</v>
      </c>
      <c r="G34" s="54">
        <f>SUMIFS(tbl_FERC_Revenue[dollar_value],tbl_FERC_Revenue[utility_id_ferc1],CompanyId,tbl_FERC_Revenue[report_year],$B34,tbl_FERC_Revenue[revenue_type],"sales_to_ultimate_consumers")</f>
        <v>2145143572</v>
      </c>
      <c r="H34" s="54">
        <f t="shared" si="3"/>
        <v>-34159518</v>
      </c>
      <c r="I34" s="39" cm="1">
        <f t="array" ref="I34">SAFEDIV(H34,G34)</f>
        <v>-1.5924117362527752E-2</v>
      </c>
    </row>
    <row r="35" spans="2:9" x14ac:dyDescent="0.3">
      <c r="B35" s="4">
        <f t="shared" si="4"/>
        <v>2023</v>
      </c>
      <c r="C35" s="54">
        <f>SUMIFS(tbl_Monthly[mwh],tbl_Monthly[month],"&gt;="&amp;DATE($B35,1,1),tbl_Monthly[month],"&lt;="&amp;DATE($B35,12,1))</f>
        <v>19131728.501000002</v>
      </c>
      <c r="D35" s="54">
        <f>SUMIFS(tbl_FERC_Revenue[sales_mwh],tbl_FERC_Revenue[utility_id_ferc1],CompanyId,tbl_FERC_Revenue[report_year],$B35,tbl_FERC_Revenue[revenue_type],"sales_to_ultimate_consumers")</f>
        <v>19131728</v>
      </c>
      <c r="E35" s="54">
        <f t="shared" si="2"/>
        <v>0.50100000202655792</v>
      </c>
      <c r="F35" s="54">
        <f>SUMIFS(tbl_Monthly[revenue],tbl_Monthly[month],"&gt;="&amp;DATE($B35,1,1),tbl_Monthly[month],"&lt;="&amp;DATE($B35,12,1))</f>
        <v>2353829725</v>
      </c>
      <c r="G35" s="54">
        <f>SUMIFS(tbl_FERC_Revenue[dollar_value],tbl_FERC_Revenue[utility_id_ferc1],CompanyId,tbl_FERC_Revenue[report_year],$B35,tbl_FERC_Revenue[revenue_type],"sales_to_ultimate_consumers")</f>
        <v>2379994297</v>
      </c>
      <c r="H35" s="54">
        <f t="shared" si="3"/>
        <v>-26164572</v>
      </c>
      <c r="I35" s="39" cm="1">
        <f t="array" ref="I35">SAFEDIV(H35,G35)</f>
        <v>-1.0993543989992175E-2</v>
      </c>
    </row>
    <row r="36" spans="2:9" x14ac:dyDescent="0.3">
      <c r="B36" s="4">
        <f t="shared" si="4"/>
        <v>2024</v>
      </c>
      <c r="C36" s="54">
        <f>SUMIFS(tbl_Monthly[mwh],tbl_Monthly[month],"&gt;="&amp;DATE($B36,1,1),tbl_Monthly[month],"&lt;="&amp;DATE($B36,12,1))</f>
        <v>19272621.445</v>
      </c>
      <c r="D36" s="54">
        <f>SUMIFS(tbl_FERC_Revenue[sales_mwh],tbl_FERC_Revenue[utility_id_ferc1],CompanyId,tbl_FERC_Revenue[report_year],$B36,tbl_FERC_Revenue[revenue_type],"sales_to_ultimate_consumers")</f>
        <v>19272622</v>
      </c>
      <c r="E36" s="54">
        <f t="shared" si="2"/>
        <v>-0.55499999970197678</v>
      </c>
      <c r="F36" s="54">
        <f>SUMIFS(tbl_Monthly[revenue],tbl_Monthly[month],"&gt;="&amp;DATE($B36,1,1),tbl_Monthly[month],"&lt;="&amp;DATE($B36,12,1))</f>
        <v>2751081902</v>
      </c>
      <c r="G36" s="54">
        <f>SUMIFS(tbl_FERC_Revenue[dollar_value],tbl_FERC_Revenue[utility_id_ferc1],CompanyId,tbl_FERC_Revenue[report_year],$B36,tbl_FERC_Revenue[revenue_type],"sales_to_ultimate_consumers")</f>
        <v>2783029228</v>
      </c>
      <c r="H36" s="54">
        <f t="shared" si="3"/>
        <v>-31947326</v>
      </c>
      <c r="I36" s="39" cm="1">
        <f t="array" ref="I36">SAFEDIV(H36,G36)</f>
        <v>-1.1479335422919245E-2</v>
      </c>
    </row>
    <row r="37" spans="2:9" x14ac:dyDescent="0.3">
      <c r="B37" s="4">
        <f t="shared" si="4"/>
        <v>2025</v>
      </c>
      <c r="C37" s="54">
        <f>SUMIFS(tbl_Monthly[mwh],tbl_Monthly[month],"&gt;="&amp;DATE($B37,1,1),tbl_Monthly[month],"&lt;="&amp;DATE($B37,12,1))</f>
        <v>19968295.413000003</v>
      </c>
      <c r="D37" s="54">
        <f>SUMIFS(tbl_FERC_Revenue[sales_mwh],tbl_FERC_Revenue[utility_id_ferc1],CompanyId,tbl_FERC_Revenue[report_year],$B37,tbl_FERC_Revenue[revenue_type],"sales_to_ultimate_consumers")</f>
        <v>19968167</v>
      </c>
      <c r="E37" s="54">
        <f t="shared" si="2"/>
        <v>128.4130000025034</v>
      </c>
      <c r="F37" s="54">
        <f>SUMIFS(tbl_Monthly[revenue],tbl_Monthly[month],"&gt;="&amp;DATE($B37,1,1),tbl_Monthly[month],"&lt;="&amp;DATE($B37,12,1))</f>
        <v>2928179950</v>
      </c>
      <c r="G37" s="54">
        <f>SUMIFS(tbl_FERC_Revenue[dollar_value],tbl_FERC_Revenue[utility_id_ferc1],CompanyId,tbl_FERC_Revenue[report_year],$B37,tbl_FERC_Revenue[revenue_type],"sales_to_ultimate_consumers")</f>
        <v>2969346620</v>
      </c>
      <c r="H37" s="54">
        <f t="shared" si="3"/>
        <v>-41166670</v>
      </c>
      <c r="I37" s="39" cm="1">
        <f t="array" ref="I37">SAFEDIV(H37,G37)</f>
        <v>-1.3863881610426471E-2</v>
      </c>
    </row>
    <row r="38" spans="2:9" x14ac:dyDescent="0.3">
      <c r="B38" s="47" t="s">
        <v>295</v>
      </c>
    </row>
  </sheetData>
  <mergeCells count="1">
    <mergeCell ref="B2:Q2"/>
  </mergeCells>
  <conditionalFormatting sqref="F6:F10">
    <cfRule type="cellIs" dxfId="51" priority="1" stopIfTrue="1" operator="greaterThan">
      <formula>0</formula>
    </cfRule>
    <cfRule type="cellIs" dxfId="50" priority="2" stopIfTrue="1" operator="lessThan">
      <formula>0</formula>
    </cfRule>
  </conditionalFormatting>
  <conditionalFormatting sqref="I6:I10">
    <cfRule type="cellIs" dxfId="49" priority="3" stopIfTrue="1" operator="greaterThan">
      <formula>0</formula>
    </cfRule>
    <cfRule type="cellIs" dxfId="48" priority="4" stopIfTrue="1" operator="lessThan">
      <formula>0</formula>
    </cfRule>
  </conditionalFormatting>
  <conditionalFormatting sqref="L6:L10">
    <cfRule type="cellIs" dxfId="47" priority="5" stopIfTrue="1" operator="greaterThan">
      <formula>0</formula>
    </cfRule>
    <cfRule type="cellIs" dxfId="46" priority="6" stopIfTrue="1" operator="lessThan">
      <formula>0</formula>
    </cfRule>
  </conditionalFormatting>
  <conditionalFormatting sqref="O6:O10">
    <cfRule type="cellIs" dxfId="45" priority="7" stopIfTrue="1" operator="greaterThan">
      <formula>0</formula>
    </cfRule>
    <cfRule type="cellIs" dxfId="44" priority="8" stopIfTrue="1" operator="lessThan">
      <formula>0</formula>
    </cfRule>
  </conditionalFormatting>
  <conditionalFormatting sqref="C15:N24">
    <cfRule type="colorScale" priority="9">
      <colorScale>
        <cfvo type="min"/>
        <cfvo type="max"/>
        <color rgb="FFFFFFFF"/>
        <color rgb="FF9DB4CF"/>
      </colorScale>
    </cfRule>
  </conditionalFormatting>
  <printOptions horizontalCentered="1"/>
  <pageMargins left="0.35" right="0.35" top="0.44999999999999996" bottom="0.5" header="0.3" footer="0.2"/>
  <pageSetup scale="71" orientation="landscape" r:id="rId1"/>
  <headerFooter>
    <oddFooter>&amp;C&amp;8&amp;A&amp;L&amp;8Portland General Electric utility FP&amp;&amp;A model · public data (EIA, FERC via PUDL, NOAA)&amp;R&amp;8Page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F68E-B468-4063-8D77-2A0075242A03}">
  <sheetPr>
    <tabColor rgb="FF0F766E"/>
    <pageSetUpPr fitToPage="1"/>
  </sheetPr>
  <dimension ref="B1:R181"/>
  <sheetViews>
    <sheetView showGridLines="0" zoomScale="90" zoomScaleNormal="90" workbookViewId="0"/>
  </sheetViews>
  <sheetFormatPr defaultRowHeight="13" x14ac:dyDescent="0.3"/>
  <cols>
    <col min="1" max="1" width="2.69921875" customWidth="1"/>
    <col min="2" max="2" width="18.69921875" customWidth="1"/>
    <col min="3" max="18" width="11.69921875" customWidth="1"/>
  </cols>
  <sheetData>
    <row r="1" spans="2:18" ht="30" customHeight="1" x14ac:dyDescent="0.55000000000000004">
      <c r="B1" s="1" t="s">
        <v>296</v>
      </c>
    </row>
    <row r="2" spans="2:18" ht="28" customHeight="1" x14ac:dyDescent="0.3">
      <c r="B2" s="32" t="s">
        <v>297</v>
      </c>
      <c r="C2" s="32"/>
      <c r="D2" s="32"/>
      <c r="E2" s="32"/>
      <c r="F2" s="32"/>
      <c r="G2" s="32"/>
      <c r="H2" s="32"/>
      <c r="I2" s="32"/>
      <c r="J2" s="32"/>
      <c r="K2" s="32"/>
      <c r="L2" s="32"/>
      <c r="M2" s="32"/>
      <c r="N2" s="32"/>
      <c r="O2" s="32"/>
      <c r="P2" s="32"/>
      <c r="Q2" s="32"/>
      <c r="R2" s="32"/>
    </row>
    <row r="4" spans="2:18" ht="18" customHeight="1" x14ac:dyDescent="0.3">
      <c r="B4" s="7" t="str">
        <f>"Weather model, fitted "&amp;TEXT(FitStart,"mmm yyyy")&amp;" to Dec "&amp;(FiscalYear-1)</f>
        <v>Weather model, fitted Jan 2017 to Dec 2025</v>
      </c>
      <c r="C4" s="7"/>
      <c r="D4" s="7"/>
      <c r="E4" s="7"/>
      <c r="F4" s="7"/>
      <c r="G4" s="7"/>
      <c r="H4" s="7"/>
      <c r="I4" s="7"/>
    </row>
    <row r="5" spans="2:18" ht="26" x14ac:dyDescent="0.3">
      <c r="B5" s="64" t="s">
        <v>208</v>
      </c>
      <c r="C5" s="65" t="s">
        <v>308</v>
      </c>
      <c r="D5" s="65" t="s">
        <v>309</v>
      </c>
      <c r="E5" s="65" t="s">
        <v>310</v>
      </c>
      <c r="F5" s="65" t="s">
        <v>311</v>
      </c>
      <c r="G5" s="65" t="s">
        <v>312</v>
      </c>
      <c r="H5" s="65" t="s">
        <v>313</v>
      </c>
      <c r="I5" s="65" t="s">
        <v>279</v>
      </c>
    </row>
    <row r="6" spans="2:18" x14ac:dyDescent="0.3">
      <c r="B6" t="s">
        <v>93</v>
      </c>
      <c r="C6" s="82" cm="1">
        <f t="array" ref="C6:G6">_xlfn.LET(_xlpm.s,LINEST(_xlfn._xlws.FILTER(F$62:F$181,$J$62:$J$181),_xlfn.HSTACK(_xlfn._xlws.FILTER(D$62:D$181,$J$62:$J$181),_xlfn._xlws.FILTER(E$62:E$181,$J$62:$J$181),_xlfn._xlws.FILTER(C$62:C$181,$J$62:$J$181)),TRUE,TRUE),_xlfn.HSTACK(INDEX(_xlpm.s,1,4),INDEX(_xlpm.s,1,3),INDEX(_xlpm.s,1,2),INDEX(_xlpm.s,1,1),INDEX(_xlpm.s,3,1)))</f>
        <v>0.49596644212817698</v>
      </c>
      <c r="D6" s="82">
        <v>6.7761677613792468E-4</v>
      </c>
      <c r="E6" s="82">
        <v>2.6779197510012369E-3</v>
      </c>
      <c r="F6" s="82">
        <v>-7.5184518218540958E-3</v>
      </c>
      <c r="G6" s="80">
        <v>0.83811811584012952</v>
      </c>
      <c r="H6">
        <f>ROWS(_xlfn._xlws.FILTER(F$62:F$181,$J$62:$J$181))</f>
        <v>108</v>
      </c>
      <c r="I6" s="61" t="s">
        <v>92</v>
      </c>
    </row>
    <row r="7" spans="2:18" x14ac:dyDescent="0.3">
      <c r="B7" t="s">
        <v>96</v>
      </c>
      <c r="C7" s="82" cm="1">
        <f t="array" ref="C7:G7">_xlfn.LET(_xlpm.s,LINEST(_xlfn._xlws.FILTER(G$62:G$181,$J$62:$J$181),_xlfn.HSTACK(_xlfn._xlws.FILTER(D$62:D$181,$J$62:$J$181),_xlfn._xlws.FILTER(E$62:E$181,$J$62:$J$181),_xlfn._xlws.FILTER(C$62:C$181,$J$62:$J$181)),TRUE,TRUE),_xlfn.HSTACK(INDEX(_xlpm.s,1,4),INDEX(_xlpm.s,1,3),INDEX(_xlpm.s,1,2),INDEX(_xlpm.s,1,1),INDEX(_xlpm.s,3,1)))</f>
        <v>4.9058293858685902</v>
      </c>
      <c r="D7" s="82">
        <v>6.2824612831599721E-4</v>
      </c>
      <c r="E7" s="82">
        <v>7.3712067251924572E-3</v>
      </c>
      <c r="F7" s="82">
        <v>-6.5020002713612468E-2</v>
      </c>
      <c r="G7" s="80">
        <v>0.58282377881752512</v>
      </c>
      <c r="H7">
        <f>ROWS(_xlfn._xlws.FILTER(G$62:G$181,$J$62:$J$181))</f>
        <v>108</v>
      </c>
      <c r="I7" s="61" t="s">
        <v>95</v>
      </c>
    </row>
    <row r="8" spans="2:18" x14ac:dyDescent="0.3">
      <c r="B8" s="47" t="s">
        <v>314</v>
      </c>
    </row>
    <row r="10" spans="2:18" ht="18" customHeight="1" x14ac:dyDescent="0.3">
      <c r="B10" s="7" t="str">
        <f>"Normal weather: the average of "&amp;(FiscalYear-NormalYears)&amp;"–"&amp;(FiscalYear-1)&amp;", by month"</f>
        <v>Normal weather: the average of 2016–2025, by month</v>
      </c>
      <c r="C10" s="7"/>
      <c r="D10" s="7"/>
      <c r="E10" s="7"/>
      <c r="F10" s="7"/>
      <c r="G10" s="7"/>
      <c r="H10" s="7"/>
      <c r="I10" s="7"/>
      <c r="J10" s="7"/>
      <c r="K10" s="7"/>
      <c r="L10" s="7"/>
      <c r="M10" s="7"/>
      <c r="N10" s="7"/>
      <c r="O10" s="7"/>
    </row>
    <row r="11" spans="2:18" x14ac:dyDescent="0.3">
      <c r="B11" s="24" t="s">
        <v>299</v>
      </c>
      <c r="C11" s="34" t="str">
        <f t="shared" ref="C11:N11" si="0">TEXT(DATE(2000,COLUMN()-2,1),"mmm")</f>
        <v>Jan</v>
      </c>
      <c r="D11" s="34" t="str">
        <f t="shared" si="0"/>
        <v>Feb</v>
      </c>
      <c r="E11" s="34" t="str">
        <f t="shared" si="0"/>
        <v>Mar</v>
      </c>
      <c r="F11" s="34" t="str">
        <f t="shared" si="0"/>
        <v>Apr</v>
      </c>
      <c r="G11" s="34" t="str">
        <f t="shared" si="0"/>
        <v>May</v>
      </c>
      <c r="H11" s="34" t="str">
        <f t="shared" si="0"/>
        <v>Jun</v>
      </c>
      <c r="I11" s="34" t="str">
        <f t="shared" si="0"/>
        <v>Jul</v>
      </c>
      <c r="J11" s="34" t="str">
        <f t="shared" si="0"/>
        <v>Aug</v>
      </c>
      <c r="K11" s="34" t="str">
        <f t="shared" si="0"/>
        <v>Sep</v>
      </c>
      <c r="L11" s="34" t="str">
        <f t="shared" si="0"/>
        <v>Oct</v>
      </c>
      <c r="M11" s="34" t="str">
        <f t="shared" si="0"/>
        <v>Nov</v>
      </c>
      <c r="N11" s="34" t="str">
        <f t="shared" si="0"/>
        <v>Dec</v>
      </c>
      <c r="O11" s="34" t="s">
        <v>217</v>
      </c>
    </row>
    <row r="12" spans="2:18" x14ac:dyDescent="0.3">
      <c r="B12" t="s">
        <v>315</v>
      </c>
      <c r="C12" s="4" cm="1">
        <f t="array" ref="C12">AVERAGE(_xlfn._xlws.FILTER(tbl_Weather[hdd],(YEAR(tbl_Weather[month])&gt;=FiscalYear-NormalYears)*(YEAR(tbl_Weather[month])&lt;FiscalYear)*(MONTH(tbl_Weather[month])=COLUMN()-2)))</f>
        <v>748</v>
      </c>
      <c r="D12" s="4" cm="1">
        <f t="array" ref="D12">AVERAGE(_xlfn._xlws.FILTER(tbl_Weather[hdd],(YEAR(tbl_Weather[month])&gt;=FiscalYear-NormalYears)*(YEAR(tbl_Weather[month])&lt;FiscalYear)*(MONTH(tbl_Weather[month])=COLUMN()-2)))</f>
        <v>679.3</v>
      </c>
      <c r="E12" s="4" cm="1">
        <f t="array" ref="E12">AVERAGE(_xlfn._xlws.FILTER(tbl_Weather[hdd],(YEAR(tbl_Weather[month])&gt;=FiscalYear-NormalYears)*(YEAR(tbl_Weather[month])&lt;FiscalYear)*(MONTH(tbl_Weather[month])=COLUMN()-2)))</f>
        <v>640.79999999999995</v>
      </c>
      <c r="F12" s="4" cm="1">
        <f t="array" ref="F12">AVERAGE(_xlfn._xlws.FILTER(tbl_Weather[hdd],(YEAR(tbl_Weather[month])&gt;=FiscalYear-NormalYears)*(YEAR(tbl_Weather[month])&lt;FiscalYear)*(MONTH(tbl_Weather[month])=COLUMN()-2)))</f>
        <v>467.4</v>
      </c>
      <c r="G12" s="4" cm="1">
        <f t="array" ref="G12">AVERAGE(_xlfn._xlws.FILTER(tbl_Weather[hdd],(YEAR(tbl_Weather[month])&gt;=FiscalYear-NormalYears)*(YEAR(tbl_Weather[month])&lt;FiscalYear)*(MONTH(tbl_Weather[month])=COLUMN()-2)))</f>
        <v>287.39999999999998</v>
      </c>
      <c r="H12" s="4" cm="1">
        <f t="array" ref="H12">AVERAGE(_xlfn._xlws.FILTER(tbl_Weather[hdd],(YEAR(tbl_Weather[month])&gt;=FiscalYear-NormalYears)*(YEAR(tbl_Weather[month])&lt;FiscalYear)*(MONTH(tbl_Weather[month])=COLUMN()-2)))</f>
        <v>129.5</v>
      </c>
      <c r="I12" s="4" cm="1">
        <f t="array" ref="I12">AVERAGE(_xlfn._xlws.FILTER(tbl_Weather[hdd],(YEAR(tbl_Weather[month])&gt;=FiscalYear-NormalYears)*(YEAR(tbl_Weather[month])&lt;FiscalYear)*(MONTH(tbl_Weather[month])=COLUMN()-2)))</f>
        <v>32.6</v>
      </c>
      <c r="J12" s="4" cm="1">
        <f t="array" ref="J12">AVERAGE(_xlfn._xlws.FILTER(tbl_Weather[hdd],(YEAR(tbl_Weather[month])&gt;=FiscalYear-NormalYears)*(YEAR(tbl_Weather[month])&lt;FiscalYear)*(MONTH(tbl_Weather[month])=COLUMN()-2)))</f>
        <v>22.4</v>
      </c>
      <c r="K12" s="4" cm="1">
        <f t="array" ref="K12">AVERAGE(_xlfn._xlws.FILTER(tbl_Weather[hdd],(YEAR(tbl_Weather[month])&gt;=FiscalYear-NormalYears)*(YEAR(tbl_Weather[month])&lt;FiscalYear)*(MONTH(tbl_Weather[month])=COLUMN()-2)))</f>
        <v>117.1</v>
      </c>
      <c r="L12" s="4" cm="1">
        <f t="array" ref="L12">AVERAGE(_xlfn._xlws.FILTER(tbl_Weather[hdd],(YEAR(tbl_Weather[month])&gt;=FiscalYear-NormalYears)*(YEAR(tbl_Weather[month])&lt;FiscalYear)*(MONTH(tbl_Weather[month])=COLUMN()-2)))</f>
        <v>376.5</v>
      </c>
      <c r="M12" s="4" cm="1">
        <f t="array" ref="M12">AVERAGE(_xlfn._xlws.FILTER(tbl_Weather[hdd],(YEAR(tbl_Weather[month])&gt;=FiscalYear-NormalYears)*(YEAR(tbl_Weather[month])&lt;FiscalYear)*(MONTH(tbl_Weather[month])=COLUMN()-2)))</f>
        <v>593.70000000000005</v>
      </c>
      <c r="N12" s="4" cm="1">
        <f t="array" ref="N12">AVERAGE(_xlfn._xlws.FILTER(tbl_Weather[hdd],(YEAR(tbl_Weather[month])&gt;=FiscalYear-NormalYears)*(YEAR(tbl_Weather[month])&lt;FiscalYear)*(MONTH(tbl_Weather[month])=COLUMN()-2)))</f>
        <v>753.3</v>
      </c>
      <c r="O12" s="4">
        <f t="shared" ref="O12:O15" si="1">SUM(C12:N12)</f>
        <v>4848</v>
      </c>
    </row>
    <row r="13" spans="2:18" x14ac:dyDescent="0.3">
      <c r="B13" t="s">
        <v>316</v>
      </c>
      <c r="C13" s="4" cm="1">
        <f t="array" ref="C13">AVERAGE(_xlfn._xlws.FILTER(tbl_Weather[cdd],(YEAR(tbl_Weather[month])&gt;=FiscalYear-NormalYears)*(YEAR(tbl_Weather[month])&lt;FiscalYear)*(MONTH(tbl_Weather[month])=COLUMN()-2)))</f>
        <v>0</v>
      </c>
      <c r="D13" s="4" cm="1">
        <f t="array" ref="D13">AVERAGE(_xlfn._xlws.FILTER(tbl_Weather[cdd],(YEAR(tbl_Weather[month])&gt;=FiscalYear-NormalYears)*(YEAR(tbl_Weather[month])&lt;FiscalYear)*(MONTH(tbl_Weather[month])=COLUMN()-2)))</f>
        <v>0</v>
      </c>
      <c r="E13" s="4" cm="1">
        <f t="array" ref="E13">AVERAGE(_xlfn._xlws.FILTER(tbl_Weather[cdd],(YEAR(tbl_Weather[month])&gt;=FiscalYear-NormalYears)*(YEAR(tbl_Weather[month])&lt;FiscalYear)*(MONTH(tbl_Weather[month])=COLUMN()-2)))</f>
        <v>0</v>
      </c>
      <c r="F13" s="4" cm="1">
        <f t="array" ref="F13">AVERAGE(_xlfn._xlws.FILTER(tbl_Weather[cdd],(YEAR(tbl_Weather[month])&gt;=FiscalYear-NormalYears)*(YEAR(tbl_Weather[month])&lt;FiscalYear)*(MONTH(tbl_Weather[month])=COLUMN()-2)))</f>
        <v>0</v>
      </c>
      <c r="G13" s="4" cm="1">
        <f t="array" ref="G13">AVERAGE(_xlfn._xlws.FILTER(tbl_Weather[cdd],(YEAR(tbl_Weather[month])&gt;=FiscalYear-NormalYears)*(YEAR(tbl_Weather[month])&lt;FiscalYear)*(MONTH(tbl_Weather[month])=COLUMN()-2)))</f>
        <v>4.0999999999999996</v>
      </c>
      <c r="H13" s="4" cm="1">
        <f t="array" ref="H13">AVERAGE(_xlfn._xlws.FILTER(tbl_Weather[cdd],(YEAR(tbl_Weather[month])&gt;=FiscalYear-NormalYears)*(YEAR(tbl_Weather[month])&lt;FiscalYear)*(MONTH(tbl_Weather[month])=COLUMN()-2)))</f>
        <v>23.3</v>
      </c>
      <c r="I13" s="4" cm="1">
        <f t="array" ref="I13">AVERAGE(_xlfn._xlws.FILTER(tbl_Weather[cdd],(YEAR(tbl_Weather[month])&gt;=FiscalYear-NormalYears)*(YEAR(tbl_Weather[month])&lt;FiscalYear)*(MONTH(tbl_Weather[month])=COLUMN()-2)))</f>
        <v>114.6</v>
      </c>
      <c r="J13" s="4" cm="1">
        <f t="array" ref="J13">AVERAGE(_xlfn._xlws.FILTER(tbl_Weather[cdd],(YEAR(tbl_Weather[month])&gt;=FiscalYear-NormalYears)*(YEAR(tbl_Weather[month])&lt;FiscalYear)*(MONTH(tbl_Weather[month])=COLUMN()-2)))</f>
        <v>130.80000000000001</v>
      </c>
      <c r="K13" s="4" cm="1">
        <f t="array" ref="K13">AVERAGE(_xlfn._xlws.FILTER(tbl_Weather[cdd],(YEAR(tbl_Weather[month])&gt;=FiscalYear-NormalYears)*(YEAR(tbl_Weather[month])&lt;FiscalYear)*(MONTH(tbl_Weather[month])=COLUMN()-2)))</f>
        <v>35.799999999999997</v>
      </c>
      <c r="L13" s="4" cm="1">
        <f t="array" ref="L13">AVERAGE(_xlfn._xlws.FILTER(tbl_Weather[cdd],(YEAR(tbl_Weather[month])&gt;=FiscalYear-NormalYears)*(YEAR(tbl_Weather[month])&lt;FiscalYear)*(MONTH(tbl_Weather[month])=COLUMN()-2)))</f>
        <v>0</v>
      </c>
      <c r="M13" s="4" cm="1">
        <f t="array" ref="M13">AVERAGE(_xlfn._xlws.FILTER(tbl_Weather[cdd],(YEAR(tbl_Weather[month])&gt;=FiscalYear-NormalYears)*(YEAR(tbl_Weather[month])&lt;FiscalYear)*(MONTH(tbl_Weather[month])=COLUMN()-2)))</f>
        <v>0</v>
      </c>
      <c r="N13" s="4" cm="1">
        <f t="array" ref="N13">AVERAGE(_xlfn._xlws.FILTER(tbl_Weather[cdd],(YEAR(tbl_Weather[month])&gt;=FiscalYear-NormalYears)*(YEAR(tbl_Weather[month])&lt;FiscalYear)*(MONTH(tbl_Weather[month])=COLUMN()-2)))</f>
        <v>0</v>
      </c>
      <c r="O13" s="4">
        <f t="shared" si="1"/>
        <v>308.60000000000002</v>
      </c>
    </row>
    <row r="14" spans="2:18" x14ac:dyDescent="0.3">
      <c r="B14" t="str">
        <f>"Actual HDD, "&amp;FiscalYear</f>
        <v>Actual HDD, 2026</v>
      </c>
      <c r="C14" s="4">
        <f>_xlfn.XLOOKUP(DATE(FiscalYear,COLUMN()-2,1),tbl_Weather[month],tbl_Weather[hdd],"")</f>
        <v>701</v>
      </c>
      <c r="D14" s="4">
        <f>_xlfn.XLOOKUP(DATE(FiscalYear,COLUMN()-2,1),tbl_Weather[month],tbl_Weather[hdd],"")</f>
        <v>599</v>
      </c>
      <c r="E14" s="4">
        <f>_xlfn.XLOOKUP(DATE(FiscalYear,COLUMN()-2,1),tbl_Weather[month],tbl_Weather[hdd],"")</f>
        <v>524</v>
      </c>
      <c r="F14" s="4">
        <f>_xlfn.XLOOKUP(DATE(FiscalYear,COLUMN()-2,1),tbl_Weather[month],tbl_Weather[hdd],"")</f>
        <v>408</v>
      </c>
      <c r="G14" s="4">
        <f>_xlfn.XLOOKUP(DATE(FiscalYear,COLUMN()-2,1),tbl_Weather[month],tbl_Weather[hdd],"")</f>
        <v>241</v>
      </c>
      <c r="H14" s="4">
        <f>_xlfn.XLOOKUP(DATE(FiscalYear,COLUMN()-2,1),tbl_Weather[month],tbl_Weather[hdd],"")</f>
        <v>109</v>
      </c>
      <c r="I14" s="4">
        <f>_xlfn.XLOOKUP(DATE(FiscalYear,COLUMN()-2,1),tbl_Weather[month],tbl_Weather[hdd],"")</f>
        <v>41</v>
      </c>
      <c r="J14" s="4">
        <f>_xlfn.XLOOKUP(DATE(FiscalYear,COLUMN()-2,1),tbl_Weather[month],tbl_Weather[hdd],"")</f>
        <v>27</v>
      </c>
      <c r="K14" s="4" t="str">
        <f>_xlfn.XLOOKUP(DATE(FiscalYear,COLUMN()-2,1),tbl_Weather[month],tbl_Weather[hdd],"")</f>
        <v/>
      </c>
      <c r="L14" s="4" t="str">
        <f>_xlfn.XLOOKUP(DATE(FiscalYear,COLUMN()-2,1),tbl_Weather[month],tbl_Weather[hdd],"")</f>
        <v/>
      </c>
      <c r="M14" s="4" t="str">
        <f>_xlfn.XLOOKUP(DATE(FiscalYear,COLUMN()-2,1),tbl_Weather[month],tbl_Weather[hdd],"")</f>
        <v/>
      </c>
      <c r="N14" s="4" t="str">
        <f>_xlfn.XLOOKUP(DATE(FiscalYear,COLUMN()-2,1),tbl_Weather[month],tbl_Weather[hdd],"")</f>
        <v/>
      </c>
      <c r="O14" s="4">
        <f t="shared" si="1"/>
        <v>2650</v>
      </c>
    </row>
    <row r="15" spans="2:18" x14ac:dyDescent="0.3">
      <c r="B15" t="str">
        <f>"Actual CDD, "&amp;FiscalYear</f>
        <v>Actual CDD, 2026</v>
      </c>
      <c r="C15" s="4">
        <f>_xlfn.XLOOKUP(DATE(FiscalYear,COLUMN()-2,1),tbl_Weather[month],tbl_Weather[cdd],"")</f>
        <v>0</v>
      </c>
      <c r="D15" s="4">
        <f>_xlfn.XLOOKUP(DATE(FiscalYear,COLUMN()-2,1),tbl_Weather[month],tbl_Weather[cdd],"")</f>
        <v>0</v>
      </c>
      <c r="E15" s="4">
        <f>_xlfn.XLOOKUP(DATE(FiscalYear,COLUMN()-2,1),tbl_Weather[month],tbl_Weather[cdd],"")</f>
        <v>0</v>
      </c>
      <c r="F15" s="4">
        <f>_xlfn.XLOOKUP(DATE(FiscalYear,COLUMN()-2,1),tbl_Weather[month],tbl_Weather[cdd],"")</f>
        <v>0</v>
      </c>
      <c r="G15" s="4">
        <f>_xlfn.XLOOKUP(DATE(FiscalYear,COLUMN()-2,1),tbl_Weather[month],tbl_Weather[cdd],"")</f>
        <v>8</v>
      </c>
      <c r="H15" s="4">
        <f>_xlfn.XLOOKUP(DATE(FiscalYear,COLUMN()-2,1),tbl_Weather[month],tbl_Weather[cdd],"")</f>
        <v>28</v>
      </c>
      <c r="I15" s="4">
        <f>_xlfn.XLOOKUP(DATE(FiscalYear,COLUMN()-2,1),tbl_Weather[month],tbl_Weather[cdd],"")</f>
        <v>91</v>
      </c>
      <c r="J15" s="4">
        <f>_xlfn.XLOOKUP(DATE(FiscalYear,COLUMN()-2,1),tbl_Weather[month],tbl_Weather[cdd],"")</f>
        <v>111</v>
      </c>
      <c r="K15" s="4" t="str">
        <f>_xlfn.XLOOKUP(DATE(FiscalYear,COLUMN()-2,1),tbl_Weather[month],tbl_Weather[cdd],"")</f>
        <v/>
      </c>
      <c r="L15" s="4" t="str">
        <f>_xlfn.XLOOKUP(DATE(FiscalYear,COLUMN()-2,1),tbl_Weather[month],tbl_Weather[cdd],"")</f>
        <v/>
      </c>
      <c r="M15" s="4" t="str">
        <f>_xlfn.XLOOKUP(DATE(FiscalYear,COLUMN()-2,1),tbl_Weather[month],tbl_Weather[cdd],"")</f>
        <v/>
      </c>
      <c r="N15" s="4" t="str">
        <f>_xlfn.XLOOKUP(DATE(FiscalYear,COLUMN()-2,1),tbl_Weather[month],tbl_Weather[cdd],"")</f>
        <v/>
      </c>
      <c r="O15" s="4">
        <f t="shared" si="1"/>
        <v>238</v>
      </c>
    </row>
    <row r="17" spans="2:14" ht="18" customHeight="1" x14ac:dyDescent="0.3">
      <c r="B17" s="7" t="str">
        <f>"Weather impact, "&amp;TEXT(FYStart,"mmm")&amp;"–"&amp;TEXT(AsOfMonth,"mmm yyyy")&amp;": actual against normal"</f>
        <v>Weather impact, Jan–Jun 2026: actual against normal</v>
      </c>
      <c r="C17" s="7"/>
      <c r="D17" s="7"/>
      <c r="E17" s="7"/>
      <c r="F17" s="7"/>
      <c r="G17" s="7"/>
      <c r="H17" s="7"/>
      <c r="I17" s="7"/>
      <c r="J17" s="7"/>
      <c r="K17" s="7"/>
      <c r="L17" s="7"/>
      <c r="M17" s="7"/>
      <c r="N17" s="7"/>
    </row>
    <row r="18" spans="2:14" ht="42" customHeight="1" x14ac:dyDescent="0.3">
      <c r="B18" s="64" t="s">
        <v>299</v>
      </c>
      <c r="C18" s="65" t="s">
        <v>317</v>
      </c>
      <c r="D18" s="65" t="s">
        <v>318</v>
      </c>
      <c r="E18" s="65" t="s">
        <v>319</v>
      </c>
      <c r="F18" s="65" t="s">
        <v>320</v>
      </c>
      <c r="G18" s="65" t="s">
        <v>250</v>
      </c>
      <c r="H18" s="65" t="s">
        <v>321</v>
      </c>
      <c r="I18" s="65" t="s">
        <v>322</v>
      </c>
      <c r="J18" s="65" t="s">
        <v>323</v>
      </c>
      <c r="K18" s="65" t="s">
        <v>324</v>
      </c>
      <c r="L18" s="65" t="s">
        <v>325</v>
      </c>
      <c r="M18" s="65" t="s">
        <v>326</v>
      </c>
      <c r="N18" s="65" t="s">
        <v>327</v>
      </c>
    </row>
    <row r="19" spans="2:14" x14ac:dyDescent="0.3">
      <c r="B19" s="79">
        <f>DATE(FiscalYear,ROWS($B$19:B19),1)</f>
        <v>46023</v>
      </c>
      <c r="C19" s="83" cm="1">
        <f t="array" ref="C19">IF(ISCLOSED(B19),INDEX(actual_hdd,MONTH(B19))-INDEX(normal_hdd,MONTH(B19)),"")</f>
        <v>-47</v>
      </c>
      <c r="D19" s="83" cm="1">
        <f t="array" ref="D19">IF(ISCLOSED(B19),INDEX(actual_cdd,MONTH(B19))-INDEX(normal_cdd,MONTH(B19)),"")</f>
        <v>0</v>
      </c>
      <c r="E19" s="84" cm="1">
        <f t="array" ref="E19">IF(ISCLOSED(B19),$D$6*C19+$E$6*D19,"")</f>
        <v>-3.1847988478482463E-2</v>
      </c>
      <c r="F19" s="54" cm="1">
        <f t="array" ref="F19">IF(ISCLOSED(B19),SUMIFS(tbl_Monthly[customers],tbl_Monthly[class],"residential",tbl_Monthly[month],B19),"")</f>
        <v>845079</v>
      </c>
      <c r="G19" s="55" cm="1">
        <f t="array" ref="G19">IF(ISCLOSED(B19),E19*F19,"")</f>
        <v>-26914.066255407481</v>
      </c>
      <c r="H19" s="55" cm="1">
        <f t="array" ref="H19">IF(ISCLOSED(B19),G19*SAFEDIV(SUMIFS(tbl_Monthly[revenue],tbl_Monthly[class],"residential",tbl_Monthly[month],B19),SUMIFS(tbl_Monthly[mwh],tbl_Monthly[class],"residential",tbl_Monthly[month],B19)),"")</f>
        <v>-4847316.2788547194</v>
      </c>
      <c r="I19" s="84" cm="1">
        <f t="array" ref="I19">IF(ISCLOSED(B19),$D$7*C19+$E$7*D19,"")</f>
        <v>-2.952756803085187E-2</v>
      </c>
      <c r="J19" s="54" cm="1">
        <f t="array" ref="J19">IF(ISCLOSED(B19),SUMIFS(tbl_Monthly[customers],tbl_Monthly[class],"commercial",tbl_Monthly[month],B19),"")</f>
        <v>110273</v>
      </c>
      <c r="K19" s="55" cm="1">
        <f t="array" ref="K19">IF(ISCLOSED(B19),I19*J19,"")</f>
        <v>-3256.0935094661281</v>
      </c>
      <c r="L19" s="55" cm="1">
        <f t="array" ref="L19">IF(ISCLOSED(B19),K19*SAFEDIV(SUMIFS(tbl_Monthly[revenue],tbl_Monthly[class],"commercial",tbl_Monthly[month],B19),SUMIFS(tbl_Monthly[mwh],tbl_Monthly[class],"commercial",tbl_Monthly[month],B19)),"")</f>
        <v>-468064.05195612623</v>
      </c>
      <c r="M19" s="55" cm="1">
        <f t="array" ref="M19">IF(ISCLOSED(B19),G19+K19,"")</f>
        <v>-30170.15976487361</v>
      </c>
      <c r="N19" s="55" cm="1">
        <f t="array" ref="N19">IF(ISCLOSED(B19),H19+L19,"")</f>
        <v>-5315380.3308108458</v>
      </c>
    </row>
    <row r="20" spans="2:14" x14ac:dyDescent="0.3">
      <c r="B20" s="79">
        <f>DATE(FiscalYear,ROWS($B$19:B20),1)</f>
        <v>46054</v>
      </c>
      <c r="C20" s="83" cm="1">
        <f t="array" ref="C20">IF(ISCLOSED(B20),INDEX(actual_hdd,MONTH(B20))-INDEX(normal_hdd,MONTH(B20)),"")</f>
        <v>-80.299999999999955</v>
      </c>
      <c r="D20" s="83" cm="1">
        <f t="array" ref="D20">IF(ISCLOSED(B20),INDEX(actual_cdd,MONTH(B20))-INDEX(normal_cdd,MONTH(B20)),"")</f>
        <v>0</v>
      </c>
      <c r="E20" s="84" cm="1">
        <f t="array" ref="E20">IF(ISCLOSED(B20),$D$6*C20+$E$6*D20,"")</f>
        <v>-5.4412627123875318E-2</v>
      </c>
      <c r="F20" s="54" cm="1">
        <f t="array" ref="F20">IF(ISCLOSED(B20),SUMIFS(tbl_Monthly[customers],tbl_Monthly[class],"residential",tbl_Monthly[month],B20),"")</f>
        <v>845421</v>
      </c>
      <c r="G20" s="55" cm="1">
        <f t="array" ref="G20">IF(ISCLOSED(B20),E20*F20,"")</f>
        <v>-46001.577635693793</v>
      </c>
      <c r="H20" s="55" cm="1">
        <f t="array" ref="H20">IF(ISCLOSED(B20),G20*SAFEDIV(SUMIFS(tbl_Monthly[revenue],tbl_Monthly[class],"residential",tbl_Monthly[month],B20),SUMIFS(tbl_Monthly[mwh],tbl_Monthly[class],"residential",tbl_Monthly[month],B20)),"")</f>
        <v>-8345857.2414017823</v>
      </c>
      <c r="I20" s="84" cm="1">
        <f t="array" ref="I20">IF(ISCLOSED(B20),$D$7*C20+$E$7*D20,"")</f>
        <v>-5.0448164103774548E-2</v>
      </c>
      <c r="J20" s="54" cm="1">
        <f t="array" ref="J20">IF(ISCLOSED(B20),SUMIFS(tbl_Monthly[customers],tbl_Monthly[class],"commercial",tbl_Monthly[month],B20),"")</f>
        <v>110510</v>
      </c>
      <c r="K20" s="55" cm="1">
        <f t="array" ref="K20">IF(ISCLOSED(B20),I20*J20,"")</f>
        <v>-5575.026615108125</v>
      </c>
      <c r="L20" s="55" cm="1">
        <f t="array" ref="L20">IF(ISCLOSED(B20),K20*SAFEDIV(SUMIFS(tbl_Monthly[revenue],tbl_Monthly[class],"commercial",tbl_Monthly[month],B20),SUMIFS(tbl_Monthly[mwh],tbl_Monthly[class],"commercial",tbl_Monthly[month],B20)),"")</f>
        <v>-813691.91395033407</v>
      </c>
      <c r="M20" s="55" cm="1">
        <f t="array" ref="M20">IF(ISCLOSED(B20),G20+K20,"")</f>
        <v>-51576.604250801916</v>
      </c>
      <c r="N20" s="55" cm="1">
        <f t="array" ref="N20">IF(ISCLOSED(B20),H20+L20,"")</f>
        <v>-9159549.1553521156</v>
      </c>
    </row>
    <row r="21" spans="2:14" x14ac:dyDescent="0.3">
      <c r="B21" s="79">
        <f>DATE(FiscalYear,ROWS($B$19:B21),1)</f>
        <v>46082</v>
      </c>
      <c r="C21" s="83" cm="1">
        <f t="array" ref="C21">IF(ISCLOSED(B21),INDEX(actual_hdd,MONTH(B21))-INDEX(normal_hdd,MONTH(B21)),"")</f>
        <v>-116.79999999999995</v>
      </c>
      <c r="D21" s="83" cm="1">
        <f t="array" ref="D21">IF(ISCLOSED(B21),INDEX(actual_cdd,MONTH(B21))-INDEX(normal_cdd,MONTH(B21)),"")</f>
        <v>0</v>
      </c>
      <c r="E21" s="84" cm="1">
        <f t="array" ref="E21">IF(ISCLOSED(B21),$D$6*C21+$E$6*D21,"")</f>
        <v>-7.9145639452909575E-2</v>
      </c>
      <c r="F21" s="54" cm="1">
        <f t="array" ref="F21">IF(ISCLOSED(B21),SUMIFS(tbl_Monthly[customers],tbl_Monthly[class],"residential",tbl_Monthly[month],B21),"")</f>
        <v>845954</v>
      </c>
      <c r="G21" s="55" cm="1">
        <f t="array" ref="G21">IF(ISCLOSED(B21),E21*F21,"")</f>
        <v>-66953.570277746665</v>
      </c>
      <c r="H21" s="55" cm="1">
        <f t="array" ref="H21">IF(ISCLOSED(B21),G21*SAFEDIV(SUMIFS(tbl_Monthly[revenue],tbl_Monthly[class],"residential",tbl_Monthly[month],B21),SUMIFS(tbl_Monthly[mwh],tbl_Monthly[class],"residential",tbl_Monthly[month],B21)),"")</f>
        <v>-12129611.759734161</v>
      </c>
      <c r="I21" s="84" cm="1">
        <f t="array" ref="I21">IF(ISCLOSED(B21),$D$7*C21+$E$7*D21,"")</f>
        <v>-7.3379147787308446E-2</v>
      </c>
      <c r="J21" s="54" cm="1">
        <f t="array" ref="J21">IF(ISCLOSED(B21),SUMIFS(tbl_Monthly[customers],tbl_Monthly[class],"commercial",tbl_Monthly[month],B21),"")</f>
        <v>110584</v>
      </c>
      <c r="K21" s="55" cm="1">
        <f t="array" ref="K21">IF(ISCLOSED(B21),I21*J21,"")</f>
        <v>-8114.5596789117171</v>
      </c>
      <c r="L21" s="55" cm="1">
        <f t="array" ref="L21">IF(ISCLOSED(B21),K21*SAFEDIV(SUMIFS(tbl_Monthly[revenue],tbl_Monthly[class],"commercial",tbl_Monthly[month],B21),SUMIFS(tbl_Monthly[mwh],tbl_Monthly[class],"commercial",tbl_Monthly[month],B21)),"")</f>
        <v>-1212988.9922789508</v>
      </c>
      <c r="M21" s="55" cm="1">
        <f t="array" ref="M21">IF(ISCLOSED(B21),G21+K21,"")</f>
        <v>-75068.129956658377</v>
      </c>
      <c r="N21" s="55" cm="1">
        <f t="array" ref="N21">IF(ISCLOSED(B21),H21+L21,"")</f>
        <v>-13342600.752013111</v>
      </c>
    </row>
    <row r="22" spans="2:14" x14ac:dyDescent="0.3">
      <c r="B22" s="79">
        <f>DATE(FiscalYear,ROWS($B$19:B22),1)</f>
        <v>46113</v>
      </c>
      <c r="C22" s="83" cm="1">
        <f t="array" ref="C22">IF(ISCLOSED(B22),INDEX(actual_hdd,MONTH(B22))-INDEX(normal_hdd,MONTH(B22)),"")</f>
        <v>-59.399999999999977</v>
      </c>
      <c r="D22" s="83" cm="1">
        <f t="array" ref="D22">IF(ISCLOSED(B22),INDEX(actual_cdd,MONTH(B22))-INDEX(normal_cdd,MONTH(B22)),"")</f>
        <v>0</v>
      </c>
      <c r="E22" s="84" cm="1">
        <f t="array" ref="E22">IF(ISCLOSED(B22),$D$6*C22+$E$6*D22,"")</f>
        <v>-4.0250436502592711E-2</v>
      </c>
      <c r="F22" s="54" cm="1">
        <f t="array" ref="F22">IF(ISCLOSED(B22),SUMIFS(tbl_Monthly[customers],tbl_Monthly[class],"residential",tbl_Monthly[month],B22),"")</f>
        <v>846300</v>
      </c>
      <c r="G22" s="55" cm="1">
        <f t="array" ref="G22">IF(ISCLOSED(B22),E22*F22,"")</f>
        <v>-34063.944412144214</v>
      </c>
      <c r="H22" s="55" cm="1">
        <f t="array" ref="H22">IF(ISCLOSED(B22),G22*SAFEDIV(SUMIFS(tbl_Monthly[revenue],tbl_Monthly[class],"residential",tbl_Monthly[month],B22),SUMIFS(tbl_Monthly[mwh],tbl_Monthly[class],"residential",tbl_Monthly[month],B22)),"")</f>
        <v>-6751636.5765189389</v>
      </c>
      <c r="I22" s="84" cm="1">
        <f t="array" ref="I22">IF(ISCLOSED(B22),$D$7*C22+$E$7*D22,"")</f>
        <v>-3.7317820021970219E-2</v>
      </c>
      <c r="J22" s="54" cm="1">
        <f t="array" ref="J22">IF(ISCLOSED(B22),SUMIFS(tbl_Monthly[customers],tbl_Monthly[class],"commercial",tbl_Monthly[month],B22),"")</f>
        <v>110424</v>
      </c>
      <c r="K22" s="55" cm="1">
        <f t="array" ref="K22">IF(ISCLOSED(B22),I22*J22,"")</f>
        <v>-4120.7829581060396</v>
      </c>
      <c r="L22" s="55" cm="1">
        <f t="array" ref="L22">IF(ISCLOSED(B22),K22*SAFEDIV(SUMIFS(tbl_Monthly[revenue],tbl_Monthly[class],"commercial",tbl_Monthly[month],B22),SUMIFS(tbl_Monthly[mwh],tbl_Monthly[class],"commercial",tbl_Monthly[month],B22)),"")</f>
        <v>-667758.12737351586</v>
      </c>
      <c r="M22" s="55" cm="1">
        <f t="array" ref="M22">IF(ISCLOSED(B22),G22+K22,"")</f>
        <v>-38184.727370250257</v>
      </c>
      <c r="N22" s="55" cm="1">
        <f t="array" ref="N22">IF(ISCLOSED(B22),H22+L22,"")</f>
        <v>-7419394.7038924545</v>
      </c>
    </row>
    <row r="23" spans="2:14" x14ac:dyDescent="0.3">
      <c r="B23" s="79">
        <f>DATE(FiscalYear,ROWS($B$19:B23),1)</f>
        <v>46143</v>
      </c>
      <c r="C23" s="83" cm="1">
        <f t="array" ref="C23">IF(ISCLOSED(B23),INDEX(actual_hdd,MONTH(B23))-INDEX(normal_hdd,MONTH(B23)),"")</f>
        <v>-46.399999999999977</v>
      </c>
      <c r="D23" s="83" cm="1">
        <f t="array" ref="D23">IF(ISCLOSED(B23),INDEX(actual_cdd,MONTH(B23))-INDEX(normal_cdd,MONTH(B23)),"")</f>
        <v>3.9000000000000004</v>
      </c>
      <c r="E23" s="84" cm="1">
        <f t="array" ref="E23">IF(ISCLOSED(B23),$D$6*C23+$E$6*D23,"")</f>
        <v>-2.0997531383894864E-2</v>
      </c>
      <c r="F23" s="54" cm="1">
        <f t="array" ref="F23">IF(ISCLOSED(B23),SUMIFS(tbl_Monthly[customers],tbl_Monthly[class],"residential",tbl_Monthly[month],B23),"")</f>
        <v>846323</v>
      </c>
      <c r="G23" s="55" cm="1">
        <f t="array" ref="G23">IF(ISCLOSED(B23),E23*F23,"")</f>
        <v>-17770.693753412052</v>
      </c>
      <c r="H23" s="55" cm="1">
        <f t="array" ref="H23">IF(ISCLOSED(B23),G23*SAFEDIV(SUMIFS(tbl_Monthly[revenue],tbl_Monthly[class],"residential",tbl_Monthly[month],B23),SUMIFS(tbl_Monthly[mwh],tbl_Monthly[class],"residential",tbl_Monthly[month],B23)),"")</f>
        <v>-3588677.5291587291</v>
      </c>
      <c r="I23" s="84" cm="1">
        <f t="array" ref="I23">IF(ISCLOSED(B23),$D$7*C23+$E$7*D23,"")</f>
        <v>-4.0291412561167111E-4</v>
      </c>
      <c r="J23" s="54" cm="1">
        <f t="array" ref="J23">IF(ISCLOSED(B23),SUMIFS(tbl_Monthly[customers],tbl_Monthly[class],"commercial",tbl_Monthly[month],B23),"")</f>
        <v>110377</v>
      </c>
      <c r="K23" s="55" cm="1">
        <f t="array" ref="K23">IF(ISCLOSED(B23),I23*J23,"")</f>
        <v>-44.472452442639423</v>
      </c>
      <c r="L23" s="55" cm="1">
        <f t="array" ref="L23">IF(ISCLOSED(B23),K23*SAFEDIV(SUMIFS(tbl_Monthly[revenue],tbl_Monthly[class],"commercial",tbl_Monthly[month],B23),SUMIFS(tbl_Monthly[mwh],tbl_Monthly[class],"commercial",tbl_Monthly[month],B23)),"")</f>
        <v>-7142.7811179109158</v>
      </c>
      <c r="M23" s="55" cm="1">
        <f t="array" ref="M23">IF(ISCLOSED(B23),G23+K23,"")</f>
        <v>-17815.16620585469</v>
      </c>
      <c r="N23" s="55" cm="1">
        <f t="array" ref="N23">IF(ISCLOSED(B23),H23+L23,"")</f>
        <v>-3595820.3102766401</v>
      </c>
    </row>
    <row r="24" spans="2:14" x14ac:dyDescent="0.3">
      <c r="B24" s="79">
        <f>DATE(FiscalYear,ROWS($B$19:B24),1)</f>
        <v>46174</v>
      </c>
      <c r="C24" s="83" cm="1">
        <f t="array" ref="C24">IF(ISCLOSED(B24),INDEX(actual_hdd,MONTH(B24))-INDEX(normal_hdd,MONTH(B24)),"")</f>
        <v>-20.5</v>
      </c>
      <c r="D24" s="83" cm="1">
        <f t="array" ref="D24">IF(ISCLOSED(B24),INDEX(actual_cdd,MONTH(B24))-INDEX(normal_cdd,MONTH(B24)),"")</f>
        <v>4.6999999999999993</v>
      </c>
      <c r="E24" s="84" cm="1">
        <f t="array" ref="E24">IF(ISCLOSED(B24),$D$6*C24+$E$6*D24,"")</f>
        <v>-1.3049210811216447E-3</v>
      </c>
      <c r="F24" s="54" cm="1">
        <f t="array" ref="F24">IF(ISCLOSED(B24),SUMIFS(tbl_Monthly[customers],tbl_Monthly[class],"residential",tbl_Monthly[month],B24),"")</f>
        <v>846477</v>
      </c>
      <c r="G24" s="55" cm="1">
        <f t="array" ref="G24">IF(ISCLOSED(B24),E24*F24,"")</f>
        <v>-1104.5856819846065</v>
      </c>
      <c r="H24" s="55" cm="1">
        <f t="array" ref="H24">IF(ISCLOSED(B24),G24*SAFEDIV(SUMIFS(tbl_Monthly[revenue],tbl_Monthly[class],"residential",tbl_Monthly[month],B24),SUMIFS(tbl_Monthly[mwh],tbl_Monthly[class],"residential",tbl_Monthly[month],B24)),"")</f>
        <v>-220033.28415749193</v>
      </c>
      <c r="I24" s="84" cm="1">
        <f t="array" ref="I24">IF(ISCLOSED(B24),$D$7*C24+$E$7*D24,"")</f>
        <v>2.1765625977926601E-2</v>
      </c>
      <c r="J24" s="54" cm="1">
        <f t="array" ref="J24">IF(ISCLOSED(B24),SUMIFS(tbl_Monthly[customers],tbl_Monthly[class],"commercial",tbl_Monthly[month],B24),"")</f>
        <v>110492</v>
      </c>
      <c r="K24" s="55" cm="1">
        <f t="array" ref="K24">IF(ISCLOSED(B24),I24*J24,"")</f>
        <v>2404.927545553066</v>
      </c>
      <c r="L24" s="55" cm="1">
        <f t="array" ref="L24">IF(ISCLOSED(B24),K24*SAFEDIV(SUMIFS(tbl_Monthly[revenue],tbl_Monthly[class],"commercial",tbl_Monthly[month],B24),SUMIFS(tbl_Monthly[mwh],tbl_Monthly[class],"commercial",tbl_Monthly[month],B24)),"")</f>
        <v>378543.82913702918</v>
      </c>
      <c r="M24" s="55" cm="1">
        <f t="array" ref="M24">IF(ISCLOSED(B24),G24+K24,"")</f>
        <v>1300.3418635684595</v>
      </c>
      <c r="N24" s="55" cm="1">
        <f t="array" ref="N24">IF(ISCLOSED(B24),H24+L24,"")</f>
        <v>158510.54497953726</v>
      </c>
    </row>
    <row r="25" spans="2:14" x14ac:dyDescent="0.3">
      <c r="B25" s="79">
        <f>DATE(FiscalYear,ROWS($B$19:B25),1)</f>
        <v>46204</v>
      </c>
      <c r="C25" s="83" t="str" cm="1">
        <f t="array" ref="C25">IF(ISCLOSED(B25),INDEX(actual_hdd,MONTH(B25))-INDEX(normal_hdd,MONTH(B25)),"")</f>
        <v/>
      </c>
      <c r="D25" s="83" t="str" cm="1">
        <f t="array" ref="D25">IF(ISCLOSED(B25),INDEX(actual_cdd,MONTH(B25))-INDEX(normal_cdd,MONTH(B25)),"")</f>
        <v/>
      </c>
      <c r="E25" s="84" t="str" cm="1">
        <f t="array" ref="E25">IF(ISCLOSED(B25),$D$6*C25+$E$6*D25,"")</f>
        <v/>
      </c>
      <c r="F25" s="54" t="str" cm="1">
        <f t="array" ref="F25">IF(ISCLOSED(B25),SUMIFS(tbl_Monthly[customers],tbl_Monthly[class],"residential",tbl_Monthly[month],B25),"")</f>
        <v/>
      </c>
      <c r="G25" s="55" t="str" cm="1">
        <f t="array" ref="G25">IF(ISCLOSED(B25),E25*F25,"")</f>
        <v/>
      </c>
      <c r="H25" s="55" t="str" cm="1">
        <f t="array" ref="H25">IF(ISCLOSED(B25),G25*SAFEDIV(SUMIFS(tbl_Monthly[revenue],tbl_Monthly[class],"residential",tbl_Monthly[month],B25),SUMIFS(tbl_Monthly[mwh],tbl_Monthly[class],"residential",tbl_Monthly[month],B25)),"")</f>
        <v/>
      </c>
      <c r="I25" s="84" t="str" cm="1">
        <f t="array" ref="I25">IF(ISCLOSED(B25),$D$7*C25+$E$7*D25,"")</f>
        <v/>
      </c>
      <c r="J25" s="54" t="str" cm="1">
        <f t="array" ref="J25">IF(ISCLOSED(B25),SUMIFS(tbl_Monthly[customers],tbl_Monthly[class],"commercial",tbl_Monthly[month],B25),"")</f>
        <v/>
      </c>
      <c r="K25" s="55" t="str" cm="1">
        <f t="array" ref="K25">IF(ISCLOSED(B25),I25*J25,"")</f>
        <v/>
      </c>
      <c r="L25" s="55" t="str" cm="1">
        <f t="array" ref="L25">IF(ISCLOSED(B25),K25*SAFEDIV(SUMIFS(tbl_Monthly[revenue],tbl_Monthly[class],"commercial",tbl_Monthly[month],B25),SUMIFS(tbl_Monthly[mwh],tbl_Monthly[class],"commercial",tbl_Monthly[month],B25)),"")</f>
        <v/>
      </c>
      <c r="M25" s="55" t="str" cm="1">
        <f t="array" ref="M25">IF(ISCLOSED(B25),G25+K25,"")</f>
        <v/>
      </c>
      <c r="N25" s="55" t="str" cm="1">
        <f t="array" ref="N25">IF(ISCLOSED(B25),H25+L25,"")</f>
        <v/>
      </c>
    </row>
    <row r="26" spans="2:14" x14ac:dyDescent="0.3">
      <c r="B26" s="79">
        <f>DATE(FiscalYear,ROWS($B$19:B26),1)</f>
        <v>46235</v>
      </c>
      <c r="C26" s="83" t="str" cm="1">
        <f t="array" ref="C26">IF(ISCLOSED(B26),INDEX(actual_hdd,MONTH(B26))-INDEX(normal_hdd,MONTH(B26)),"")</f>
        <v/>
      </c>
      <c r="D26" s="83" t="str" cm="1">
        <f t="array" ref="D26">IF(ISCLOSED(B26),INDEX(actual_cdd,MONTH(B26))-INDEX(normal_cdd,MONTH(B26)),"")</f>
        <v/>
      </c>
      <c r="E26" s="84" t="str" cm="1">
        <f t="array" ref="E26">IF(ISCLOSED(B26),$D$6*C26+$E$6*D26,"")</f>
        <v/>
      </c>
      <c r="F26" s="54" t="str" cm="1">
        <f t="array" ref="F26">IF(ISCLOSED(B26),SUMIFS(tbl_Monthly[customers],tbl_Monthly[class],"residential",tbl_Monthly[month],B26),"")</f>
        <v/>
      </c>
      <c r="G26" s="55" t="str" cm="1">
        <f t="array" ref="G26">IF(ISCLOSED(B26),E26*F26,"")</f>
        <v/>
      </c>
      <c r="H26" s="55" t="str" cm="1">
        <f t="array" ref="H26">IF(ISCLOSED(B26),G26*SAFEDIV(SUMIFS(tbl_Monthly[revenue],tbl_Monthly[class],"residential",tbl_Monthly[month],B26),SUMIFS(tbl_Monthly[mwh],tbl_Monthly[class],"residential",tbl_Monthly[month],B26)),"")</f>
        <v/>
      </c>
      <c r="I26" s="84" t="str" cm="1">
        <f t="array" ref="I26">IF(ISCLOSED(B26),$D$7*C26+$E$7*D26,"")</f>
        <v/>
      </c>
      <c r="J26" s="54" t="str" cm="1">
        <f t="array" ref="J26">IF(ISCLOSED(B26),SUMIFS(tbl_Monthly[customers],tbl_Monthly[class],"commercial",tbl_Monthly[month],B26),"")</f>
        <v/>
      </c>
      <c r="K26" s="55" t="str" cm="1">
        <f t="array" ref="K26">IF(ISCLOSED(B26),I26*J26,"")</f>
        <v/>
      </c>
      <c r="L26" s="55" t="str" cm="1">
        <f t="array" ref="L26">IF(ISCLOSED(B26),K26*SAFEDIV(SUMIFS(tbl_Monthly[revenue],tbl_Monthly[class],"commercial",tbl_Monthly[month],B26),SUMIFS(tbl_Monthly[mwh],tbl_Monthly[class],"commercial",tbl_Monthly[month],B26)),"")</f>
        <v/>
      </c>
      <c r="M26" s="55" t="str" cm="1">
        <f t="array" ref="M26">IF(ISCLOSED(B26),G26+K26,"")</f>
        <v/>
      </c>
      <c r="N26" s="55" t="str" cm="1">
        <f t="array" ref="N26">IF(ISCLOSED(B26),H26+L26,"")</f>
        <v/>
      </c>
    </row>
    <row r="27" spans="2:14" x14ac:dyDescent="0.3">
      <c r="B27" s="79">
        <f>DATE(FiscalYear,ROWS($B$19:B27),1)</f>
        <v>46266</v>
      </c>
      <c r="C27" s="83" t="str" cm="1">
        <f t="array" ref="C27">IF(ISCLOSED(B27),INDEX(actual_hdd,MONTH(B27))-INDEX(normal_hdd,MONTH(B27)),"")</f>
        <v/>
      </c>
      <c r="D27" s="83" t="str" cm="1">
        <f t="array" ref="D27">IF(ISCLOSED(B27),INDEX(actual_cdd,MONTH(B27))-INDEX(normal_cdd,MONTH(B27)),"")</f>
        <v/>
      </c>
      <c r="E27" s="84" t="str" cm="1">
        <f t="array" ref="E27">IF(ISCLOSED(B27),$D$6*C27+$E$6*D27,"")</f>
        <v/>
      </c>
      <c r="F27" s="54" t="str" cm="1">
        <f t="array" ref="F27">IF(ISCLOSED(B27),SUMIFS(tbl_Monthly[customers],tbl_Monthly[class],"residential",tbl_Monthly[month],B27),"")</f>
        <v/>
      </c>
      <c r="G27" s="55" t="str" cm="1">
        <f t="array" ref="G27">IF(ISCLOSED(B27),E27*F27,"")</f>
        <v/>
      </c>
      <c r="H27" s="55" t="str" cm="1">
        <f t="array" ref="H27">IF(ISCLOSED(B27),G27*SAFEDIV(SUMIFS(tbl_Monthly[revenue],tbl_Monthly[class],"residential",tbl_Monthly[month],B27),SUMIFS(tbl_Monthly[mwh],tbl_Monthly[class],"residential",tbl_Monthly[month],B27)),"")</f>
        <v/>
      </c>
      <c r="I27" s="84" t="str" cm="1">
        <f t="array" ref="I27">IF(ISCLOSED(B27),$D$7*C27+$E$7*D27,"")</f>
        <v/>
      </c>
      <c r="J27" s="54" t="str" cm="1">
        <f t="array" ref="J27">IF(ISCLOSED(B27),SUMIFS(tbl_Monthly[customers],tbl_Monthly[class],"commercial",tbl_Monthly[month],B27),"")</f>
        <v/>
      </c>
      <c r="K27" s="55" t="str" cm="1">
        <f t="array" ref="K27">IF(ISCLOSED(B27),I27*J27,"")</f>
        <v/>
      </c>
      <c r="L27" s="55" t="str" cm="1">
        <f t="array" ref="L27">IF(ISCLOSED(B27),K27*SAFEDIV(SUMIFS(tbl_Monthly[revenue],tbl_Monthly[class],"commercial",tbl_Monthly[month],B27),SUMIFS(tbl_Monthly[mwh],tbl_Monthly[class],"commercial",tbl_Monthly[month],B27)),"")</f>
        <v/>
      </c>
      <c r="M27" s="55" t="str" cm="1">
        <f t="array" ref="M27">IF(ISCLOSED(B27),G27+K27,"")</f>
        <v/>
      </c>
      <c r="N27" s="55" t="str" cm="1">
        <f t="array" ref="N27">IF(ISCLOSED(B27),H27+L27,"")</f>
        <v/>
      </c>
    </row>
    <row r="28" spans="2:14" x14ac:dyDescent="0.3">
      <c r="B28" s="79">
        <f>DATE(FiscalYear,ROWS($B$19:B28),1)</f>
        <v>46296</v>
      </c>
      <c r="C28" s="83" t="str" cm="1">
        <f t="array" ref="C28">IF(ISCLOSED(B28),INDEX(actual_hdd,MONTH(B28))-INDEX(normal_hdd,MONTH(B28)),"")</f>
        <v/>
      </c>
      <c r="D28" s="83" t="str" cm="1">
        <f t="array" ref="D28">IF(ISCLOSED(B28),INDEX(actual_cdd,MONTH(B28))-INDEX(normal_cdd,MONTH(B28)),"")</f>
        <v/>
      </c>
      <c r="E28" s="84" t="str" cm="1">
        <f t="array" ref="E28">IF(ISCLOSED(B28),$D$6*C28+$E$6*D28,"")</f>
        <v/>
      </c>
      <c r="F28" s="54" t="str" cm="1">
        <f t="array" ref="F28">IF(ISCLOSED(B28),SUMIFS(tbl_Monthly[customers],tbl_Monthly[class],"residential",tbl_Monthly[month],B28),"")</f>
        <v/>
      </c>
      <c r="G28" s="55" t="str" cm="1">
        <f t="array" ref="G28">IF(ISCLOSED(B28),E28*F28,"")</f>
        <v/>
      </c>
      <c r="H28" s="55" t="str" cm="1">
        <f t="array" ref="H28">IF(ISCLOSED(B28),G28*SAFEDIV(SUMIFS(tbl_Monthly[revenue],tbl_Monthly[class],"residential",tbl_Monthly[month],B28),SUMIFS(tbl_Monthly[mwh],tbl_Monthly[class],"residential",tbl_Monthly[month],B28)),"")</f>
        <v/>
      </c>
      <c r="I28" s="84" t="str" cm="1">
        <f t="array" ref="I28">IF(ISCLOSED(B28),$D$7*C28+$E$7*D28,"")</f>
        <v/>
      </c>
      <c r="J28" s="54" t="str" cm="1">
        <f t="array" ref="J28">IF(ISCLOSED(B28),SUMIFS(tbl_Monthly[customers],tbl_Monthly[class],"commercial",tbl_Monthly[month],B28),"")</f>
        <v/>
      </c>
      <c r="K28" s="55" t="str" cm="1">
        <f t="array" ref="K28">IF(ISCLOSED(B28),I28*J28,"")</f>
        <v/>
      </c>
      <c r="L28" s="55" t="str" cm="1">
        <f t="array" ref="L28">IF(ISCLOSED(B28),K28*SAFEDIV(SUMIFS(tbl_Monthly[revenue],tbl_Monthly[class],"commercial",tbl_Monthly[month],B28),SUMIFS(tbl_Monthly[mwh],tbl_Monthly[class],"commercial",tbl_Monthly[month],B28)),"")</f>
        <v/>
      </c>
      <c r="M28" s="55" t="str" cm="1">
        <f t="array" ref="M28">IF(ISCLOSED(B28),G28+K28,"")</f>
        <v/>
      </c>
      <c r="N28" s="55" t="str" cm="1">
        <f t="array" ref="N28">IF(ISCLOSED(B28),H28+L28,"")</f>
        <v/>
      </c>
    </row>
    <row r="29" spans="2:14" x14ac:dyDescent="0.3">
      <c r="B29" s="79">
        <f>DATE(FiscalYear,ROWS($B$19:B29),1)</f>
        <v>46327</v>
      </c>
      <c r="C29" s="83" t="str" cm="1">
        <f t="array" ref="C29">IF(ISCLOSED(B29),INDEX(actual_hdd,MONTH(B29))-INDEX(normal_hdd,MONTH(B29)),"")</f>
        <v/>
      </c>
      <c r="D29" s="83" t="str" cm="1">
        <f t="array" ref="D29">IF(ISCLOSED(B29),INDEX(actual_cdd,MONTH(B29))-INDEX(normal_cdd,MONTH(B29)),"")</f>
        <v/>
      </c>
      <c r="E29" s="84" t="str" cm="1">
        <f t="array" ref="E29">IF(ISCLOSED(B29),$D$6*C29+$E$6*D29,"")</f>
        <v/>
      </c>
      <c r="F29" s="54" t="str" cm="1">
        <f t="array" ref="F29">IF(ISCLOSED(B29),SUMIFS(tbl_Monthly[customers],tbl_Monthly[class],"residential",tbl_Monthly[month],B29),"")</f>
        <v/>
      </c>
      <c r="G29" s="55" t="str" cm="1">
        <f t="array" ref="G29">IF(ISCLOSED(B29),E29*F29,"")</f>
        <v/>
      </c>
      <c r="H29" s="55" t="str" cm="1">
        <f t="array" ref="H29">IF(ISCLOSED(B29),G29*SAFEDIV(SUMIFS(tbl_Monthly[revenue],tbl_Monthly[class],"residential",tbl_Monthly[month],B29),SUMIFS(tbl_Monthly[mwh],tbl_Monthly[class],"residential",tbl_Monthly[month],B29)),"")</f>
        <v/>
      </c>
      <c r="I29" s="84" t="str" cm="1">
        <f t="array" ref="I29">IF(ISCLOSED(B29),$D$7*C29+$E$7*D29,"")</f>
        <v/>
      </c>
      <c r="J29" s="54" t="str" cm="1">
        <f t="array" ref="J29">IF(ISCLOSED(B29),SUMIFS(tbl_Monthly[customers],tbl_Monthly[class],"commercial",tbl_Monthly[month],B29),"")</f>
        <v/>
      </c>
      <c r="K29" s="55" t="str" cm="1">
        <f t="array" ref="K29">IF(ISCLOSED(B29),I29*J29,"")</f>
        <v/>
      </c>
      <c r="L29" s="55" t="str" cm="1">
        <f t="array" ref="L29">IF(ISCLOSED(B29),K29*SAFEDIV(SUMIFS(tbl_Monthly[revenue],tbl_Monthly[class],"commercial",tbl_Monthly[month],B29),SUMIFS(tbl_Monthly[mwh],tbl_Monthly[class],"commercial",tbl_Monthly[month],B29)),"")</f>
        <v/>
      </c>
      <c r="M29" s="55" t="str" cm="1">
        <f t="array" ref="M29">IF(ISCLOSED(B29),G29+K29,"")</f>
        <v/>
      </c>
      <c r="N29" s="55" t="str" cm="1">
        <f t="array" ref="N29">IF(ISCLOSED(B29),H29+L29,"")</f>
        <v/>
      </c>
    </row>
    <row r="30" spans="2:14" x14ac:dyDescent="0.3">
      <c r="B30" s="79">
        <f>DATE(FiscalYear,ROWS($B$19:B30),1)</f>
        <v>46357</v>
      </c>
      <c r="C30" s="83" t="str" cm="1">
        <f t="array" ref="C30">IF(ISCLOSED(B30),INDEX(actual_hdd,MONTH(B30))-INDEX(normal_hdd,MONTH(B30)),"")</f>
        <v/>
      </c>
      <c r="D30" s="83" t="str" cm="1">
        <f t="array" ref="D30">IF(ISCLOSED(B30),INDEX(actual_cdd,MONTH(B30))-INDEX(normal_cdd,MONTH(B30)),"")</f>
        <v/>
      </c>
      <c r="E30" s="84" t="str" cm="1">
        <f t="array" ref="E30">IF(ISCLOSED(B30),$D$6*C30+$E$6*D30,"")</f>
        <v/>
      </c>
      <c r="F30" s="54" t="str" cm="1">
        <f t="array" ref="F30">IF(ISCLOSED(B30),SUMIFS(tbl_Monthly[customers],tbl_Monthly[class],"residential",tbl_Monthly[month],B30),"")</f>
        <v/>
      </c>
      <c r="G30" s="55" t="str" cm="1">
        <f t="array" ref="G30">IF(ISCLOSED(B30),E30*F30,"")</f>
        <v/>
      </c>
      <c r="H30" s="55" t="str" cm="1">
        <f t="array" ref="H30">IF(ISCLOSED(B30),G30*SAFEDIV(SUMIFS(tbl_Monthly[revenue],tbl_Monthly[class],"residential",tbl_Monthly[month],B30),SUMIFS(tbl_Monthly[mwh],tbl_Monthly[class],"residential",tbl_Monthly[month],B30)),"")</f>
        <v/>
      </c>
      <c r="I30" s="84" t="str" cm="1">
        <f t="array" ref="I30">IF(ISCLOSED(B30),$D$7*C30+$E$7*D30,"")</f>
        <v/>
      </c>
      <c r="J30" s="54" t="str" cm="1">
        <f t="array" ref="J30">IF(ISCLOSED(B30),SUMIFS(tbl_Monthly[customers],tbl_Monthly[class],"commercial",tbl_Monthly[month],B30),"")</f>
        <v/>
      </c>
      <c r="K30" s="55" t="str" cm="1">
        <f t="array" ref="K30">IF(ISCLOSED(B30),I30*J30,"")</f>
        <v/>
      </c>
      <c r="L30" s="55" t="str" cm="1">
        <f t="array" ref="L30">IF(ISCLOSED(B30),K30*SAFEDIV(SUMIFS(tbl_Monthly[revenue],tbl_Monthly[class],"commercial",tbl_Monthly[month],B30),SUMIFS(tbl_Monthly[mwh],tbl_Monthly[class],"commercial",tbl_Monthly[month],B30)),"")</f>
        <v/>
      </c>
      <c r="M30" s="55" t="str" cm="1">
        <f t="array" ref="M30">IF(ISCLOSED(B30),G30+K30,"")</f>
        <v/>
      </c>
      <c r="N30" s="55" t="str" cm="1">
        <f t="array" ref="N30">IF(ISCLOSED(B30),H30+L30,"")</f>
        <v/>
      </c>
    </row>
    <row r="31" spans="2:14" ht="13.5" thickBot="1" x14ac:dyDescent="0.35">
      <c r="B31" s="50" t="s">
        <v>328</v>
      </c>
      <c r="C31" s="85">
        <f>SUM(C19:C30)</f>
        <v>-370.39999999999986</v>
      </c>
      <c r="D31" s="85">
        <f>SUM(D19:D30)</f>
        <v>8.6</v>
      </c>
      <c r="E31" s="86"/>
      <c r="F31" s="70"/>
      <c r="G31" s="72">
        <f>SUM(G19:G30)</f>
        <v>-192808.43801638883</v>
      </c>
      <c r="H31" s="72">
        <f>SUM(H19:H30)</f>
        <v>-35883132.669825822</v>
      </c>
      <c r="I31" s="86"/>
      <c r="J31" s="70"/>
      <c r="K31" s="72">
        <f>SUM(K19:K30)</f>
        <v>-18706.007668481579</v>
      </c>
      <c r="L31" s="72">
        <f>SUM(L19:L30)</f>
        <v>-2791102.0375398085</v>
      </c>
      <c r="M31" s="72">
        <f>SUM(M19:M30)</f>
        <v>-211514.44568487036</v>
      </c>
      <c r="N31" s="72">
        <f>SUM(N19:N30)</f>
        <v>-38674234.707365632</v>
      </c>
    </row>
    <row r="32" spans="2:14" ht="13.5" thickTop="1" x14ac:dyDescent="0.3">
      <c r="B32" s="87" t="str" cm="1">
        <f t="array" ref="B32">IF(N31&lt;0,"Weather took ","Weather added ")&amp;TEXT(ABS(M31)/1000,"#,##0")&amp;" GWh and "&amp;MONEY(ABS(N31))&amp;IF(N31&lt;0," off"," to")&amp;" retail revenue this year, valued at each month's actual price."</f>
        <v>Weather took 212 GWh and $38.7M off retail revenue this year, valued at each month's actual price.</v>
      </c>
    </row>
    <row r="60" spans="2:18" ht="18" customHeight="1" x14ac:dyDescent="0.3">
      <c r="B60" s="7" t="s">
        <v>298</v>
      </c>
      <c r="C60" s="7"/>
      <c r="D60" s="7"/>
      <c r="E60" s="7"/>
      <c r="F60" s="7"/>
      <c r="G60" s="7"/>
      <c r="H60" s="7"/>
      <c r="I60" s="7"/>
      <c r="J60" s="7"/>
      <c r="K60" s="7"/>
      <c r="L60" s="7"/>
      <c r="M60" s="7"/>
      <c r="N60" s="7"/>
      <c r="O60" s="7"/>
      <c r="P60" s="7"/>
      <c r="Q60" s="7"/>
      <c r="R60" s="7"/>
    </row>
    <row r="61" spans="2:18" ht="52" x14ac:dyDescent="0.3">
      <c r="B61" s="64" t="s">
        <v>299</v>
      </c>
      <c r="C61" s="65" t="s">
        <v>300</v>
      </c>
      <c r="D61" s="65" t="s">
        <v>301</v>
      </c>
      <c r="E61" s="65" t="s">
        <v>302</v>
      </c>
      <c r="F61" s="65" t="s">
        <v>303</v>
      </c>
      <c r="G61" s="65" t="s">
        <v>304</v>
      </c>
      <c r="H61" s="65" t="s">
        <v>305</v>
      </c>
      <c r="I61" s="65" t="s">
        <v>306</v>
      </c>
      <c r="J61" s="65" t="s">
        <v>307</v>
      </c>
    </row>
    <row r="62" spans="2:18" x14ac:dyDescent="0.3">
      <c r="B62" s="79">
        <f>FitStart</f>
        <v>42736</v>
      </c>
      <c r="C62" s="80" cm="1">
        <f t="array" ref="C62">TRENDYEARS(B62)</f>
        <v>0</v>
      </c>
      <c r="D62" s="4">
        <f>_xlfn.XLOOKUP(B62,tbl_Weather[month],tbl_Weather[hdd],"")</f>
        <v>924</v>
      </c>
      <c r="E62" s="4">
        <f>_xlfn.XLOOKUP(B62,tbl_Weather[month],tbl_Weather[cdd],"")</f>
        <v>0</v>
      </c>
      <c r="F62" s="81" cm="1">
        <f t="array" ref="F62">IF(ISCLOSED(B62),SAFEDIV(SUMIFS(tbl_Monthly[mwh],tbl_Monthly[class],"residential",tbl_Monthly[month],B62),SUMIFS(tbl_Monthly[customers],tbl_Monthly[class],"residential",tbl_Monthly[month],B62)),"")</f>
        <v>1.3082339250790029</v>
      </c>
      <c r="G62" s="81" cm="1">
        <f t="array" ref="G62">IF(ISCLOSED(B62),SAFEDIV(SUMIFS(tbl_Monthly[mwh],tbl_Monthly[class],"commercial",tbl_Monthly[month],B62),SUMIFS(tbl_Monthly[customers],tbl_Monthly[class],"commercial",tbl_Monthly[month],B62)),"")</f>
        <v>5.4353454447480845</v>
      </c>
      <c r="H62" s="81">
        <f t="shared" ref="H62:H93" si="2">IF(ISNUMBER(D62),$C$6+$D$6*D62+$E$6*E62+$F$6*C62,"")</f>
        <v>1.1220843432796195</v>
      </c>
      <c r="I62" s="81">
        <f t="shared" ref="I62:I93" si="3">IF(ISNUMBER(D62),$C$7+$D$7*D62+$E$7*E62+$F$7*C62,"")</f>
        <v>5.4863288084325719</v>
      </c>
      <c r="J62" t="b">
        <f>AND(ISCLOSED(B62),YEAR(B62)&lt;FiscalYear)</f>
        <v>1</v>
      </c>
    </row>
    <row r="63" spans="2:18" x14ac:dyDescent="0.3">
      <c r="B63" s="79">
        <f t="shared" ref="B63:B94" si="4">EDATE(B62,1)</f>
        <v>42767</v>
      </c>
      <c r="C63" s="80" cm="1">
        <f t="array" ref="C63">TRENDYEARS(B63)</f>
        <v>8.3333333333333329E-2</v>
      </c>
      <c r="D63" s="4">
        <f>_xlfn.XLOOKUP(B63,tbl_Weather[month],tbl_Weather[hdd],"")</f>
        <v>680</v>
      </c>
      <c r="E63" s="4">
        <f>_xlfn.XLOOKUP(B63,tbl_Weather[month],tbl_Weather[cdd],"")</f>
        <v>0</v>
      </c>
      <c r="F63" s="81" cm="1">
        <f t="array" ref="F63">IF(ISCLOSED(B63),SAFEDIV(SUMIFS(tbl_Monthly[mwh],tbl_Monthly[class],"residential",tbl_Monthly[month],B63),SUMIFS(tbl_Monthly[customers],tbl_Monthly[class],"residential",tbl_Monthly[month],B63)),"")</f>
        <v>0.93255015797840413</v>
      </c>
      <c r="G63" s="81" cm="1">
        <f t="array" ref="G63">IF(ISCLOSED(B63),SAFEDIV(SUMIFS(tbl_Monthly[mwh],tbl_Monthly[class],"commercial",tbl_Monthly[month],B63),SUMIFS(tbl_Monthly[customers],tbl_Monthly[class],"commercial",tbl_Monthly[month],B63)),"")</f>
        <v>5.232409903502365</v>
      </c>
      <c r="H63" s="81">
        <f t="shared" si="2"/>
        <v>0.95611931225014457</v>
      </c>
      <c r="I63" s="81">
        <f t="shared" si="3"/>
        <v>5.3276184195640006</v>
      </c>
      <c r="J63" t="b">
        <f>AND(ISCLOSED(B63),YEAR(B63)&lt;FiscalYear)</f>
        <v>1</v>
      </c>
    </row>
    <row r="64" spans="2:18" x14ac:dyDescent="0.3">
      <c r="B64" s="79">
        <f t="shared" si="4"/>
        <v>42795</v>
      </c>
      <c r="C64" s="80" cm="1">
        <f t="array" ref="C64">TRENDYEARS(B64)</f>
        <v>0.16666666666666666</v>
      </c>
      <c r="D64" s="4">
        <f>_xlfn.XLOOKUP(B64,tbl_Weather[month],tbl_Weather[hdd],"")</f>
        <v>617</v>
      </c>
      <c r="E64" s="4">
        <f>_xlfn.XLOOKUP(B64,tbl_Weather[month],tbl_Weather[cdd],"")</f>
        <v>0</v>
      </c>
      <c r="F64" s="81" cm="1">
        <f t="array" ref="F64">IF(ISCLOSED(B64),SAFEDIV(SUMIFS(tbl_Monthly[mwh],tbl_Monthly[class],"residential",tbl_Monthly[month],B64),SUMIFS(tbl_Monthly[customers],tbl_Monthly[class],"residential",tbl_Monthly[month],B64)),"")</f>
        <v>0.90375568250689065</v>
      </c>
      <c r="G64" s="81" cm="1">
        <f t="array" ref="G64">IF(ISCLOSED(B64),SAFEDIV(SUMIFS(tbl_Monthly[mwh],tbl_Monthly[class],"commercial",tbl_Monthly[month],B64),SUMIFS(tbl_Monthly[customers],tbl_Monthly[class],"commercial",tbl_Monthly[month],B64)),"")</f>
        <v>5.5228367991070142</v>
      </c>
      <c r="H64" s="81">
        <f t="shared" si="2"/>
        <v>0.91280291770163413</v>
      </c>
      <c r="I64" s="81">
        <f t="shared" si="3"/>
        <v>5.2826205799206249</v>
      </c>
      <c r="J64" t="b">
        <f>AND(ISCLOSED(B64),YEAR(B64)&lt;FiscalYear)</f>
        <v>1</v>
      </c>
    </row>
    <row r="65" spans="2:10" x14ac:dyDescent="0.3">
      <c r="B65" s="79">
        <f t="shared" si="4"/>
        <v>42826</v>
      </c>
      <c r="C65" s="80" cm="1">
        <f t="array" ref="C65">TRENDYEARS(B65)</f>
        <v>0.25</v>
      </c>
      <c r="D65" s="4">
        <f>_xlfn.XLOOKUP(B65,tbl_Weather[month],tbl_Weather[hdd],"")</f>
        <v>531</v>
      </c>
      <c r="E65" s="4">
        <f>_xlfn.XLOOKUP(B65,tbl_Weather[month],tbl_Weather[cdd],"")</f>
        <v>0</v>
      </c>
      <c r="F65" s="81" cm="1">
        <f t="array" ref="F65">IF(ISCLOSED(B65),SAFEDIV(SUMIFS(tbl_Monthly[mwh],tbl_Monthly[class],"residential",tbl_Monthly[month],B65),SUMIFS(tbl_Monthly[customers],tbl_Monthly[class],"residential",tbl_Monthly[month],B65)),"")</f>
        <v>0.73774359676035817</v>
      </c>
      <c r="G65" s="81" cm="1">
        <f t="array" ref="G65">IF(ISCLOSED(B65),SAFEDIV(SUMIFS(tbl_Monthly[mwh],tbl_Monthly[class],"commercial",tbl_Monthly[month],B65),SUMIFS(tbl_Monthly[customers],tbl_Monthly[class],"commercial",tbl_Monthly[month],B65)),"")</f>
        <v>5.0677497191254002</v>
      </c>
      <c r="H65" s="81">
        <f t="shared" si="2"/>
        <v>0.85390133730195139</v>
      </c>
      <c r="I65" s="81">
        <f t="shared" si="3"/>
        <v>5.2231730793259814</v>
      </c>
      <c r="J65" t="b">
        <f>AND(ISCLOSED(B65),YEAR(B65)&lt;FiscalYear)</f>
        <v>1</v>
      </c>
    </row>
    <row r="66" spans="2:10" x14ac:dyDescent="0.3">
      <c r="B66" s="79">
        <f t="shared" si="4"/>
        <v>42856</v>
      </c>
      <c r="C66" s="80" cm="1">
        <f t="array" ref="C66">TRENDYEARS(B66)</f>
        <v>0.33333333333333331</v>
      </c>
      <c r="D66" s="4">
        <f>_xlfn.XLOOKUP(B66,tbl_Weather[month],tbl_Weather[hdd],"")</f>
        <v>275</v>
      </c>
      <c r="E66" s="4">
        <f>_xlfn.XLOOKUP(B66,tbl_Weather[month],tbl_Weather[cdd],"")</f>
        <v>5</v>
      </c>
      <c r="F66" s="81" cm="1">
        <f t="array" ref="F66">IF(ISCLOSED(B66),SAFEDIV(SUMIFS(tbl_Monthly[mwh],tbl_Monthly[class],"residential",tbl_Monthly[month],B66),SUMIFS(tbl_Monthly[customers],tbl_Monthly[class],"residential",tbl_Monthly[month],B66)),"")</f>
        <v>0.72638642165643241</v>
      </c>
      <c r="G66" s="81" cm="1">
        <f t="array" ref="G66">IF(ISCLOSED(B66),SAFEDIV(SUMIFS(tbl_Monthly[mwh],tbl_Monthly[class],"commercial",tbl_Monthly[month],B66),SUMIFS(tbl_Monthly[customers],tbl_Monthly[class],"commercial",tbl_Monthly[month],B66)),"")</f>
        <v>5.2761626197285834</v>
      </c>
      <c r="H66" s="81">
        <f t="shared" si="2"/>
        <v>0.69319450371382785</v>
      </c>
      <c r="I66" s="81">
        <f t="shared" si="3"/>
        <v>5.0937797705435814</v>
      </c>
      <c r="J66" t="b">
        <f>AND(ISCLOSED(B66),YEAR(B66)&lt;FiscalYear)</f>
        <v>1</v>
      </c>
    </row>
    <row r="67" spans="2:10" x14ac:dyDescent="0.3">
      <c r="B67" s="79">
        <f t="shared" si="4"/>
        <v>42887</v>
      </c>
      <c r="C67" s="80" cm="1">
        <f t="array" ref="C67">TRENDYEARS(B67)</f>
        <v>0.41666666666666669</v>
      </c>
      <c r="D67" s="4">
        <f>_xlfn.XLOOKUP(B67,tbl_Weather[month],tbl_Weather[hdd],"")</f>
        <v>133</v>
      </c>
      <c r="E67" s="4">
        <f>_xlfn.XLOOKUP(B67,tbl_Weather[month],tbl_Weather[cdd],"")</f>
        <v>19</v>
      </c>
      <c r="F67" s="81" cm="1">
        <f t="array" ref="F67">IF(ISCLOSED(B67),SAFEDIV(SUMIFS(tbl_Monthly[mwh],tbl_Monthly[class],"residential",tbl_Monthly[month],B67),SUMIFS(tbl_Monthly[customers],tbl_Monthly[class],"residential",tbl_Monthly[month],B67)),"")</f>
        <v>0.67114024705212949</v>
      </c>
      <c r="G67" s="81" cm="1">
        <f t="array" ref="G67">IF(ISCLOSED(B67),SAFEDIV(SUMIFS(tbl_Monthly[mwh],tbl_Monthly[class],"commercial",tbl_Monthly[month],B67),SUMIFS(tbl_Monthly[customers],tbl_Monthly[class],"commercial",tbl_Monthly[month],B67)),"")</f>
        <v>5.4361453306759158</v>
      </c>
      <c r="H67" s="81">
        <f t="shared" si="2"/>
        <v>0.63383726036443866</v>
      </c>
      <c r="I67" s="81">
        <f t="shared" si="3"/>
        <v>5.1023473809159352</v>
      </c>
      <c r="J67" t="b">
        <f>AND(ISCLOSED(B67),YEAR(B67)&lt;FiscalYear)</f>
        <v>1</v>
      </c>
    </row>
    <row r="68" spans="2:10" x14ac:dyDescent="0.3">
      <c r="B68" s="79">
        <f t="shared" si="4"/>
        <v>42917</v>
      </c>
      <c r="C68" s="80" cm="1">
        <f t="array" ref="C68">TRENDYEARS(B68)</f>
        <v>0.5</v>
      </c>
      <c r="D68" s="4">
        <f>_xlfn.XLOOKUP(B68,tbl_Weather[month],tbl_Weather[hdd],"")</f>
        <v>37</v>
      </c>
      <c r="E68" s="4">
        <f>_xlfn.XLOOKUP(B68,tbl_Weather[month],tbl_Weather[cdd],"")</f>
        <v>96</v>
      </c>
      <c r="F68" s="81" cm="1">
        <f t="array" ref="F68">IF(ISCLOSED(B68),SAFEDIV(SUMIFS(tbl_Monthly[mwh],tbl_Monthly[class],"residential",tbl_Monthly[month],B68),SUMIFS(tbl_Monthly[customers],tbl_Monthly[class],"residential",tbl_Monthly[month],B68)),"")</f>
        <v>0.77283544918932934</v>
      </c>
      <c r="G68" s="81" cm="1">
        <f t="array" ref="G68">IF(ISCLOSED(B68),SAFEDIV(SUMIFS(tbl_Monthly[mwh],tbl_Monthly[class],"commercial",tbl_Monthly[month],B68),SUMIFS(tbl_Monthly[customers],tbl_Monthly[class],"commercial",tbl_Monthly[month],B68)),"")</f>
        <v>5.7332837109056953</v>
      </c>
      <c r="H68" s="81">
        <f t="shared" si="2"/>
        <v>0.77435933303047189</v>
      </c>
      <c r="I68" s="81">
        <f t="shared" si="3"/>
        <v>5.6042003368779518</v>
      </c>
      <c r="J68" t="b">
        <f>AND(ISCLOSED(B68),YEAR(B68)&lt;FiscalYear)</f>
        <v>1</v>
      </c>
    </row>
    <row r="69" spans="2:10" x14ac:dyDescent="0.3">
      <c r="B69" s="79">
        <f t="shared" si="4"/>
        <v>42948</v>
      </c>
      <c r="C69" s="80" cm="1">
        <f t="array" ref="C69">TRENDYEARS(B69)</f>
        <v>0.58333333333333337</v>
      </c>
      <c r="D69" s="4">
        <f>_xlfn.XLOOKUP(B69,tbl_Weather[month],tbl_Weather[hdd],"")</f>
        <v>9</v>
      </c>
      <c r="E69" s="4">
        <f>_xlfn.XLOOKUP(B69,tbl_Weather[month],tbl_Weather[cdd],"")</f>
        <v>177</v>
      </c>
      <c r="F69" s="81" cm="1">
        <f t="array" ref="F69">IF(ISCLOSED(B69),SAFEDIV(SUMIFS(tbl_Monthly[mwh],tbl_Monthly[class],"residential",tbl_Monthly[month],B69),SUMIFS(tbl_Monthly[customers],tbl_Monthly[class],"residential",tbl_Monthly[month],B69)),"")</f>
        <v>0.89887262187813166</v>
      </c>
      <c r="G69" s="81" cm="1">
        <f t="array" ref="G69">IF(ISCLOSED(B69),SAFEDIV(SUMIFS(tbl_Monthly[mwh],tbl_Monthly[class],"commercial",tbl_Monthly[month],B69),SUMIFS(tbl_Monthly[customers],tbl_Monthly[class],"commercial",tbl_Monthly[month],B69)),"")</f>
        <v>6.2639553198420908</v>
      </c>
      <c r="H69" s="81">
        <f t="shared" si="2"/>
        <v>0.97167102547788908</v>
      </c>
      <c r="I69" s="81">
        <f t="shared" si="3"/>
        <v>6.1782588564662246</v>
      </c>
      <c r="J69" t="b">
        <f>AND(ISCLOSED(B69),YEAR(B69)&lt;FiscalYear)</f>
        <v>1</v>
      </c>
    </row>
    <row r="70" spans="2:10" x14ac:dyDescent="0.3">
      <c r="B70" s="79">
        <f t="shared" si="4"/>
        <v>42979</v>
      </c>
      <c r="C70" s="80" cm="1">
        <f t="array" ref="C70">TRENDYEARS(B70)</f>
        <v>0.66666666666666663</v>
      </c>
      <c r="D70" s="4">
        <f>_xlfn.XLOOKUP(B70,tbl_Weather[month],tbl_Weather[hdd],"")</f>
        <v>91</v>
      </c>
      <c r="E70" s="4">
        <f>_xlfn.XLOOKUP(B70,tbl_Weather[month],tbl_Weather[cdd],"")</f>
        <v>46</v>
      </c>
      <c r="F70" s="81" cm="1">
        <f t="array" ref="F70">IF(ISCLOSED(B70),SAFEDIV(SUMIFS(tbl_Monthly[mwh],tbl_Monthly[class],"residential",tbl_Monthly[month],B70),SUMIFS(tbl_Monthly[customers],tbl_Monthly[class],"residential",tbl_Monthly[month],B70)),"")</f>
        <v>0.70813210543403693</v>
      </c>
      <c r="G70" s="81" cm="1">
        <f t="array" ref="G70">IF(ISCLOSED(B70),SAFEDIV(SUMIFS(tbl_Monthly[mwh],tbl_Monthly[class],"commercial",tbl_Monthly[month],B70),SUMIFS(tbl_Monthly[customers],tbl_Monthly[class],"commercial",tbl_Monthly[month],B70)),"")</f>
        <v>5.3074118761844602</v>
      </c>
      <c r="H70" s="81">
        <f t="shared" si="2"/>
        <v>0.67580157608821556</v>
      </c>
      <c r="I70" s="81">
        <f t="shared" si="3"/>
        <v>5.258728624428457</v>
      </c>
      <c r="J70" t="b">
        <f>AND(ISCLOSED(B70),YEAR(B70)&lt;FiscalYear)</f>
        <v>1</v>
      </c>
    </row>
    <row r="71" spans="2:10" x14ac:dyDescent="0.3">
      <c r="B71" s="79">
        <f t="shared" si="4"/>
        <v>43009</v>
      </c>
      <c r="C71" s="80" cm="1">
        <f t="array" ref="C71">TRENDYEARS(B71)</f>
        <v>0.75</v>
      </c>
      <c r="D71" s="4">
        <f>_xlfn.XLOOKUP(B71,tbl_Weather[month],tbl_Weather[hdd],"")</f>
        <v>403</v>
      </c>
      <c r="E71" s="4">
        <f>_xlfn.XLOOKUP(B71,tbl_Weather[month],tbl_Weather[cdd],"")</f>
        <v>0</v>
      </c>
      <c r="F71" s="81" cm="1">
        <f t="array" ref="F71">IF(ISCLOSED(B71),SAFEDIV(SUMIFS(tbl_Monthly[mwh],tbl_Monthly[class],"residential",tbl_Monthly[month],B71),SUMIFS(tbl_Monthly[customers],tbl_Monthly[class],"residential",tbl_Monthly[month],B71)),"")</f>
        <v>0.66853480208935467</v>
      </c>
      <c r="G71" s="81" cm="1">
        <f t="array" ref="G71">IF(ISCLOSED(B71),SAFEDIV(SUMIFS(tbl_Monthly[mwh],tbl_Monthly[class],"commercial",tbl_Monthly[month],B71),SUMIFS(tbl_Monthly[customers],tbl_Monthly[class],"commercial",tbl_Monthly[month],B71)),"")</f>
        <v>5.3499350777137726</v>
      </c>
      <c r="H71" s="81">
        <f t="shared" si="2"/>
        <v>0.76340716404537001</v>
      </c>
      <c r="I71" s="81">
        <f t="shared" si="3"/>
        <v>5.1102475735447275</v>
      </c>
      <c r="J71" t="b">
        <f>AND(ISCLOSED(B71),YEAR(B71)&lt;FiscalYear)</f>
        <v>1</v>
      </c>
    </row>
    <row r="72" spans="2:10" x14ac:dyDescent="0.3">
      <c r="B72" s="79">
        <f t="shared" si="4"/>
        <v>43040</v>
      </c>
      <c r="C72" s="80" cm="1">
        <f t="array" ref="C72">TRENDYEARS(B72)</f>
        <v>0.83333333333333337</v>
      </c>
      <c r="D72" s="4">
        <f>_xlfn.XLOOKUP(B72,tbl_Weather[month],tbl_Weather[hdd],"")</f>
        <v>609</v>
      </c>
      <c r="E72" s="4">
        <f>_xlfn.XLOOKUP(B72,tbl_Weather[month],tbl_Weather[cdd],"")</f>
        <v>0</v>
      </c>
      <c r="F72" s="81" cm="1">
        <f t="array" ref="F72">IF(ISCLOSED(B72),SAFEDIV(SUMIFS(tbl_Monthly[mwh],tbl_Monthly[class],"residential",tbl_Monthly[month],B72),SUMIFS(tbl_Monthly[customers],tbl_Monthly[class],"residential",tbl_Monthly[month],B72)),"")</f>
        <v>0.86222176043718357</v>
      </c>
      <c r="G72" s="81" cm="1">
        <f t="array" ref="G72">IF(ISCLOSED(B72),SAFEDIV(SUMIFS(tbl_Monthly[mwh],tbl_Monthly[class],"commercial",tbl_Monthly[month],B72),SUMIFS(tbl_Monthly[customers],tbl_Monthly[class],"commercial",tbl_Monthly[month],B72)),"")</f>
        <v>5.3578263867665044</v>
      </c>
      <c r="H72" s="81">
        <f t="shared" si="2"/>
        <v>0.90236968227796133</v>
      </c>
      <c r="I72" s="81">
        <f t="shared" si="3"/>
        <v>5.2342479424183548</v>
      </c>
      <c r="J72" t="b">
        <f>AND(ISCLOSED(B72),YEAR(B72)&lt;FiscalYear)</f>
        <v>1</v>
      </c>
    </row>
    <row r="73" spans="2:10" x14ac:dyDescent="0.3">
      <c r="B73" s="79">
        <f t="shared" si="4"/>
        <v>43070</v>
      </c>
      <c r="C73" s="80" cm="1">
        <f t="array" ref="C73">TRENDYEARS(B73)</f>
        <v>0.91666666666666663</v>
      </c>
      <c r="D73" s="4">
        <f>_xlfn.XLOOKUP(B73,tbl_Weather[month],tbl_Weather[hdd],"")</f>
        <v>797</v>
      </c>
      <c r="E73" s="4">
        <f>_xlfn.XLOOKUP(B73,tbl_Weather[month],tbl_Weather[cdd],"")</f>
        <v>0</v>
      </c>
      <c r="F73" s="81" cm="1">
        <f t="array" ref="F73">IF(ISCLOSED(B73),SAFEDIV(SUMIFS(tbl_Monthly[mwh],tbl_Monthly[class],"residential",tbl_Monthly[month],B73),SUMIFS(tbl_Monthly[customers],tbl_Monthly[class],"residential",tbl_Monthly[month],B73)),"")</f>
        <v>1.1497487640349826</v>
      </c>
      <c r="G73" s="81" cm="1">
        <f t="array" ref="G73">IF(ISCLOSED(B73),SAFEDIV(SUMIFS(tbl_Monthly[mwh],tbl_Monthly[class],"commercial",tbl_Monthly[month],B73),SUMIFS(tbl_Monthly[customers],tbl_Monthly[class],"commercial",tbl_Monthly[month],B73)),"")</f>
        <v>5.7969934248768356</v>
      </c>
      <c r="H73" s="81">
        <f t="shared" si="2"/>
        <v>1.02913509854007</v>
      </c>
      <c r="I73" s="81">
        <f t="shared" si="3"/>
        <v>5.3469398809822959</v>
      </c>
      <c r="J73" t="b">
        <f>AND(ISCLOSED(B73),YEAR(B73)&lt;FiscalYear)</f>
        <v>1</v>
      </c>
    </row>
    <row r="74" spans="2:10" x14ac:dyDescent="0.3">
      <c r="B74" s="79">
        <f t="shared" si="4"/>
        <v>43101</v>
      </c>
      <c r="C74" s="80" cm="1">
        <f t="array" ref="C74">TRENDYEARS(B74)</f>
        <v>1</v>
      </c>
      <c r="D74" s="4">
        <f>_xlfn.XLOOKUP(B74,tbl_Weather[month],tbl_Weather[hdd],"")</f>
        <v>670</v>
      </c>
      <c r="E74" s="4">
        <f>_xlfn.XLOOKUP(B74,tbl_Weather[month],tbl_Weather[cdd],"")</f>
        <v>0</v>
      </c>
      <c r="F74" s="81" cm="1">
        <f t="array" ref="F74">IF(ISCLOSED(B74),SAFEDIV(SUMIFS(tbl_Monthly[mwh],tbl_Monthly[class],"residential",tbl_Monthly[month],B74),SUMIFS(tbl_Monthly[customers],tbl_Monthly[class],"residential",tbl_Monthly[month],B74)),"")</f>
        <v>1.0189858817095085</v>
      </c>
      <c r="G74" s="81" cm="1">
        <f t="array" ref="G74">IF(ISCLOSED(B74),SAFEDIV(SUMIFS(tbl_Monthly[mwh],tbl_Monthly[class],"commercial",tbl_Monthly[month],B74),SUMIFS(tbl_Monthly[customers],tbl_Monthly[class],"commercial",tbl_Monthly[month],B74)),"")</f>
        <v>4.7515755964124704</v>
      </c>
      <c r="H74" s="81">
        <f t="shared" si="2"/>
        <v>0.94245123031873246</v>
      </c>
      <c r="I74" s="81">
        <f t="shared" si="3"/>
        <v>5.2617342891266965</v>
      </c>
      <c r="J74" t="b">
        <f>AND(ISCLOSED(B74),YEAR(B74)&lt;FiscalYear)</f>
        <v>1</v>
      </c>
    </row>
    <row r="75" spans="2:10" x14ac:dyDescent="0.3">
      <c r="B75" s="79">
        <f t="shared" si="4"/>
        <v>43132</v>
      </c>
      <c r="C75" s="80" cm="1">
        <f t="array" ref="C75">TRENDYEARS(B75)</f>
        <v>1.0833333333333333</v>
      </c>
      <c r="D75" s="4">
        <f>_xlfn.XLOOKUP(B75,tbl_Weather[month],tbl_Weather[hdd],"")</f>
        <v>697</v>
      </c>
      <c r="E75" s="4">
        <f>_xlfn.XLOOKUP(B75,tbl_Weather[month],tbl_Weather[cdd],"")</f>
        <v>0</v>
      </c>
      <c r="F75" s="81" cm="1">
        <f t="array" ref="F75">IF(ISCLOSED(B75),SAFEDIV(SUMIFS(tbl_Monthly[mwh],tbl_Monthly[class],"residential",tbl_Monthly[month],B75),SUMIFS(tbl_Monthly[customers],tbl_Monthly[class],"residential",tbl_Monthly[month],B75)),"")</f>
        <v>0.86804717541863108</v>
      </c>
      <c r="G75" s="81" cm="1">
        <f t="array" ref="G75">IF(ISCLOSED(B75),SAFEDIV(SUMIFS(tbl_Monthly[mwh],tbl_Monthly[class],"commercial",tbl_Monthly[month],B75),SUMIFS(tbl_Monthly[customers],tbl_Monthly[class],"commercial",tbl_Monthly[month],B75)),"")</f>
        <v>5.3693145602435424</v>
      </c>
      <c r="H75" s="81">
        <f t="shared" si="2"/>
        <v>0.96012034562263515</v>
      </c>
      <c r="I75" s="81">
        <f t="shared" si="3"/>
        <v>5.2732786010317607</v>
      </c>
      <c r="J75" t="b">
        <f>AND(ISCLOSED(B75),YEAR(B75)&lt;FiscalYear)</f>
        <v>1</v>
      </c>
    </row>
    <row r="76" spans="2:10" x14ac:dyDescent="0.3">
      <c r="B76" s="79">
        <f t="shared" si="4"/>
        <v>43160</v>
      </c>
      <c r="C76" s="80" cm="1">
        <f t="array" ref="C76">TRENDYEARS(B76)</f>
        <v>1.1666666666666667</v>
      </c>
      <c r="D76" s="4">
        <f>_xlfn.XLOOKUP(B76,tbl_Weather[month],tbl_Weather[hdd],"")</f>
        <v>666</v>
      </c>
      <c r="E76" s="4">
        <f>_xlfn.XLOOKUP(B76,tbl_Weather[month],tbl_Weather[cdd],"")</f>
        <v>0</v>
      </c>
      <c r="F76" s="81" cm="1">
        <f t="array" ref="F76">IF(ISCLOSED(B76),SAFEDIV(SUMIFS(tbl_Monthly[mwh],tbl_Monthly[class],"residential",tbl_Monthly[month],B76),SUMIFS(tbl_Monthly[customers],tbl_Monthly[class],"residential",tbl_Monthly[month],B76)),"")</f>
        <v>0.88752795570005838</v>
      </c>
      <c r="G76" s="81" cm="1">
        <f t="array" ref="G76">IF(ISCLOSED(B76),SAFEDIV(SUMIFS(tbl_Monthly[mwh],tbl_Monthly[class],"commercial",tbl_Monthly[month],B76),SUMIFS(tbl_Monthly[customers],tbl_Monthly[class],"commercial",tbl_Monthly[month],B76)),"")</f>
        <v>4.9475237451700709</v>
      </c>
      <c r="H76" s="81">
        <f t="shared" si="2"/>
        <v>0.93848768791053838</v>
      </c>
      <c r="I76" s="81">
        <f t="shared" si="3"/>
        <v>5.2483846374944969</v>
      </c>
      <c r="J76" t="b">
        <f>AND(ISCLOSED(B76),YEAR(B76)&lt;FiscalYear)</f>
        <v>1</v>
      </c>
    </row>
    <row r="77" spans="2:10" x14ac:dyDescent="0.3">
      <c r="B77" s="79">
        <f t="shared" si="4"/>
        <v>43191</v>
      </c>
      <c r="C77" s="80" cm="1">
        <f t="array" ref="C77">TRENDYEARS(B77)</f>
        <v>1.25</v>
      </c>
      <c r="D77" s="4">
        <f>_xlfn.XLOOKUP(B77,tbl_Weather[month],tbl_Weather[hdd],"")</f>
        <v>474</v>
      </c>
      <c r="E77" s="4">
        <f>_xlfn.XLOOKUP(B77,tbl_Weather[month],tbl_Weather[cdd],"")</f>
        <v>0</v>
      </c>
      <c r="F77" s="81" cm="1">
        <f t="array" ref="F77">IF(ISCLOSED(B77),SAFEDIV(SUMIFS(tbl_Monthly[mwh],tbl_Monthly[class],"residential",tbl_Monthly[month],B77),SUMIFS(tbl_Monthly[customers],tbl_Monthly[class],"residential",tbl_Monthly[month],B77)),"")</f>
        <v>0.77710293545273379</v>
      </c>
      <c r="G77" s="81" cm="1">
        <f t="array" ref="G77">IF(ISCLOSED(B77),SAFEDIV(SUMIFS(tbl_Monthly[mwh],tbl_Monthly[class],"commercial",tbl_Monthly[month],B77),SUMIFS(tbl_Monthly[customers],tbl_Monthly[class],"commercial",tbl_Monthly[month],B77)),"")</f>
        <v>5.1420853188540621</v>
      </c>
      <c r="H77" s="81">
        <f t="shared" si="2"/>
        <v>0.80775872924023562</v>
      </c>
      <c r="I77" s="81">
        <f t="shared" si="3"/>
        <v>5.122343047298358</v>
      </c>
      <c r="J77" t="b">
        <f>AND(ISCLOSED(B77),YEAR(B77)&lt;FiscalYear)</f>
        <v>1</v>
      </c>
    </row>
    <row r="78" spans="2:10" x14ac:dyDescent="0.3">
      <c r="B78" s="79">
        <f t="shared" si="4"/>
        <v>43221</v>
      </c>
      <c r="C78" s="80" cm="1">
        <f t="array" ref="C78">TRENDYEARS(B78)</f>
        <v>1.3333333333333333</v>
      </c>
      <c r="D78" s="4">
        <f>_xlfn.XLOOKUP(B78,tbl_Weather[month],tbl_Weather[hdd],"")</f>
        <v>238</v>
      </c>
      <c r="E78" s="4">
        <f>_xlfn.XLOOKUP(B78,tbl_Weather[month],tbl_Weather[cdd],"")</f>
        <v>9</v>
      </c>
      <c r="F78" s="81" cm="1">
        <f t="array" ref="F78">IF(ISCLOSED(B78),SAFEDIV(SUMIFS(tbl_Monthly[mwh],tbl_Monthly[class],"residential",tbl_Monthly[month],B78),SUMIFS(tbl_Monthly[customers],tbl_Monthly[class],"residential",tbl_Monthly[month],B78)),"")</f>
        <v>0.66505878763400195</v>
      </c>
      <c r="G78" s="81" cm="1">
        <f t="array" ref="G78">IF(ISCLOSED(B78),SAFEDIV(SUMIFS(tbl_Monthly[mwh],tbl_Monthly[class],"commercial",tbl_Monthly[month],B78),SUMIFS(tbl_Monthly[customers],tbl_Monthly[class],"commercial",tbl_Monthly[month],B78)),"")</f>
        <v>4.6027045156624329</v>
      </c>
      <c r="H78" s="81">
        <f t="shared" si="2"/>
        <v>0.67131591017887537</v>
      </c>
      <c r="I78" s="81">
        <f t="shared" si="3"/>
        <v>5.034999487983046</v>
      </c>
      <c r="J78" t="b">
        <f>AND(ISCLOSED(B78),YEAR(B78)&lt;FiscalYear)</f>
        <v>1</v>
      </c>
    </row>
    <row r="79" spans="2:10" x14ac:dyDescent="0.3">
      <c r="B79" s="79">
        <f t="shared" si="4"/>
        <v>43252</v>
      </c>
      <c r="C79" s="80" cm="1">
        <f t="array" ref="C79">TRENDYEARS(B79)</f>
        <v>1.4166666666666667</v>
      </c>
      <c r="D79" s="4">
        <f>_xlfn.XLOOKUP(B79,tbl_Weather[month],tbl_Weather[hdd],"")</f>
        <v>149</v>
      </c>
      <c r="E79" s="4">
        <f>_xlfn.XLOOKUP(B79,tbl_Weather[month],tbl_Weather[cdd],"")</f>
        <v>14</v>
      </c>
      <c r="F79" s="81" cm="1">
        <f t="array" ref="F79">IF(ISCLOSED(B79),SAFEDIV(SUMIFS(tbl_Monthly[mwh],tbl_Monthly[class],"residential",tbl_Monthly[month],B79),SUMIFS(tbl_Monthly[customers],tbl_Monthly[class],"residential",tbl_Monthly[month],B79)),"")</f>
        <v>0.60125136582679506</v>
      </c>
      <c r="G79" s="81" cm="1">
        <f t="array" ref="G79">IF(ISCLOSED(B79),SAFEDIV(SUMIFS(tbl_Monthly[mwh],tbl_Monthly[class],"commercial",tbl_Monthly[month],B79),SUMIFS(tbl_Monthly[customers],tbl_Monthly[class],"commercial",tbl_Monthly[month],B79)),"")</f>
        <v>4.9673393816582729</v>
      </c>
      <c r="H79" s="81">
        <f t="shared" si="2"/>
        <v>0.62377107820578503</v>
      </c>
      <c r="I79" s="81">
        <f t="shared" si="3"/>
        <v>5.0105232826294177</v>
      </c>
      <c r="J79" t="b">
        <f>AND(ISCLOSED(B79),YEAR(B79)&lt;FiscalYear)</f>
        <v>1</v>
      </c>
    </row>
    <row r="80" spans="2:10" x14ac:dyDescent="0.3">
      <c r="B80" s="79">
        <f t="shared" si="4"/>
        <v>43282</v>
      </c>
      <c r="C80" s="80" cm="1">
        <f t="array" ref="C80">TRENDYEARS(B80)</f>
        <v>1.5</v>
      </c>
      <c r="D80" s="4">
        <f>_xlfn.XLOOKUP(B80,tbl_Weather[month],tbl_Weather[hdd],"")</f>
        <v>17</v>
      </c>
      <c r="E80" s="4">
        <f>_xlfn.XLOOKUP(B80,tbl_Weather[month],tbl_Weather[cdd],"")</f>
        <v>141</v>
      </c>
      <c r="F80" s="81" cm="1">
        <f t="array" ref="F80">IF(ISCLOSED(B80),SAFEDIV(SUMIFS(tbl_Monthly[mwh],tbl_Monthly[class],"residential",tbl_Monthly[month],B80),SUMIFS(tbl_Monthly[customers],tbl_Monthly[class],"residential",tbl_Monthly[month],B80)),"")</f>
        <v>0.78315644318133337</v>
      </c>
      <c r="G80" s="81" cm="1">
        <f t="array" ref="G80">IF(ISCLOSED(B80),SAFEDIV(SUMIFS(tbl_Monthly[mwh],tbl_Monthly[class],"commercial",tbl_Monthly[month],B80),SUMIFS(tbl_Monthly[customers],tbl_Monthly[class],"commercial",tbl_Monthly[month],B80)),"")</f>
        <v>6.1240131423661923</v>
      </c>
      <c r="H80" s="81">
        <f t="shared" si="2"/>
        <v>0.87379493448091505</v>
      </c>
      <c r="I80" s="81">
        <f t="shared" si="3"/>
        <v>5.8583197142316807</v>
      </c>
      <c r="J80" t="b">
        <f>AND(ISCLOSED(B80),YEAR(B80)&lt;FiscalYear)</f>
        <v>1</v>
      </c>
    </row>
    <row r="81" spans="2:10" x14ac:dyDescent="0.3">
      <c r="B81" s="79">
        <f t="shared" si="4"/>
        <v>43313</v>
      </c>
      <c r="C81" s="80" cm="1">
        <f t="array" ref="C81">TRENDYEARS(B81)</f>
        <v>1.5833333333333335</v>
      </c>
      <c r="D81" s="4">
        <f>_xlfn.XLOOKUP(B81,tbl_Weather[month],tbl_Weather[hdd],"")</f>
        <v>29</v>
      </c>
      <c r="E81" s="4">
        <f>_xlfn.XLOOKUP(B81,tbl_Weather[month],tbl_Weather[cdd],"")</f>
        <v>107</v>
      </c>
      <c r="F81" s="81" cm="1">
        <f t="array" ref="F81">IF(ISCLOSED(B81),SAFEDIV(SUMIFS(tbl_Monthly[mwh],tbl_Monthly[class],"residential",tbl_Monthly[month],B81),SUMIFS(tbl_Monthly[customers],tbl_Monthly[class],"residential",tbl_Monthly[month],B81)),"")</f>
        <v>0.80870391048468526</v>
      </c>
      <c r="G81" s="81" cm="1">
        <f t="array" ref="G81">IF(ISCLOSED(B81),SAFEDIV(SUMIFS(tbl_Monthly[mwh],tbl_Monthly[class],"commercial",tbl_Monthly[month],B81),SUMIFS(tbl_Monthly[customers],tbl_Monthly[class],"commercial",tbl_Monthly[month],B81)),"")</f>
        <v>5.8731842525337443</v>
      </c>
      <c r="H81" s="81">
        <f t="shared" si="2"/>
        <v>0.79025052660870687</v>
      </c>
      <c r="I81" s="81">
        <f t="shared" si="3"/>
        <v>5.6098193055554599</v>
      </c>
      <c r="J81" t="b">
        <f>AND(ISCLOSED(B81),YEAR(B81)&lt;FiscalYear)</f>
        <v>1</v>
      </c>
    </row>
    <row r="82" spans="2:10" x14ac:dyDescent="0.3">
      <c r="B82" s="79">
        <f t="shared" si="4"/>
        <v>43344</v>
      </c>
      <c r="C82" s="80" cm="1">
        <f t="array" ref="C82">TRENDYEARS(B82)</f>
        <v>1.6666666666666665</v>
      </c>
      <c r="D82" s="4">
        <f>_xlfn.XLOOKUP(B82,tbl_Weather[month],tbl_Weather[hdd],"")</f>
        <v>162</v>
      </c>
      <c r="E82" s="4">
        <f>_xlfn.XLOOKUP(B82,tbl_Weather[month],tbl_Weather[cdd],"")</f>
        <v>15</v>
      </c>
      <c r="F82" s="81" cm="1">
        <f t="array" ref="F82">IF(ISCLOSED(B82),SAFEDIV(SUMIFS(tbl_Monthly[mwh],tbl_Monthly[class],"residential",tbl_Monthly[month],B82),SUMIFS(tbl_Monthly[customers],tbl_Monthly[class],"residential",tbl_Monthly[month],B82)),"")</f>
        <v>0.62376492767916281</v>
      </c>
      <c r="G82" s="81" cm="1">
        <f t="array" ref="G82">IF(ISCLOSED(B82),SAFEDIV(SUMIFS(tbl_Monthly[mwh],tbl_Monthly[class],"commercial",tbl_Monthly[month],B82),SUMIFS(tbl_Monthly[customers],tbl_Monthly[class],"commercial",tbl_Monthly[month],B82)),"")</f>
        <v>5.2784769887258607</v>
      </c>
      <c r="H82" s="81">
        <f t="shared" si="2"/>
        <v>0.63337840309111582</v>
      </c>
      <c r="I82" s="81">
        <f t="shared" si="3"/>
        <v>5.0098066883443151</v>
      </c>
      <c r="J82" t="b">
        <f>AND(ISCLOSED(B82),YEAR(B82)&lt;FiscalYear)</f>
        <v>1</v>
      </c>
    </row>
    <row r="83" spans="2:10" x14ac:dyDescent="0.3">
      <c r="B83" s="79">
        <f t="shared" si="4"/>
        <v>43374</v>
      </c>
      <c r="C83" s="80" cm="1">
        <f t="array" ref="C83">TRENDYEARS(B83)</f>
        <v>1.75</v>
      </c>
      <c r="D83" s="4">
        <f>_xlfn.XLOOKUP(B83,tbl_Weather[month],tbl_Weather[hdd],"")</f>
        <v>338</v>
      </c>
      <c r="E83" s="4">
        <f>_xlfn.XLOOKUP(B83,tbl_Weather[month],tbl_Weather[cdd],"")</f>
        <v>0</v>
      </c>
      <c r="F83" s="81" cm="1">
        <f t="array" ref="F83">IF(ISCLOSED(B83),SAFEDIV(SUMIFS(tbl_Monthly[mwh],tbl_Monthly[class],"residential",tbl_Monthly[month],B83),SUMIFS(tbl_Monthly[customers],tbl_Monthly[class],"residential",tbl_Monthly[month],B83)),"")</f>
        <v>0.64622573631560731</v>
      </c>
      <c r="G83" s="81" cm="1">
        <f t="array" ref="G83">IF(ISCLOSED(B83),SAFEDIV(SUMIFS(tbl_Monthly[mwh],tbl_Monthly[class],"commercial",tbl_Monthly[month],B83),SUMIFS(tbl_Monthly[customers],tbl_Monthly[class],"commercial",tbl_Monthly[month],B83)),"")</f>
        <v>5.630944292772325</v>
      </c>
      <c r="H83" s="81">
        <f t="shared" si="2"/>
        <v>0.71184362177455085</v>
      </c>
      <c r="I83" s="81">
        <f t="shared" si="3"/>
        <v>5.0043915724905759</v>
      </c>
      <c r="J83" t="b">
        <f>AND(ISCLOSED(B83),YEAR(B83)&lt;FiscalYear)</f>
        <v>1</v>
      </c>
    </row>
    <row r="84" spans="2:10" x14ac:dyDescent="0.3">
      <c r="B84" s="79">
        <f t="shared" si="4"/>
        <v>43405</v>
      </c>
      <c r="C84" s="80" cm="1">
        <f t="array" ref="C84">TRENDYEARS(B84)</f>
        <v>1.8333333333333335</v>
      </c>
      <c r="D84" s="4">
        <f>_xlfn.XLOOKUP(B84,tbl_Weather[month],tbl_Weather[hdd],"")</f>
        <v>573</v>
      </c>
      <c r="E84" s="4">
        <f>_xlfn.XLOOKUP(B84,tbl_Weather[month],tbl_Weather[cdd],"")</f>
        <v>0</v>
      </c>
      <c r="F84" s="81" cm="1">
        <f t="array" ref="F84">IF(ISCLOSED(B84),SAFEDIV(SUMIFS(tbl_Monthly[mwh],tbl_Monthly[class],"residential",tbl_Monthly[month],B84),SUMIFS(tbl_Monthly[customers],tbl_Monthly[class],"residential",tbl_Monthly[month],B84)),"")</f>
        <v>0.80939240940343027</v>
      </c>
      <c r="G84" s="81" cm="1">
        <f t="array" ref="G84">IF(ISCLOSED(B84),SAFEDIV(SUMIFS(tbl_Monthly[mwh],tbl_Monthly[class],"commercial",tbl_Monthly[month],B84),SUMIFS(tbl_Monthly[customers],tbl_Monthly[class],"commercial",tbl_Monthly[month],B84)),"")</f>
        <v>4.9893624214950183</v>
      </c>
      <c r="H84" s="81">
        <f t="shared" si="2"/>
        <v>0.87045702651514201</v>
      </c>
      <c r="I84" s="81">
        <f t="shared" si="3"/>
        <v>5.1466110790853667</v>
      </c>
      <c r="J84" t="b">
        <f>AND(ISCLOSED(B84),YEAR(B84)&lt;FiscalYear)</f>
        <v>1</v>
      </c>
    </row>
    <row r="85" spans="2:10" x14ac:dyDescent="0.3">
      <c r="B85" s="79">
        <f t="shared" si="4"/>
        <v>43435</v>
      </c>
      <c r="C85" s="80" cm="1">
        <f t="array" ref="C85">TRENDYEARS(B85)</f>
        <v>1.9166666666666665</v>
      </c>
      <c r="D85" s="4">
        <f>_xlfn.XLOOKUP(B85,tbl_Weather[month],tbl_Weather[hdd],"")</f>
        <v>750</v>
      </c>
      <c r="E85" s="4">
        <f>_xlfn.XLOOKUP(B85,tbl_Weather[month],tbl_Weather[cdd],"")</f>
        <v>0</v>
      </c>
      <c r="F85" s="81" cm="1">
        <f t="array" ref="F85">IF(ISCLOSED(B85),SAFEDIV(SUMIFS(tbl_Monthly[mwh],tbl_Monthly[class],"residential",tbl_Monthly[month],B85),SUMIFS(tbl_Monthly[customers],tbl_Monthly[class],"residential",tbl_Monthly[month],B85)),"")</f>
        <v>1.0697669964326526</v>
      </c>
      <c r="G85" s="81" cm="1">
        <f t="array" ref="G85">IF(ISCLOSED(B85),SAFEDIV(SUMIFS(tbl_Monthly[mwh],tbl_Monthly[class],"commercial",tbl_Monthly[month],B85),SUMIFS(tbl_Monthly[customers],tbl_Monthly[class],"commercial",tbl_Monthly[month],B85)),"")</f>
        <v>5.1032125920694176</v>
      </c>
      <c r="H85" s="81">
        <f t="shared" si="2"/>
        <v>0.98976865823973337</v>
      </c>
      <c r="I85" s="81">
        <f t="shared" si="3"/>
        <v>5.2523923102378305</v>
      </c>
      <c r="J85" t="b">
        <f>AND(ISCLOSED(B85),YEAR(B85)&lt;FiscalYear)</f>
        <v>1</v>
      </c>
    </row>
    <row r="86" spans="2:10" x14ac:dyDescent="0.3">
      <c r="B86" s="79">
        <f t="shared" si="4"/>
        <v>43466</v>
      </c>
      <c r="C86" s="80" cm="1">
        <f t="array" ref="C86">TRENDYEARS(B86)</f>
        <v>2</v>
      </c>
      <c r="D86" s="4">
        <f>_xlfn.XLOOKUP(B86,tbl_Weather[month],tbl_Weather[hdd],"")</f>
        <v>716</v>
      </c>
      <c r="E86" s="4">
        <f>_xlfn.XLOOKUP(B86,tbl_Weather[month],tbl_Weather[cdd],"")</f>
        <v>0</v>
      </c>
      <c r="F86" s="81" cm="1">
        <f t="array" ref="F86">IF(ISCLOSED(B86),SAFEDIV(SUMIFS(tbl_Monthly[mwh],tbl_Monthly[class],"residential",tbl_Monthly[month],B86),SUMIFS(tbl_Monthly[customers],tbl_Monthly[class],"residential",tbl_Monthly[month],B86)),"")</f>
        <v>0.99029453846956561</v>
      </c>
      <c r="G86" s="81" cm="1">
        <f t="array" ref="G86">IF(ISCLOSED(B86),SAFEDIV(SUMIFS(tbl_Monthly[mwh],tbl_Monthly[class],"commercial",tbl_Monthly[month],B86),SUMIFS(tbl_Monthly[customers],tbl_Monthly[class],"commercial",tbl_Monthly[month],B86)),"")</f>
        <v>5.0912466614892127</v>
      </c>
      <c r="H86" s="81">
        <f t="shared" si="2"/>
        <v>0.96610315019922288</v>
      </c>
      <c r="I86" s="81">
        <f t="shared" si="3"/>
        <v>5.2256136083156193</v>
      </c>
      <c r="J86" t="b">
        <f>AND(ISCLOSED(B86),YEAR(B86)&lt;FiscalYear)</f>
        <v>1</v>
      </c>
    </row>
    <row r="87" spans="2:10" x14ac:dyDescent="0.3">
      <c r="B87" s="79">
        <f t="shared" si="4"/>
        <v>43497</v>
      </c>
      <c r="C87" s="80" cm="1">
        <f t="array" ref="C87">TRENDYEARS(B87)</f>
        <v>2.0833333333333335</v>
      </c>
      <c r="D87" s="4">
        <f>_xlfn.XLOOKUP(B87,tbl_Weather[month],tbl_Weather[hdd],"")</f>
        <v>823</v>
      </c>
      <c r="E87" s="4">
        <f>_xlfn.XLOOKUP(B87,tbl_Weather[month],tbl_Weather[cdd],"")</f>
        <v>0</v>
      </c>
      <c r="F87" s="81" cm="1">
        <f t="array" ref="F87">IF(ISCLOSED(B87),SAFEDIV(SUMIFS(tbl_Monthly[mwh],tbl_Monthly[class],"residential",tbl_Monthly[month],B87),SUMIFS(tbl_Monthly[customers],tbl_Monthly[class],"residential",tbl_Monthly[month],B87)),"")</f>
        <v>0.99753009605370346</v>
      </c>
      <c r="G87" s="81" cm="1">
        <f t="array" ref="G87">IF(ISCLOSED(B87),SAFEDIV(SUMIFS(tbl_Monthly[mwh],tbl_Monthly[class],"commercial",tbl_Monthly[month],B87),SUMIFS(tbl_Monthly[customers],tbl_Monthly[class],"commercial",tbl_Monthly[month],B87)),"")</f>
        <v>5.3179761518386712</v>
      </c>
      <c r="H87" s="81">
        <f t="shared" si="2"/>
        <v>1.0379816075941597</v>
      </c>
      <c r="I87" s="81">
        <f t="shared" si="3"/>
        <v>5.2874176104859636</v>
      </c>
      <c r="J87" t="b">
        <f>AND(ISCLOSED(B87),YEAR(B87)&lt;FiscalYear)</f>
        <v>1</v>
      </c>
    </row>
    <row r="88" spans="2:10" x14ac:dyDescent="0.3">
      <c r="B88" s="79">
        <f t="shared" si="4"/>
        <v>43525</v>
      </c>
      <c r="C88" s="80" cm="1">
        <f t="array" ref="C88">TRENDYEARS(B88)</f>
        <v>2.1666666666666665</v>
      </c>
      <c r="D88" s="4">
        <f>_xlfn.XLOOKUP(B88,tbl_Weather[month],tbl_Weather[hdd],"")</f>
        <v>660</v>
      </c>
      <c r="E88" s="4">
        <f>_xlfn.XLOOKUP(B88,tbl_Weather[month],tbl_Weather[cdd],"")</f>
        <v>0</v>
      </c>
      <c r="F88" s="81" cm="1">
        <f t="array" ref="F88">IF(ISCLOSED(B88),SAFEDIV(SUMIFS(tbl_Monthly[mwh],tbl_Monthly[class],"residential",tbl_Monthly[month],B88),SUMIFS(tbl_Monthly[customers],tbl_Monthly[class],"residential",tbl_Monthly[month],B88)),"")</f>
        <v>0.91919436209617678</v>
      </c>
      <c r="G88" s="81" cm="1">
        <f t="array" ref="G88">IF(ISCLOSED(B88),SAFEDIV(SUMIFS(tbl_Monthly[mwh],tbl_Monthly[class],"commercial",tbl_Monthly[month],B88),SUMIFS(tbl_Monthly[customers],tbl_Monthly[class],"commercial",tbl_Monthly[month],B88)),"")</f>
        <v>5.0196441849222229</v>
      </c>
      <c r="H88" s="81">
        <f t="shared" si="2"/>
        <v>0.92690353543185677</v>
      </c>
      <c r="I88" s="81">
        <f t="shared" si="3"/>
        <v>5.1795951580109874</v>
      </c>
      <c r="J88" t="b">
        <f>AND(ISCLOSED(B88),YEAR(B88)&lt;FiscalYear)</f>
        <v>1</v>
      </c>
    </row>
    <row r="89" spans="2:10" x14ac:dyDescent="0.3">
      <c r="B89" s="79">
        <f t="shared" si="4"/>
        <v>43556</v>
      </c>
      <c r="C89" s="80" cm="1">
        <f t="array" ref="C89">TRENDYEARS(B89)</f>
        <v>2.25</v>
      </c>
      <c r="D89" s="4">
        <f>_xlfn.XLOOKUP(B89,tbl_Weather[month],tbl_Weather[hdd],"")</f>
        <v>447</v>
      </c>
      <c r="E89" s="4">
        <f>_xlfn.XLOOKUP(B89,tbl_Weather[month],tbl_Weather[cdd],"")</f>
        <v>0</v>
      </c>
      <c r="F89" s="81" cm="1">
        <f t="array" ref="F89">IF(ISCLOSED(B89),SAFEDIV(SUMIFS(tbl_Monthly[mwh],tbl_Monthly[class],"residential",tbl_Monthly[month],B89),SUMIFS(tbl_Monthly[customers],tbl_Monthly[class],"residential",tbl_Monthly[month],B89)),"")</f>
        <v>0.66108761850117004</v>
      </c>
      <c r="G89" s="81" cm="1">
        <f t="array" ref="G89">IF(ISCLOSED(B89),SAFEDIV(SUMIFS(tbl_Monthly[mwh],tbl_Monthly[class],"commercial",tbl_Monthly[month],B89),SUMIFS(tbl_Monthly[customers],tbl_Monthly[class],"commercial",tbl_Monthly[month],B89)),"")</f>
        <v>4.9283826323705799</v>
      </c>
      <c r="H89" s="81">
        <f t="shared" si="2"/>
        <v>0.78194462446265767</v>
      </c>
      <c r="I89" s="81">
        <f t="shared" si="3"/>
        <v>5.0403603991202131</v>
      </c>
      <c r="J89" t="b">
        <f>AND(ISCLOSED(B89),YEAR(B89)&lt;FiscalYear)</f>
        <v>1</v>
      </c>
    </row>
    <row r="90" spans="2:10" x14ac:dyDescent="0.3">
      <c r="B90" s="79">
        <f t="shared" si="4"/>
        <v>43586</v>
      </c>
      <c r="C90" s="80" cm="1">
        <f t="array" ref="C90">TRENDYEARS(B90)</f>
        <v>2.3333333333333335</v>
      </c>
      <c r="D90" s="4">
        <f>_xlfn.XLOOKUP(B90,tbl_Weather[month],tbl_Weather[hdd],"")</f>
        <v>258</v>
      </c>
      <c r="E90" s="4">
        <f>_xlfn.XLOOKUP(B90,tbl_Weather[month],tbl_Weather[cdd],"")</f>
        <v>7</v>
      </c>
      <c r="F90" s="81" cm="1">
        <f t="array" ref="F90">IF(ISCLOSED(B90),SAFEDIV(SUMIFS(tbl_Monthly[mwh],tbl_Monthly[class],"residential",tbl_Monthly[month],B90),SUMIFS(tbl_Monthly[customers],tbl_Monthly[class],"residential",tbl_Monthly[month],B90)),"")</f>
        <v>0.64989305942629805</v>
      </c>
      <c r="G90" s="81" cm="1">
        <f t="array" ref="G90">IF(ISCLOSED(B90),SAFEDIV(SUMIFS(tbl_Monthly[mwh],tbl_Monthly[class],"commercial",tbl_Monthly[month],B90),SUMIFS(tbl_Monthly[customers],tbl_Monthly[class],"commercial",tbl_Monthly[month],B90)),"")</f>
        <v>5.1619798708155367</v>
      </c>
      <c r="H90" s="81">
        <f t="shared" si="2"/>
        <v>0.67199395437777731</v>
      </c>
      <c r="I90" s="81">
        <f t="shared" si="3"/>
        <v>4.9678019943853684</v>
      </c>
      <c r="J90" t="b">
        <f>AND(ISCLOSED(B90),YEAR(B90)&lt;FiscalYear)</f>
        <v>1</v>
      </c>
    </row>
    <row r="91" spans="2:10" x14ac:dyDescent="0.3">
      <c r="B91" s="79">
        <f t="shared" si="4"/>
        <v>43617</v>
      </c>
      <c r="C91" s="80" cm="1">
        <f t="array" ref="C91">TRENDYEARS(B91)</f>
        <v>2.4166666666666665</v>
      </c>
      <c r="D91" s="4">
        <f>_xlfn.XLOOKUP(B91,tbl_Weather[month],tbl_Weather[hdd],"")</f>
        <v>130</v>
      </c>
      <c r="E91" s="4">
        <f>_xlfn.XLOOKUP(B91,tbl_Weather[month],tbl_Weather[cdd],"")</f>
        <v>19</v>
      </c>
      <c r="F91" s="81" cm="1">
        <f t="array" ref="F91">IF(ISCLOSED(B91),SAFEDIV(SUMIFS(tbl_Monthly[mwh],tbl_Monthly[class],"residential",tbl_Monthly[month],B91),SUMIFS(tbl_Monthly[customers],tbl_Monthly[class],"residential",tbl_Monthly[month],B91)),"")</f>
        <v>0.6519027334257711</v>
      </c>
      <c r="G91" s="81" cm="1">
        <f t="array" ref="G91">IF(ISCLOSED(B91),SAFEDIV(SUMIFS(tbl_Monthly[mwh],tbl_Monthly[class],"commercial",tbl_Monthly[month],B91),SUMIFS(tbl_Monthly[customers],tbl_Monthly[class],"commercial",tbl_Monthly[month],B91)),"")</f>
        <v>5.246845879605357</v>
      </c>
      <c r="H91" s="81">
        <f t="shared" si="2"/>
        <v>0.61676750639231659</v>
      </c>
      <c r="I91" s="81">
        <f t="shared" si="3"/>
        <v>4.9704226371037628</v>
      </c>
      <c r="J91" t="b">
        <f>AND(ISCLOSED(B91),YEAR(B91)&lt;FiscalYear)</f>
        <v>1</v>
      </c>
    </row>
    <row r="92" spans="2:10" x14ac:dyDescent="0.3">
      <c r="B92" s="79">
        <f t="shared" si="4"/>
        <v>43647</v>
      </c>
      <c r="C92" s="80" cm="1">
        <f t="array" ref="C92">TRENDYEARS(B92)</f>
        <v>2.5</v>
      </c>
      <c r="D92" s="4">
        <f>_xlfn.XLOOKUP(B92,tbl_Weather[month],tbl_Weather[hdd],"")</f>
        <v>63</v>
      </c>
      <c r="E92" s="4">
        <f>_xlfn.XLOOKUP(B92,tbl_Weather[month],tbl_Weather[cdd],"")</f>
        <v>66</v>
      </c>
      <c r="F92" s="81" cm="1">
        <f t="array" ref="F92">IF(ISCLOSED(B92),SAFEDIV(SUMIFS(tbl_Monthly[mwh],tbl_Monthly[class],"residential",tbl_Monthly[month],B92),SUMIFS(tbl_Monthly[customers],tbl_Monthly[class],"residential",tbl_Monthly[month],B92)),"")</f>
        <v>0.6993854461488811</v>
      </c>
      <c r="G92" s="81" cm="1">
        <f t="array" ref="G92">IF(ISCLOSED(B92),SAFEDIV(SUMIFS(tbl_Monthly[mwh],tbl_Monthly[class],"commercial",tbl_Monthly[month],B92),SUMIFS(tbl_Monthly[customers],tbl_Monthly[class],"commercial",tbl_Monthly[month],B92)),"")</f>
        <v>5.5440257493213867</v>
      </c>
      <c r="H92" s="81">
        <f t="shared" si="2"/>
        <v>0.69660287303631252</v>
      </c>
      <c r="I92" s="81">
        <f t="shared" si="3"/>
        <v>5.2693585290311686</v>
      </c>
      <c r="J92" t="b">
        <f>AND(ISCLOSED(B92),YEAR(B92)&lt;FiscalYear)</f>
        <v>1</v>
      </c>
    </row>
    <row r="93" spans="2:10" x14ac:dyDescent="0.3">
      <c r="B93" s="79">
        <f t="shared" si="4"/>
        <v>43678</v>
      </c>
      <c r="C93" s="80" cm="1">
        <f t="array" ref="C93">TRENDYEARS(B93)</f>
        <v>2.5833333333333335</v>
      </c>
      <c r="D93" s="4">
        <f>_xlfn.XLOOKUP(B93,tbl_Weather[month],tbl_Weather[hdd],"")</f>
        <v>30</v>
      </c>
      <c r="E93" s="4">
        <f>_xlfn.XLOOKUP(B93,tbl_Weather[month],tbl_Weather[cdd],"")</f>
        <v>105</v>
      </c>
      <c r="F93" s="81" cm="1">
        <f t="array" ref="F93">IF(ISCLOSED(B93),SAFEDIV(SUMIFS(tbl_Monthly[mwh],tbl_Monthly[class],"residential",tbl_Monthly[month],B93),SUMIFS(tbl_Monthly[customers],tbl_Monthly[class],"residential",tbl_Monthly[month],B93)),"")</f>
        <v>0.75839611754175007</v>
      </c>
      <c r="G93" s="81" cm="1">
        <f t="array" ref="G93">IF(ISCLOSED(B93),SAFEDIV(SUMIFS(tbl_Monthly[mwh],tbl_Monthly[class],"commercial",tbl_Monthly[month],B93),SUMIFS(tbl_Monthly[customers],tbl_Monthly[class],"commercial",tbl_Monthly[month],B93)),"")</f>
        <v>5.5829899458916508</v>
      </c>
      <c r="H93" s="81">
        <f t="shared" si="2"/>
        <v>0.77805385206098809</v>
      </c>
      <c r="I93" s="81">
        <f t="shared" si="3"/>
        <v>5.5306851355197795</v>
      </c>
      <c r="J93" t="b">
        <f>AND(ISCLOSED(B93),YEAR(B93)&lt;FiscalYear)</f>
        <v>1</v>
      </c>
    </row>
    <row r="94" spans="2:10" x14ac:dyDescent="0.3">
      <c r="B94" s="79">
        <f t="shared" si="4"/>
        <v>43709</v>
      </c>
      <c r="C94" s="80" cm="1">
        <f t="array" ref="C94">TRENDYEARS(B94)</f>
        <v>2.6666666666666665</v>
      </c>
      <c r="D94" s="4">
        <f>_xlfn.XLOOKUP(B94,tbl_Weather[month],tbl_Weather[hdd],"")</f>
        <v>167</v>
      </c>
      <c r="E94" s="4">
        <f>_xlfn.XLOOKUP(B94,tbl_Weather[month],tbl_Weather[cdd],"")</f>
        <v>14</v>
      </c>
      <c r="F94" s="81" cm="1">
        <f t="array" ref="F94">IF(ISCLOSED(B94),SAFEDIV(SUMIFS(tbl_Monthly[mwh],tbl_Monthly[class],"residential",tbl_Monthly[month],B94),SUMIFS(tbl_Monthly[customers],tbl_Monthly[class],"residential",tbl_Monthly[month],B94)),"")</f>
        <v>0.64893484624681086</v>
      </c>
      <c r="G94" s="81" cm="1">
        <f t="array" ref="G94">IF(ISCLOSED(B94),SAFEDIV(SUMIFS(tbl_Monthly[mwh],tbl_Monthly[class],"commercial",tbl_Monthly[month],B94),SUMIFS(tbl_Monthly[customers],tbl_Monthly[class],"commercial",tbl_Monthly[month],B94)),"")</f>
        <v>4.932739777551931</v>
      </c>
      <c r="H94" s="81">
        <f t="shared" ref="H94:H125" si="5">IF(ISNUMBER(D94),$C$6+$D$6*D94+$E$6*E94+$F$6*C94,"")</f>
        <v>0.62657011539895013</v>
      </c>
      <c r="I94" s="81">
        <f t="shared" ref="I94:I125" si="6">IF(ISNUMBER(D94),$C$7+$D$7*D94+$E$7*E94+$F$7*C94,"")</f>
        <v>4.9405567095470904</v>
      </c>
      <c r="J94" t="b">
        <f>AND(ISCLOSED(B94),YEAR(B94)&lt;FiscalYear)</f>
        <v>1</v>
      </c>
    </row>
    <row r="95" spans="2:10" x14ac:dyDescent="0.3">
      <c r="B95" s="79">
        <f t="shared" ref="B95:B126" si="7">EDATE(B94,1)</f>
        <v>43739</v>
      </c>
      <c r="C95" s="80" cm="1">
        <f t="array" ref="C95">TRENDYEARS(B95)</f>
        <v>2.75</v>
      </c>
      <c r="D95" s="4">
        <f>_xlfn.XLOOKUP(B95,tbl_Weather[month],tbl_Weather[hdd],"")</f>
        <v>508</v>
      </c>
      <c r="E95" s="4">
        <f>_xlfn.XLOOKUP(B95,tbl_Weather[month],tbl_Weather[cdd],"")</f>
        <v>0</v>
      </c>
      <c r="F95" s="81" cm="1">
        <f t="array" ref="F95">IF(ISCLOSED(B95),SAFEDIV(SUMIFS(tbl_Monthly[mwh],tbl_Monthly[class],"residential",tbl_Monthly[month],B95),SUMIFS(tbl_Monthly[customers],tbl_Monthly[class],"residential",tbl_Monthly[month],B95)),"")</f>
        <v>0.70893307256603699</v>
      </c>
      <c r="G95" s="81" cm="1">
        <f t="array" ref="G95">IF(ISCLOSED(B95),SAFEDIV(SUMIFS(tbl_Monthly[mwh],tbl_Monthly[class],"commercial",tbl_Monthly[month],B95),SUMIFS(tbl_Monthly[customers],tbl_Monthly[class],"commercial",tbl_Monthly[month],B95)),"")</f>
        <v>5.3521557135804345</v>
      </c>
      <c r="H95" s="81">
        <f t="shared" si="5"/>
        <v>0.81952002189614404</v>
      </c>
      <c r="I95" s="81">
        <f t="shared" si="6"/>
        <v>5.0461734115906829</v>
      </c>
      <c r="J95" t="b">
        <f>AND(ISCLOSED(B95),YEAR(B95)&lt;FiscalYear)</f>
        <v>1</v>
      </c>
    </row>
    <row r="96" spans="2:10" x14ac:dyDescent="0.3">
      <c r="B96" s="79">
        <f t="shared" si="7"/>
        <v>43770</v>
      </c>
      <c r="C96" s="80" cm="1">
        <f t="array" ref="C96">TRENDYEARS(B96)</f>
        <v>2.8333333333333335</v>
      </c>
      <c r="D96" s="4">
        <f>_xlfn.XLOOKUP(B96,tbl_Weather[month],tbl_Weather[hdd],"")</f>
        <v>600</v>
      </c>
      <c r="E96" s="4">
        <f>_xlfn.XLOOKUP(B96,tbl_Weather[month],tbl_Weather[cdd],"")</f>
        <v>0</v>
      </c>
      <c r="F96" s="81" cm="1">
        <f t="array" ref="F96">IF(ISCLOSED(B96),SAFEDIV(SUMIFS(tbl_Monthly[mwh],tbl_Monthly[class],"residential",tbl_Monthly[month],B96),SUMIFS(tbl_Monthly[customers],tbl_Monthly[class],"residential",tbl_Monthly[month],B96)),"")</f>
        <v>0.86566792952969196</v>
      </c>
      <c r="G96" s="81" cm="1">
        <f t="array" ref="G96">IF(ISCLOSED(B96),SAFEDIV(SUMIFS(tbl_Monthly[mwh],tbl_Monthly[class],"commercial",tbl_Monthly[month],B96),SUMIFS(tbl_Monthly[customers],tbl_Monthly[class],"commercial",tbl_Monthly[month],B96)),"")</f>
        <v>5.0417463019154178</v>
      </c>
      <c r="H96" s="81">
        <f t="shared" si="5"/>
        <v>0.88123422764901183</v>
      </c>
      <c r="I96" s="81">
        <f t="shared" si="6"/>
        <v>5.0985537218362866</v>
      </c>
      <c r="J96" t="b">
        <f>AND(ISCLOSED(B96),YEAR(B96)&lt;FiscalYear)</f>
        <v>1</v>
      </c>
    </row>
    <row r="97" spans="2:10" x14ac:dyDescent="0.3">
      <c r="B97" s="79">
        <f t="shared" si="7"/>
        <v>43800</v>
      </c>
      <c r="C97" s="80" cm="1">
        <f t="array" ref="C97">TRENDYEARS(B97)</f>
        <v>2.9166666666666665</v>
      </c>
      <c r="D97" s="4">
        <f>_xlfn.XLOOKUP(B97,tbl_Weather[month],tbl_Weather[hdd],"")</f>
        <v>738</v>
      </c>
      <c r="E97" s="4">
        <f>_xlfn.XLOOKUP(B97,tbl_Weather[month],tbl_Weather[cdd],"")</f>
        <v>0</v>
      </c>
      <c r="F97" s="81" cm="1">
        <f t="array" ref="F97">IF(ISCLOSED(B97),SAFEDIV(SUMIFS(tbl_Monthly[mwh],tbl_Monthly[class],"residential",tbl_Monthly[month],B97),SUMIFS(tbl_Monthly[customers],tbl_Monthly[class],"residential",tbl_Monthly[month],B97)),"")</f>
        <v>1.0314260521741792</v>
      </c>
      <c r="G97" s="81" cm="1">
        <f t="array" ref="G97">IF(ISCLOSED(B97),SAFEDIV(SUMIFS(tbl_Monthly[mwh],tbl_Monthly[class],"commercial",tbl_Monthly[month],B97),SUMIFS(tbl_Monthly[customers],tbl_Monthly[class],"commercial",tbl_Monthly[month],B97)),"")</f>
        <v>5.2175348182550598</v>
      </c>
      <c r="H97" s="81">
        <f t="shared" si="5"/>
        <v>0.97411880510422422</v>
      </c>
      <c r="I97" s="81">
        <f t="shared" si="6"/>
        <v>5.179833353984427</v>
      </c>
      <c r="J97" t="b">
        <f>AND(ISCLOSED(B97),YEAR(B97)&lt;FiscalYear)</f>
        <v>1</v>
      </c>
    </row>
    <row r="98" spans="2:10" x14ac:dyDescent="0.3">
      <c r="B98" s="79">
        <f t="shared" si="7"/>
        <v>43831</v>
      </c>
      <c r="C98" s="80" cm="1">
        <f t="array" ref="C98">TRENDYEARS(B98)</f>
        <v>3</v>
      </c>
      <c r="D98" s="4">
        <f>_xlfn.XLOOKUP(B98,tbl_Weather[month],tbl_Weather[hdd],"")</f>
        <v>691</v>
      </c>
      <c r="E98" s="4">
        <f>_xlfn.XLOOKUP(B98,tbl_Weather[month],tbl_Weather[cdd],"")</f>
        <v>0</v>
      </c>
      <c r="F98" s="81" cm="1">
        <f t="array" ref="F98">IF(ISCLOSED(B98),SAFEDIV(SUMIFS(tbl_Monthly[mwh],tbl_Monthly[class],"residential",tbl_Monthly[month],B98),SUMIFS(tbl_Monthly[customers],tbl_Monthly[class],"residential",tbl_Monthly[month],B98)),"")</f>
        <v>0.9627929379098511</v>
      </c>
      <c r="G98" s="81" cm="1">
        <f t="array" ref="G98">IF(ISCLOSED(B98),SAFEDIV(SUMIFS(tbl_Monthly[mwh],tbl_Monthly[class],"commercial",tbl_Monthly[month],B98),SUMIFS(tbl_Monthly[customers],tbl_Monthly[class],"commercial",tbl_Monthly[month],B98)),"")</f>
        <v>5.1763993052933621</v>
      </c>
      <c r="H98" s="81">
        <f t="shared" si="5"/>
        <v>0.94164427897392067</v>
      </c>
      <c r="I98" s="81">
        <f t="shared" si="6"/>
        <v>5.1448874523941068</v>
      </c>
      <c r="J98" t="b">
        <f>AND(ISCLOSED(B98),YEAR(B98)&lt;FiscalYear)</f>
        <v>1</v>
      </c>
    </row>
    <row r="99" spans="2:10" x14ac:dyDescent="0.3">
      <c r="B99" s="79">
        <f t="shared" si="7"/>
        <v>43862</v>
      </c>
      <c r="C99" s="80" cm="1">
        <f t="array" ref="C99">TRENDYEARS(B99)</f>
        <v>3.0833333333333335</v>
      </c>
      <c r="D99" s="4">
        <f>_xlfn.XLOOKUP(B99,tbl_Weather[month],tbl_Weather[hdd],"")</f>
        <v>661</v>
      </c>
      <c r="E99" s="4">
        <f>_xlfn.XLOOKUP(B99,tbl_Weather[month],tbl_Weather[cdd],"")</f>
        <v>0</v>
      </c>
      <c r="F99" s="81" cm="1">
        <f t="array" ref="F99">IF(ISCLOSED(B99),SAFEDIV(SUMIFS(tbl_Monthly[mwh],tbl_Monthly[class],"residential",tbl_Monthly[month],B99),SUMIFS(tbl_Monthly[customers],tbl_Monthly[class],"residential",tbl_Monthly[month],B99)),"")</f>
        <v>0.86169965902416323</v>
      </c>
      <c r="G99" s="81" cm="1">
        <f t="array" ref="G99">IF(ISCLOSED(B99),SAFEDIV(SUMIFS(tbl_Monthly[mwh],tbl_Monthly[class],"commercial",tbl_Monthly[month],B99),SUMIFS(tbl_Monthly[customers],tbl_Monthly[class],"commercial",tbl_Monthly[month],B99)),"")</f>
        <v>5.0580898776712226</v>
      </c>
      <c r="H99" s="81">
        <f t="shared" si="5"/>
        <v>0.92068923803796165</v>
      </c>
      <c r="I99" s="81">
        <f t="shared" si="6"/>
        <v>5.1206217349851597</v>
      </c>
      <c r="J99" t="b">
        <f>AND(ISCLOSED(B99),YEAR(B99)&lt;FiscalYear)</f>
        <v>1</v>
      </c>
    </row>
    <row r="100" spans="2:10" x14ac:dyDescent="0.3">
      <c r="B100" s="79">
        <f t="shared" si="7"/>
        <v>43891</v>
      </c>
      <c r="C100" s="80" cm="1">
        <f t="array" ref="C100">TRENDYEARS(B100)</f>
        <v>3.1666666666666665</v>
      </c>
      <c r="D100" s="4">
        <f>_xlfn.XLOOKUP(B100,tbl_Weather[month],tbl_Weather[hdd],"")</f>
        <v>679</v>
      </c>
      <c r="E100" s="4">
        <f>_xlfn.XLOOKUP(B100,tbl_Weather[month],tbl_Weather[cdd],"")</f>
        <v>0</v>
      </c>
      <c r="F100" s="81" cm="1">
        <f t="array" ref="F100">IF(ISCLOSED(B100),SAFEDIV(SUMIFS(tbl_Monthly[mwh],tbl_Monthly[class],"residential",tbl_Monthly[month],B100),SUMIFS(tbl_Monthly[customers],tbl_Monthly[class],"residential",tbl_Monthly[month],B100)),"")</f>
        <v>0.88281916605130473</v>
      </c>
      <c r="G100" s="81" cm="1">
        <f t="array" ref="G100">IF(ISCLOSED(B100),SAFEDIV(SUMIFS(tbl_Monthly[mwh],tbl_Monthly[class],"commercial",tbl_Monthly[month],B100),SUMIFS(tbl_Monthly[customers],tbl_Monthly[class],"commercial",tbl_Monthly[month],B100)),"")</f>
        <v>5.0727700156689508</v>
      </c>
      <c r="H100" s="81">
        <f t="shared" si="5"/>
        <v>0.93225980235662331</v>
      </c>
      <c r="I100" s="81">
        <f t="shared" si="6"/>
        <v>5.1265118317353799</v>
      </c>
      <c r="J100" t="b">
        <f>AND(ISCLOSED(B100),YEAR(B100)&lt;FiscalYear)</f>
        <v>1</v>
      </c>
    </row>
    <row r="101" spans="2:10" x14ac:dyDescent="0.3">
      <c r="B101" s="79">
        <f t="shared" si="7"/>
        <v>43922</v>
      </c>
      <c r="C101" s="80" cm="1">
        <f t="array" ref="C101">TRENDYEARS(B101)</f>
        <v>3.25</v>
      </c>
      <c r="D101" s="4">
        <f>_xlfn.XLOOKUP(B101,tbl_Weather[month],tbl_Weather[hdd],"")</f>
        <v>435</v>
      </c>
      <c r="E101" s="4">
        <f>_xlfn.XLOOKUP(B101,tbl_Weather[month],tbl_Weather[cdd],"")</f>
        <v>0</v>
      </c>
      <c r="F101" s="81" cm="1">
        <f t="array" ref="F101">IF(ISCLOSED(B101),SAFEDIV(SUMIFS(tbl_Monthly[mwh],tbl_Monthly[class],"residential",tbl_Monthly[month],B101),SUMIFS(tbl_Monthly[customers],tbl_Monthly[class],"residential",tbl_Monthly[month],B101)),"")</f>
        <v>0.73263210070172469</v>
      </c>
      <c r="G101" s="81" cm="1">
        <f t="array" ref="G101">IF(ISCLOSED(B101),SAFEDIV(SUMIFS(tbl_Monthly[mwh],tbl_Monthly[class],"commercial",tbl_Monthly[month],B101),SUMIFS(tbl_Monthly[customers],tbl_Monthly[class],"commercial",tbl_Monthly[month],B101)),"")</f>
        <v>3.9698270363494141</v>
      </c>
      <c r="H101" s="81">
        <f t="shared" si="5"/>
        <v>0.76629477132714852</v>
      </c>
      <c r="I101" s="81">
        <f t="shared" si="6"/>
        <v>4.9678014428668087</v>
      </c>
      <c r="J101" t="b">
        <f>AND(ISCLOSED(B101),YEAR(B101)&lt;FiscalYear)</f>
        <v>1</v>
      </c>
    </row>
    <row r="102" spans="2:10" x14ac:dyDescent="0.3">
      <c r="B102" s="79">
        <f t="shared" si="7"/>
        <v>43952</v>
      </c>
      <c r="C102" s="80" cm="1">
        <f t="array" ref="C102">TRENDYEARS(B102)</f>
        <v>3.3333333333333335</v>
      </c>
      <c r="D102" s="4">
        <f>_xlfn.XLOOKUP(B102,tbl_Weather[month],tbl_Weather[hdd],"")</f>
        <v>284</v>
      </c>
      <c r="E102" s="4">
        <f>_xlfn.XLOOKUP(B102,tbl_Weather[month],tbl_Weather[cdd],"")</f>
        <v>0</v>
      </c>
      <c r="F102" s="81" cm="1">
        <f t="array" ref="F102">IF(ISCLOSED(B102),SAFEDIV(SUMIFS(tbl_Monthly[mwh],tbl_Monthly[class],"residential",tbl_Monthly[month],B102),SUMIFS(tbl_Monthly[customers],tbl_Monthly[class],"residential",tbl_Monthly[month],B102)),"")</f>
        <v>0.70839634215809644</v>
      </c>
      <c r="G102" s="81" cm="1">
        <f t="array" ref="G102">IF(ISCLOSED(B102),SAFEDIV(SUMIFS(tbl_Monthly[mwh],tbl_Monthly[class],"commercial",tbl_Monthly[month],B102),SUMIFS(tbl_Monthly[customers],tbl_Monthly[class],"commercial",tbl_Monthly[month],B102)),"")</f>
        <v>4.4369276281035397</v>
      </c>
      <c r="H102" s="81">
        <f t="shared" si="5"/>
        <v>0.66334810047850068</v>
      </c>
      <c r="I102" s="81">
        <f t="shared" si="6"/>
        <v>4.8675179439316256</v>
      </c>
      <c r="J102" t="b">
        <f>AND(ISCLOSED(B102),YEAR(B102)&lt;FiscalYear)</f>
        <v>1</v>
      </c>
    </row>
    <row r="103" spans="2:10" x14ac:dyDescent="0.3">
      <c r="B103" s="79">
        <f t="shared" si="7"/>
        <v>43983</v>
      </c>
      <c r="C103" s="80" cm="1">
        <f t="array" ref="C103">TRENDYEARS(B103)</f>
        <v>3.4166666666666665</v>
      </c>
      <c r="D103" s="4">
        <f>_xlfn.XLOOKUP(B103,tbl_Weather[month],tbl_Weather[hdd],"")</f>
        <v>169</v>
      </c>
      <c r="E103" s="4">
        <f>_xlfn.XLOOKUP(B103,tbl_Weather[month],tbl_Weather[cdd],"")</f>
        <v>10</v>
      </c>
      <c r="F103" s="81" cm="1">
        <f t="array" ref="F103">IF(ISCLOSED(B103),SAFEDIV(SUMIFS(tbl_Monthly[mwh],tbl_Monthly[class],"residential",tbl_Monthly[month],B103),SUMIFS(tbl_Monthly[customers],tbl_Monthly[class],"residential",tbl_Monthly[month],B103)),"")</f>
        <v>0.65758368660551303</v>
      </c>
      <c r="G103" s="81" cm="1">
        <f t="array" ref="G103">IF(ISCLOSED(B103),SAFEDIV(SUMIFS(tbl_Monthly[mwh],tbl_Monthly[class],"commercial",tbl_Monthly[month],B103),SUMIFS(tbl_Monthly[customers],tbl_Monthly[class],"commercial",tbl_Monthly[month],B103)),"")</f>
        <v>4.4343362681538938</v>
      </c>
      <c r="H103" s="81">
        <f t="shared" si="5"/>
        <v>0.61157483108083044</v>
      </c>
      <c r="I103" s="81">
        <f t="shared" si="6"/>
        <v>4.8635633728677421</v>
      </c>
      <c r="J103" t="b">
        <f>AND(ISCLOSED(B103),YEAR(B103)&lt;FiscalYear)</f>
        <v>1</v>
      </c>
    </row>
    <row r="104" spans="2:10" x14ac:dyDescent="0.3">
      <c r="B104" s="79">
        <f t="shared" si="7"/>
        <v>44013</v>
      </c>
      <c r="C104" s="80" cm="1">
        <f t="array" ref="C104">TRENDYEARS(B104)</f>
        <v>3.5</v>
      </c>
      <c r="D104" s="4">
        <f>_xlfn.XLOOKUP(B104,tbl_Weather[month],tbl_Weather[hdd],"")</f>
        <v>48</v>
      </c>
      <c r="E104" s="4">
        <f>_xlfn.XLOOKUP(B104,tbl_Weather[month],tbl_Weather[cdd],"")</f>
        <v>82</v>
      </c>
      <c r="F104" s="81" cm="1">
        <f t="array" ref="F104">IF(ISCLOSED(B104),SAFEDIV(SUMIFS(tbl_Monthly[mwh],tbl_Monthly[class],"residential",tbl_Monthly[month],B104),SUMIFS(tbl_Monthly[customers],tbl_Monthly[class],"residential",tbl_Monthly[month],B104)),"")</f>
        <v>0.78664918275492246</v>
      </c>
      <c r="G104" s="81" cm="1">
        <f t="array" ref="G104">IF(ISCLOSED(B104),SAFEDIV(SUMIFS(tbl_Monthly[mwh],tbl_Monthly[class],"commercial",tbl_Monthly[month],B104),SUMIFS(tbl_Monthly[customers],tbl_Monthly[class],"commercial",tbl_Monthly[month],B104)),"")</f>
        <v>5.3375795703886464</v>
      </c>
      <c r="H104" s="81">
        <f t="shared" si="5"/>
        <v>0.7217668855884094</v>
      </c>
      <c r="I104" s="81">
        <f t="shared" si="6"/>
        <v>5.3128541419958966</v>
      </c>
      <c r="J104" t="b">
        <f>AND(ISCLOSED(B104),YEAR(B104)&lt;FiscalYear)</f>
        <v>1</v>
      </c>
    </row>
    <row r="105" spans="2:10" x14ac:dyDescent="0.3">
      <c r="B105" s="79">
        <f t="shared" si="7"/>
        <v>44044</v>
      </c>
      <c r="C105" s="80" cm="1">
        <f t="array" ref="C105">TRENDYEARS(B105)</f>
        <v>3.5833333333333335</v>
      </c>
      <c r="D105" s="4">
        <f>_xlfn.XLOOKUP(B105,tbl_Weather[month],tbl_Weather[hdd],"")</f>
        <v>36</v>
      </c>
      <c r="E105" s="4">
        <f>_xlfn.XLOOKUP(B105,tbl_Weather[month],tbl_Weather[cdd],"")</f>
        <v>95</v>
      </c>
      <c r="F105" s="81" cm="1">
        <f t="array" ref="F105">IF(ISCLOSED(B105),SAFEDIV(SUMIFS(tbl_Monthly[mwh],tbl_Monthly[class],"residential",tbl_Monthly[month],B105),SUMIFS(tbl_Monthly[customers],tbl_Monthly[class],"residential",tbl_Monthly[month],B105)),"")</f>
        <v>0.82795333479745847</v>
      </c>
      <c r="G105" s="81" cm="1">
        <f t="array" ref="G105">IF(ISCLOSED(B105),SAFEDIV(SUMIFS(tbl_Monthly[mwh],tbl_Monthly[class],"commercial",tbl_Monthly[month],B105),SUMIFS(tbl_Monthly[customers],tbl_Monthly[class],"commercial",tbl_Monthly[month],B105)),"")</f>
        <v>5.2916633295975748</v>
      </c>
      <c r="H105" s="81">
        <f t="shared" si="5"/>
        <v>0.74782190338594912</v>
      </c>
      <c r="I105" s="81">
        <f t="shared" si="6"/>
        <v>5.3957225423241377</v>
      </c>
      <c r="J105" t="b">
        <f>AND(ISCLOSED(B105),YEAR(B105)&lt;FiscalYear)</f>
        <v>1</v>
      </c>
    </row>
    <row r="106" spans="2:10" x14ac:dyDescent="0.3">
      <c r="B106" s="79">
        <f t="shared" si="7"/>
        <v>44075</v>
      </c>
      <c r="C106" s="80" cm="1">
        <f t="array" ref="C106">TRENDYEARS(B106)</f>
        <v>3.6666666666666665</v>
      </c>
      <c r="D106" s="4">
        <f>_xlfn.XLOOKUP(B106,tbl_Weather[month],tbl_Weather[hdd],"")</f>
        <v>80</v>
      </c>
      <c r="E106" s="4">
        <f>_xlfn.XLOOKUP(B106,tbl_Weather[month],tbl_Weather[cdd],"")</f>
        <v>56</v>
      </c>
      <c r="F106" s="81" cm="1">
        <f t="array" ref="F106">IF(ISCLOSED(B106),SAFEDIV(SUMIFS(tbl_Monthly[mwh],tbl_Monthly[class],"residential",tbl_Monthly[month],B106),SUMIFS(tbl_Monthly[customers],tbl_Monthly[class],"residential",tbl_Monthly[month],B106)),"")</f>
        <v>0.69864594686326198</v>
      </c>
      <c r="G106" s="81" cm="1">
        <f t="array" ref="G106">IF(ISCLOSED(B106),SAFEDIV(SUMIFS(tbl_Monthly[mwh],tbl_Monthly[class],"commercial",tbl_Monthly[month],B106),SUMIFS(tbl_Monthly[customers],tbl_Monthly[class],"commercial",tbl_Monthly[month],B106)),"")</f>
        <v>4.697491436050508</v>
      </c>
      <c r="H106" s="81">
        <f t="shared" si="5"/>
        <v>0.67257163359514849</v>
      </c>
      <c r="I106" s="81">
        <f t="shared" si="6"/>
        <v>5.1304699761280688</v>
      </c>
      <c r="J106" t="b">
        <f>AND(ISCLOSED(B106),YEAR(B106)&lt;FiscalYear)</f>
        <v>1</v>
      </c>
    </row>
    <row r="107" spans="2:10" x14ac:dyDescent="0.3">
      <c r="B107" s="79">
        <f t="shared" si="7"/>
        <v>44105</v>
      </c>
      <c r="C107" s="80" cm="1">
        <f t="array" ref="C107">TRENDYEARS(B107)</f>
        <v>3.75</v>
      </c>
      <c r="D107" s="4">
        <f>_xlfn.XLOOKUP(B107,tbl_Weather[month],tbl_Weather[hdd],"")</f>
        <v>347</v>
      </c>
      <c r="E107" s="4">
        <f>_xlfn.XLOOKUP(B107,tbl_Weather[month],tbl_Weather[cdd],"")</f>
        <v>0</v>
      </c>
      <c r="F107" s="81" cm="1">
        <f t="array" ref="F107">IF(ISCLOSED(B107),SAFEDIV(SUMIFS(tbl_Monthly[mwh],tbl_Monthly[class],"residential",tbl_Monthly[month],B107),SUMIFS(tbl_Monthly[customers],tbl_Monthly[class],"residential",tbl_Monthly[month],B107)),"")</f>
        <v>0.73200317681366722</v>
      </c>
      <c r="G107" s="81" cm="1">
        <f t="array" ref="G107">IF(ISCLOSED(B107),SAFEDIV(SUMIFS(tbl_Monthly[mwh],tbl_Monthly[class],"commercial",tbl_Monthly[month],B107),SUMIFS(tbl_Monthly[customers],tbl_Monthly[class],"commercial",tbl_Monthly[month],B107)),"")</f>
        <v>4.7285911700857994</v>
      </c>
      <c r="H107" s="81">
        <f t="shared" si="5"/>
        <v>0.70290526911608397</v>
      </c>
      <c r="I107" s="81">
        <f t="shared" si="6"/>
        <v>4.8800057822181939</v>
      </c>
      <c r="J107" t="b">
        <f>AND(ISCLOSED(B107),YEAR(B107)&lt;FiscalYear)</f>
        <v>1</v>
      </c>
    </row>
    <row r="108" spans="2:10" x14ac:dyDescent="0.3">
      <c r="B108" s="79">
        <f t="shared" si="7"/>
        <v>44136</v>
      </c>
      <c r="C108" s="80" cm="1">
        <f t="array" ref="C108">TRENDYEARS(B108)</f>
        <v>3.8333333333333335</v>
      </c>
      <c r="D108" s="4">
        <f>_xlfn.XLOOKUP(B108,tbl_Weather[month],tbl_Weather[hdd],"")</f>
        <v>639</v>
      </c>
      <c r="E108" s="4">
        <f>_xlfn.XLOOKUP(B108,tbl_Weather[month],tbl_Weather[cdd],"")</f>
        <v>0</v>
      </c>
      <c r="F108" s="81" cm="1">
        <f t="array" ref="F108">IF(ISCLOSED(B108),SAFEDIV(SUMIFS(tbl_Monthly[mwh],tbl_Monthly[class],"residential",tbl_Monthly[month],B108),SUMIFS(tbl_Monthly[customers],tbl_Monthly[class],"residential",tbl_Monthly[month],B108)),"")</f>
        <v>0.90374395820465181</v>
      </c>
      <c r="G108" s="81" cm="1">
        <f t="array" ref="G108">IF(ISCLOSED(B108),SAFEDIV(SUMIFS(tbl_Monthly[mwh],tbl_Monthly[class],"commercial",tbl_Monthly[month],B108),SUMIFS(tbl_Monthly[customers],tbl_Monthly[class],"commercial",tbl_Monthly[month],B108)),"")</f>
        <v>4.6911013872962766</v>
      </c>
      <c r="H108" s="81">
        <f t="shared" si="5"/>
        <v>0.90014283009653684</v>
      </c>
      <c r="I108" s="81">
        <f t="shared" si="6"/>
        <v>5.0580353181269979</v>
      </c>
      <c r="J108" t="b">
        <f>AND(ISCLOSED(B108),YEAR(B108)&lt;FiscalYear)</f>
        <v>1</v>
      </c>
    </row>
    <row r="109" spans="2:10" x14ac:dyDescent="0.3">
      <c r="B109" s="79">
        <f t="shared" si="7"/>
        <v>44166</v>
      </c>
      <c r="C109" s="80" cm="1">
        <f t="array" ref="C109">TRENDYEARS(B109)</f>
        <v>3.9166666666666665</v>
      </c>
      <c r="D109" s="4">
        <f>_xlfn.XLOOKUP(B109,tbl_Weather[month],tbl_Weather[hdd],"")</f>
        <v>725</v>
      </c>
      <c r="E109" s="4">
        <f>_xlfn.XLOOKUP(B109,tbl_Weather[month],tbl_Weather[cdd],"")</f>
        <v>0</v>
      </c>
      <c r="F109" s="81" cm="1">
        <f t="array" ref="F109">IF(ISCLOSED(B109),SAFEDIV(SUMIFS(tbl_Monthly[mwh],tbl_Monthly[class],"residential",tbl_Monthly[month],B109),SUMIFS(tbl_Monthly[customers],tbl_Monthly[class],"residential",tbl_Monthly[month],B109)),"")</f>
        <v>1.0485666056298608</v>
      </c>
      <c r="G109" s="81" cm="1">
        <f t="array" ref="G109">IF(ISCLOSED(B109),SAFEDIV(SUMIFS(tbl_Monthly[mwh],tbl_Monthly[class],"commercial",tbl_Monthly[month],B109),SUMIFS(tbl_Monthly[customers],tbl_Monthly[class],"commercial",tbl_Monthly[month],B109)),"")</f>
        <v>5.0514237278600298</v>
      </c>
      <c r="H109" s="81">
        <f t="shared" si="5"/>
        <v>0.9577913351925772</v>
      </c>
      <c r="I109" s="81">
        <f t="shared" si="6"/>
        <v>5.106646151602706</v>
      </c>
      <c r="J109" t="b">
        <f>AND(ISCLOSED(B109),YEAR(B109)&lt;FiscalYear)</f>
        <v>1</v>
      </c>
    </row>
    <row r="110" spans="2:10" x14ac:dyDescent="0.3">
      <c r="B110" s="79">
        <f t="shared" si="7"/>
        <v>44197</v>
      </c>
      <c r="C110" s="80" cm="1">
        <f t="array" ref="C110">TRENDYEARS(B110)</f>
        <v>4</v>
      </c>
      <c r="D110" s="4">
        <f>_xlfn.XLOOKUP(B110,tbl_Weather[month],tbl_Weather[hdd],"")</f>
        <v>707</v>
      </c>
      <c r="E110" s="4">
        <f>_xlfn.XLOOKUP(B110,tbl_Weather[month],tbl_Weather[cdd],"")</f>
        <v>0</v>
      </c>
      <c r="F110" s="81" cm="1">
        <f t="array" ref="F110">IF(ISCLOSED(B110),SAFEDIV(SUMIFS(tbl_Monthly[mwh],tbl_Monthly[class],"residential",tbl_Monthly[month],B110),SUMIFS(tbl_Monthly[customers],tbl_Monthly[class],"residential",tbl_Monthly[month],B110)),"")</f>
        <v>0.9925323916818698</v>
      </c>
      <c r="G110" s="81" cm="1">
        <f t="array" ref="G110">IF(ISCLOSED(B110),SAFEDIV(SUMIFS(tbl_Monthly[mwh],tbl_Monthly[class],"commercial",tbl_Monthly[month],B110),SUMIFS(tbl_Monthly[customers],tbl_Monthly[class],"commercial",tbl_Monthly[month],B110)),"")</f>
        <v>4.9741613856093929</v>
      </c>
      <c r="H110" s="81">
        <f t="shared" si="5"/>
        <v>0.94496769557027338</v>
      </c>
      <c r="I110" s="81">
        <f t="shared" si="6"/>
        <v>5.0899193877335502</v>
      </c>
      <c r="J110" t="b">
        <f>AND(ISCLOSED(B110),YEAR(B110)&lt;FiscalYear)</f>
        <v>1</v>
      </c>
    </row>
    <row r="111" spans="2:10" x14ac:dyDescent="0.3">
      <c r="B111" s="79">
        <f t="shared" si="7"/>
        <v>44228</v>
      </c>
      <c r="C111" s="80" cm="1">
        <f t="array" ref="C111">TRENDYEARS(B111)</f>
        <v>4.083333333333333</v>
      </c>
      <c r="D111" s="4">
        <f>_xlfn.XLOOKUP(B111,tbl_Weather[month],tbl_Weather[hdd],"")</f>
        <v>700</v>
      </c>
      <c r="E111" s="4">
        <f>_xlfn.XLOOKUP(B111,tbl_Weather[month],tbl_Weather[cdd],"")</f>
        <v>0</v>
      </c>
      <c r="F111" s="81" cm="1">
        <f t="array" ref="F111">IF(ISCLOSED(B111),SAFEDIV(SUMIFS(tbl_Monthly[mwh],tbl_Monthly[class],"residential",tbl_Monthly[month],B111),SUMIFS(tbl_Monthly[customers],tbl_Monthly[class],"residential",tbl_Monthly[month],B111)),"")</f>
        <v>0.91321962915601018</v>
      </c>
      <c r="G111" s="81" cm="1">
        <f t="array" ref="G111">IF(ISCLOSED(B111),SAFEDIV(SUMIFS(tbl_Monthly[mwh],tbl_Monthly[class],"commercial",tbl_Monthly[month],B111),SUMIFS(tbl_Monthly[customers],tbl_Monthly[class],"commercial",tbl_Monthly[month],B111)),"")</f>
        <v>4.5757518894285765</v>
      </c>
      <c r="H111" s="81">
        <f t="shared" si="5"/>
        <v>0.93959784048548667</v>
      </c>
      <c r="I111" s="81">
        <f t="shared" si="6"/>
        <v>5.0801033312758701</v>
      </c>
      <c r="J111" t="b">
        <f>AND(ISCLOSED(B111),YEAR(B111)&lt;FiscalYear)</f>
        <v>1</v>
      </c>
    </row>
    <row r="112" spans="2:10" x14ac:dyDescent="0.3">
      <c r="B112" s="79">
        <f t="shared" si="7"/>
        <v>44256</v>
      </c>
      <c r="C112" s="80" cm="1">
        <f t="array" ref="C112">TRENDYEARS(B112)</f>
        <v>4.166666666666667</v>
      </c>
      <c r="D112" s="4">
        <f>_xlfn.XLOOKUP(B112,tbl_Weather[month],tbl_Weather[hdd],"")</f>
        <v>670</v>
      </c>
      <c r="E112" s="4">
        <f>_xlfn.XLOOKUP(B112,tbl_Weather[month],tbl_Weather[cdd],"")</f>
        <v>0</v>
      </c>
      <c r="F112" s="81" cm="1">
        <f t="array" ref="F112">IF(ISCLOSED(B112),SAFEDIV(SUMIFS(tbl_Monthly[mwh],tbl_Monthly[class],"residential",tbl_Monthly[month],B112),SUMIFS(tbl_Monthly[customers],tbl_Monthly[class],"residential",tbl_Monthly[month],B112)),"")</f>
        <v>0.90179738851347113</v>
      </c>
      <c r="G112" s="81" cm="1">
        <f t="array" ref="G112">IF(ISCLOSED(B112),SAFEDIV(SUMIFS(tbl_Monthly[mwh],tbl_Monthly[class],"commercial",tbl_Monthly[month],B112),SUMIFS(tbl_Monthly[customers],tbl_Monthly[class],"commercial",tbl_Monthly[month],B112)),"")</f>
        <v>5.0780327850404188</v>
      </c>
      <c r="H112" s="81">
        <f t="shared" si="5"/>
        <v>0.91864279954952777</v>
      </c>
      <c r="I112" s="81">
        <f t="shared" si="6"/>
        <v>5.055837613866923</v>
      </c>
      <c r="J112" t="b">
        <f>AND(ISCLOSED(B112),YEAR(B112)&lt;FiscalYear)</f>
        <v>1</v>
      </c>
    </row>
    <row r="113" spans="2:10" x14ac:dyDescent="0.3">
      <c r="B113" s="79">
        <f t="shared" si="7"/>
        <v>44287</v>
      </c>
      <c r="C113" s="80" cm="1">
        <f t="array" ref="C113">TRENDYEARS(B113)</f>
        <v>4.25</v>
      </c>
      <c r="D113" s="4">
        <f>_xlfn.XLOOKUP(B113,tbl_Weather[month],tbl_Weather[hdd],"")</f>
        <v>420</v>
      </c>
      <c r="E113" s="4">
        <f>_xlfn.XLOOKUP(B113,tbl_Weather[month],tbl_Weather[cdd],"")</f>
        <v>0</v>
      </c>
      <c r="F113" s="81" cm="1">
        <f t="array" ref="F113">IF(ISCLOSED(B113),SAFEDIV(SUMIFS(tbl_Monthly[mwh],tbl_Monthly[class],"residential",tbl_Monthly[month],B113),SUMIFS(tbl_Monthly[customers],tbl_Monthly[class],"residential",tbl_Monthly[month],B113)),"")</f>
        <v>0.70400431366411009</v>
      </c>
      <c r="G113" s="81" cm="1">
        <f t="array" ref="G113">IF(ISCLOSED(B113),SAFEDIV(SUMIFS(tbl_Monthly[mwh],tbl_Monthly[class],"commercial",tbl_Monthly[month],B113),SUMIFS(tbl_Monthly[customers],tbl_Monthly[class],"commercial",tbl_Monthly[month],B113)),"")</f>
        <v>4.6992736318874559</v>
      </c>
      <c r="H113" s="81">
        <f t="shared" si="5"/>
        <v>0.74861206786322532</v>
      </c>
      <c r="I113" s="81">
        <f t="shared" si="6"/>
        <v>4.893357748228456</v>
      </c>
      <c r="J113" t="b">
        <f>AND(ISCLOSED(B113),YEAR(B113)&lt;FiscalYear)</f>
        <v>1</v>
      </c>
    </row>
    <row r="114" spans="2:10" x14ac:dyDescent="0.3">
      <c r="B114" s="79">
        <f t="shared" si="7"/>
        <v>44317</v>
      </c>
      <c r="C114" s="80" cm="1">
        <f t="array" ref="C114">TRENDYEARS(B114)</f>
        <v>4.333333333333333</v>
      </c>
      <c r="D114" s="4">
        <f>_xlfn.XLOOKUP(B114,tbl_Weather[month],tbl_Weather[hdd],"")</f>
        <v>305</v>
      </c>
      <c r="E114" s="4">
        <f>_xlfn.XLOOKUP(B114,tbl_Weather[month],tbl_Weather[cdd],"")</f>
        <v>0</v>
      </c>
      <c r="F114" s="81" cm="1">
        <f t="array" ref="F114">IF(ISCLOSED(B114),SAFEDIV(SUMIFS(tbl_Monthly[mwh],tbl_Monthly[class],"residential",tbl_Monthly[month],B114),SUMIFS(tbl_Monthly[customers],tbl_Monthly[class],"residential",tbl_Monthly[month],B114)),"")</f>
        <v>0.67338389990048197</v>
      </c>
      <c r="G114" s="81" cm="1">
        <f t="array" ref="G114">IF(ISCLOSED(B114),SAFEDIV(SUMIFS(tbl_Monthly[mwh],tbl_Monthly[class],"commercial",tbl_Monthly[month],B114),SUMIFS(tbl_Monthly[customers],tbl_Monthly[class],"commercial",tbl_Monthly[month],B114)),"")</f>
        <v>4.8743269101060438</v>
      </c>
      <c r="H114" s="81">
        <f t="shared" si="5"/>
        <v>0.67005960095554296</v>
      </c>
      <c r="I114" s="81">
        <f t="shared" si="6"/>
        <v>4.815691109912648</v>
      </c>
      <c r="J114" t="b">
        <f>AND(ISCLOSED(B114),YEAR(B114)&lt;FiscalYear)</f>
        <v>1</v>
      </c>
    </row>
    <row r="115" spans="2:10" x14ac:dyDescent="0.3">
      <c r="B115" s="79">
        <f t="shared" si="7"/>
        <v>44348</v>
      </c>
      <c r="C115" s="80" cm="1">
        <f t="array" ref="C115">TRENDYEARS(B115)</f>
        <v>4.416666666666667</v>
      </c>
      <c r="D115" s="4">
        <f>_xlfn.XLOOKUP(B115,tbl_Weather[month],tbl_Weather[hdd],"")</f>
        <v>54</v>
      </c>
      <c r="E115" s="4">
        <f>_xlfn.XLOOKUP(B115,tbl_Weather[month],tbl_Weather[cdd],"")</f>
        <v>72</v>
      </c>
      <c r="F115" s="81" cm="1">
        <f t="array" ref="F115">IF(ISCLOSED(B115),SAFEDIV(SUMIFS(tbl_Monthly[mwh],tbl_Monthly[class],"residential",tbl_Monthly[month],B115),SUMIFS(tbl_Monthly[customers],tbl_Monthly[class],"residential",tbl_Monthly[month],B115)),"")</f>
        <v>0.82984166390599123</v>
      </c>
      <c r="G115" s="81" cm="1">
        <f t="array" ref="G115">IF(ISCLOSED(B115),SAFEDIV(SUMIFS(tbl_Monthly[mwh],tbl_Monthly[class],"commercial",tbl_Monthly[month],B115),SUMIFS(tbl_Monthly[customers],tbl_Monthly[class],"commercial",tbl_Monthly[month],B115)),"")</f>
        <v>5.1643843644250005</v>
      </c>
      <c r="H115" s="81">
        <f t="shared" si="5"/>
        <v>0.69216147456519173</v>
      </c>
      <c r="I115" s="81">
        <f t="shared" si="6"/>
        <v>5.1833098823597226</v>
      </c>
      <c r="J115" t="b">
        <f>AND(ISCLOSED(B115),YEAR(B115)&lt;FiscalYear)</f>
        <v>1</v>
      </c>
    </row>
    <row r="116" spans="2:10" x14ac:dyDescent="0.3">
      <c r="B116" s="79">
        <f t="shared" si="7"/>
        <v>44378</v>
      </c>
      <c r="C116" s="80" cm="1">
        <f t="array" ref="C116">TRENDYEARS(B116)</f>
        <v>4.5</v>
      </c>
      <c r="D116" s="4">
        <f>_xlfn.XLOOKUP(B116,tbl_Weather[month],tbl_Weather[hdd],"")</f>
        <v>17</v>
      </c>
      <c r="E116" s="4">
        <f>_xlfn.XLOOKUP(B116,tbl_Weather[month],tbl_Weather[cdd],"")</f>
        <v>141</v>
      </c>
      <c r="F116" s="81" cm="1">
        <f t="array" ref="F116">IF(ISCLOSED(B116),SAFEDIV(SUMIFS(tbl_Monthly[mwh],tbl_Monthly[class],"residential",tbl_Monthly[month],B116),SUMIFS(tbl_Monthly[customers],tbl_Monthly[class],"residential",tbl_Monthly[month],B116)),"")</f>
        <v>0.84330901258060442</v>
      </c>
      <c r="G116" s="81" cm="1">
        <f t="array" ref="G116">IF(ISCLOSED(B116),SAFEDIV(SUMIFS(tbl_Monthly[mwh],tbl_Monthly[class],"commercial",tbl_Monthly[month],B116),SUMIFS(tbl_Monthly[customers],tbl_Monthly[class],"commercial",tbl_Monthly[month],B116)),"")</f>
        <v>5.6317125839350437</v>
      </c>
      <c r="H116" s="81">
        <f t="shared" si="5"/>
        <v>0.85123957901535274</v>
      </c>
      <c r="I116" s="81">
        <f t="shared" si="6"/>
        <v>5.6632597060908427</v>
      </c>
      <c r="J116" t="b">
        <f>AND(ISCLOSED(B116),YEAR(B116)&lt;FiscalYear)</f>
        <v>1</v>
      </c>
    </row>
    <row r="117" spans="2:10" x14ac:dyDescent="0.3">
      <c r="B117" s="79">
        <f t="shared" si="7"/>
        <v>44409</v>
      </c>
      <c r="C117" s="80" cm="1">
        <f t="array" ref="C117">TRENDYEARS(B117)</f>
        <v>4.583333333333333</v>
      </c>
      <c r="D117" s="4">
        <f>_xlfn.XLOOKUP(B117,tbl_Weather[month],tbl_Weather[hdd],"")</f>
        <v>24</v>
      </c>
      <c r="E117" s="4">
        <f>_xlfn.XLOOKUP(B117,tbl_Weather[month],tbl_Weather[cdd],"")</f>
        <v>117</v>
      </c>
      <c r="F117" s="81" cm="1">
        <f t="array" ref="F117">IF(ISCLOSED(B117),SAFEDIV(SUMIFS(tbl_Monthly[mwh],tbl_Monthly[class],"residential",tbl_Monthly[month],B117),SUMIFS(tbl_Monthly[customers],tbl_Monthly[class],"residential",tbl_Monthly[month],B117)),"")</f>
        <v>0.84208579488902235</v>
      </c>
      <c r="G117" s="81" cm="1">
        <f t="array" ref="G117">IF(ISCLOSED(B117),SAFEDIV(SUMIFS(tbl_Monthly[mwh],tbl_Monthly[class],"commercial",tbl_Monthly[month],B117),SUMIFS(tbl_Monthly[customers],tbl_Monthly[class],"commercial",tbl_Monthly[month],B117)),"")</f>
        <v>5.5651304290898214</v>
      </c>
      <c r="H117" s="81">
        <f t="shared" si="5"/>
        <v>0.79108628477246723</v>
      </c>
      <c r="I117" s="81">
        <f t="shared" si="6"/>
        <v>5.4853301340249683</v>
      </c>
      <c r="J117" t="b">
        <f>AND(ISCLOSED(B117),YEAR(B117)&lt;FiscalYear)</f>
        <v>1</v>
      </c>
    </row>
    <row r="118" spans="2:10" x14ac:dyDescent="0.3">
      <c r="B118" s="79">
        <f t="shared" si="7"/>
        <v>44440</v>
      </c>
      <c r="C118" s="80" cm="1">
        <f t="array" ref="C118">TRENDYEARS(B118)</f>
        <v>4.666666666666667</v>
      </c>
      <c r="D118" s="4">
        <f>_xlfn.XLOOKUP(B118,tbl_Weather[month],tbl_Weather[hdd],"")</f>
        <v>119</v>
      </c>
      <c r="E118" s="4">
        <f>_xlfn.XLOOKUP(B118,tbl_Weather[month],tbl_Weather[cdd],"")</f>
        <v>29</v>
      </c>
      <c r="F118" s="81" cm="1">
        <f t="array" ref="F118">IF(ISCLOSED(B118),SAFEDIV(SUMIFS(tbl_Monthly[mwh],tbl_Monthly[class],"residential",tbl_Monthly[month],B118),SUMIFS(tbl_Monthly[customers],tbl_Monthly[class],"residential",tbl_Monthly[month],B118)),"")</f>
        <v>0.65217830978121327</v>
      </c>
      <c r="G118" s="81" cm="1">
        <f t="array" ref="G118">IF(ISCLOSED(B118),SAFEDIV(SUMIFS(tbl_Monthly[mwh],tbl_Monthly[class],"commercial",tbl_Monthly[month],B118),SUMIFS(tbl_Monthly[customers],tbl_Monthly[class],"commercial",tbl_Monthly[month],B118)),"")</f>
        <v>4.9363781390270534</v>
      </c>
      <c r="H118" s="81">
        <f t="shared" si="5"/>
        <v>0.61917640276564001</v>
      </c>
      <c r="I118" s="81">
        <f t="shared" si="6"/>
        <v>4.8909289908385833</v>
      </c>
      <c r="J118" t="b">
        <f>AND(ISCLOSED(B118),YEAR(B118)&lt;FiscalYear)</f>
        <v>1</v>
      </c>
    </row>
    <row r="119" spans="2:10" x14ac:dyDescent="0.3">
      <c r="B119" s="79">
        <f t="shared" si="7"/>
        <v>44470</v>
      </c>
      <c r="C119" s="80" cm="1">
        <f t="array" ref="C119">TRENDYEARS(B119)</f>
        <v>4.75</v>
      </c>
      <c r="D119" s="4">
        <f>_xlfn.XLOOKUP(B119,tbl_Weather[month],tbl_Weather[hdd],"")</f>
        <v>440</v>
      </c>
      <c r="E119" s="4">
        <f>_xlfn.XLOOKUP(B119,tbl_Weather[month],tbl_Weather[cdd],"")</f>
        <v>0</v>
      </c>
      <c r="F119" s="81" cm="1">
        <f t="array" ref="F119">IF(ISCLOSED(B119),SAFEDIV(SUMIFS(tbl_Monthly[mwh],tbl_Monthly[class],"residential",tbl_Monthly[month],B119),SUMIFS(tbl_Monthly[customers],tbl_Monthly[class],"residential",tbl_Monthly[month],B119)),"")</f>
        <v>0.7259272684239374</v>
      </c>
      <c r="G119" s="81" cm="1">
        <f t="array" ref="G119">IF(ISCLOSED(B119),SAFEDIV(SUMIFS(tbl_Monthly[mwh],tbl_Monthly[class],"commercial",tbl_Monthly[month],B119),SUMIFS(tbl_Monthly[customers],tbl_Monthly[class],"commercial",tbl_Monthly[month],B119)),"")</f>
        <v>4.7357050716134923</v>
      </c>
      <c r="H119" s="81">
        <f t="shared" si="5"/>
        <v>0.75840517747505687</v>
      </c>
      <c r="I119" s="81">
        <f t="shared" si="6"/>
        <v>4.87341266943797</v>
      </c>
      <c r="J119" t="b">
        <f>AND(ISCLOSED(B119),YEAR(B119)&lt;FiscalYear)</f>
        <v>1</v>
      </c>
    </row>
    <row r="120" spans="2:10" x14ac:dyDescent="0.3">
      <c r="B120" s="79">
        <f t="shared" si="7"/>
        <v>44501</v>
      </c>
      <c r="C120" s="80" cm="1">
        <f t="array" ref="C120">TRENDYEARS(B120)</f>
        <v>4.833333333333333</v>
      </c>
      <c r="D120" s="4">
        <f>_xlfn.XLOOKUP(B120,tbl_Weather[month],tbl_Weather[hdd],"")</f>
        <v>540</v>
      </c>
      <c r="E120" s="4">
        <f>_xlfn.XLOOKUP(B120,tbl_Weather[month],tbl_Weather[cdd],"")</f>
        <v>0</v>
      </c>
      <c r="F120" s="81" cm="1">
        <f t="array" ref="F120">IF(ISCLOSED(B120),SAFEDIV(SUMIFS(tbl_Monthly[mwh],tbl_Monthly[class],"residential",tbl_Monthly[month],B120),SUMIFS(tbl_Monthly[customers],tbl_Monthly[class],"residential",tbl_Monthly[month],B120)),"")</f>
        <v>0.77577817068094701</v>
      </c>
      <c r="G120" s="81" cm="1">
        <f t="array" ref="G120">IF(ISCLOSED(B120),SAFEDIV(SUMIFS(tbl_Monthly[mwh],tbl_Monthly[class],"commercial",tbl_Monthly[month],B120),SUMIFS(tbl_Monthly[customers],tbl_Monthly[class],"commercial",tbl_Monthly[month],B120)),"")</f>
        <v>4.7774352640308368</v>
      </c>
      <c r="H120" s="81">
        <f t="shared" si="5"/>
        <v>0.82554031743702816</v>
      </c>
      <c r="I120" s="81">
        <f t="shared" si="6"/>
        <v>4.930818948710102</v>
      </c>
      <c r="J120" t="b">
        <f>AND(ISCLOSED(B120),YEAR(B120)&lt;FiscalYear)</f>
        <v>1</v>
      </c>
    </row>
    <row r="121" spans="2:10" x14ac:dyDescent="0.3">
      <c r="B121" s="79">
        <f t="shared" si="7"/>
        <v>44531</v>
      </c>
      <c r="C121" s="80" cm="1">
        <f t="array" ref="C121">TRENDYEARS(B121)</f>
        <v>4.916666666666667</v>
      </c>
      <c r="D121" s="4">
        <f>_xlfn.XLOOKUP(B121,tbl_Weather[month],tbl_Weather[hdd],"")</f>
        <v>812</v>
      </c>
      <c r="E121" s="4">
        <f>_xlfn.XLOOKUP(B121,tbl_Weather[month],tbl_Weather[cdd],"")</f>
        <v>0</v>
      </c>
      <c r="F121" s="81" cm="1">
        <f t="array" ref="F121">IF(ISCLOSED(B121),SAFEDIV(SUMIFS(tbl_Monthly[mwh],tbl_Monthly[class],"residential",tbl_Monthly[month],B121),SUMIFS(tbl_Monthly[customers],tbl_Monthly[class],"residential",tbl_Monthly[month],B121)),"")</f>
        <v>1.1139386059477936</v>
      </c>
      <c r="G121" s="81" cm="1">
        <f t="array" ref="G121">IF(ISCLOSED(B121),SAFEDIV(SUMIFS(tbl_Monthly[mwh],tbl_Monthly[class],"commercial",tbl_Monthly[month],B121),SUMIFS(tbl_Monthly[customers],tbl_Monthly[class],"commercial",tbl_Monthly[month],B121)),"")</f>
        <v>5.8592838389758759</v>
      </c>
      <c r="H121" s="81">
        <f t="shared" si="5"/>
        <v>1.0092255428947225</v>
      </c>
      <c r="I121" s="81">
        <f t="shared" si="6"/>
        <v>5.0962835620525855</v>
      </c>
      <c r="J121" t="b">
        <f>AND(ISCLOSED(B121),YEAR(B121)&lt;FiscalYear)</f>
        <v>1</v>
      </c>
    </row>
    <row r="122" spans="2:10" x14ac:dyDescent="0.3">
      <c r="B122" s="79">
        <f t="shared" si="7"/>
        <v>44562</v>
      </c>
      <c r="C122" s="80" cm="1">
        <f t="array" ref="C122">TRENDYEARS(B122)</f>
        <v>5</v>
      </c>
      <c r="D122" s="4">
        <f>_xlfn.XLOOKUP(B122,tbl_Weather[month],tbl_Weather[hdd],"")</f>
        <v>750</v>
      </c>
      <c r="E122" s="4">
        <f>_xlfn.XLOOKUP(B122,tbl_Weather[month],tbl_Weather[cdd],"")</f>
        <v>0</v>
      </c>
      <c r="F122" s="81" cm="1">
        <f t="array" ref="F122">IF(ISCLOSED(B122),SAFEDIV(SUMIFS(tbl_Monthly[mwh],tbl_Monthly[class],"residential",tbl_Monthly[month],B122),SUMIFS(tbl_Monthly[customers],tbl_Monthly[class],"residential",tbl_Monthly[month],B122)),"")</f>
        <v>1.0414261610814246</v>
      </c>
      <c r="G122" s="81" cm="1">
        <f t="array" ref="G122">IF(ISCLOSED(B122),SAFEDIV(SUMIFS(tbl_Monthly[mwh],tbl_Monthly[class],"commercial",tbl_Monthly[month],B122),SUMIFS(tbl_Monthly[customers],tbl_Monthly[class],"commercial",tbl_Monthly[month],B122)),"")</f>
        <v>5.4607577564078715</v>
      </c>
      <c r="H122" s="81">
        <f t="shared" si="5"/>
        <v>0.96658676512234998</v>
      </c>
      <c r="I122" s="81">
        <f t="shared" si="6"/>
        <v>5.0519139685375256</v>
      </c>
      <c r="J122" t="b">
        <f>AND(ISCLOSED(B122),YEAR(B122)&lt;FiscalYear)</f>
        <v>1</v>
      </c>
    </row>
    <row r="123" spans="2:10" x14ac:dyDescent="0.3">
      <c r="B123" s="79">
        <f t="shared" si="7"/>
        <v>44593</v>
      </c>
      <c r="C123" s="80" cm="1">
        <f t="array" ref="C123">TRENDYEARS(B123)</f>
        <v>5.083333333333333</v>
      </c>
      <c r="D123" s="4">
        <f>_xlfn.XLOOKUP(B123,tbl_Weather[month],tbl_Weather[hdd],"")</f>
        <v>661</v>
      </c>
      <c r="E123" s="4">
        <f>_xlfn.XLOOKUP(B123,tbl_Weather[month],tbl_Weather[cdd],"")</f>
        <v>0</v>
      </c>
      <c r="F123" s="81" cm="1">
        <f t="array" ref="F123">IF(ISCLOSED(B123),SAFEDIV(SUMIFS(tbl_Monthly[mwh],tbl_Monthly[class],"residential",tbl_Monthly[month],B123),SUMIFS(tbl_Monthly[customers],tbl_Monthly[class],"residential",tbl_Monthly[month],B123)),"")</f>
        <v>0.88112355261199582</v>
      </c>
      <c r="G123" s="81" cm="1">
        <f t="array" ref="G123">IF(ISCLOSED(B123),SAFEDIV(SUMIFS(tbl_Monthly[mwh],tbl_Monthly[class],"commercial",tbl_Monthly[month],B123),SUMIFS(tbl_Monthly[customers],tbl_Monthly[class],"commercial",tbl_Monthly[month],B123)),"")</f>
        <v>4.1534561104752337</v>
      </c>
      <c r="H123" s="81">
        <f t="shared" si="5"/>
        <v>0.90565233439425352</v>
      </c>
      <c r="I123" s="81">
        <f t="shared" si="6"/>
        <v>4.9905817295579347</v>
      </c>
      <c r="J123" t="b">
        <f>AND(ISCLOSED(B123),YEAR(B123)&lt;FiscalYear)</f>
        <v>1</v>
      </c>
    </row>
    <row r="124" spans="2:10" x14ac:dyDescent="0.3">
      <c r="B124" s="79">
        <f t="shared" si="7"/>
        <v>44621</v>
      </c>
      <c r="C124" s="80" cm="1">
        <f t="array" ref="C124">TRENDYEARS(B124)</f>
        <v>5.166666666666667</v>
      </c>
      <c r="D124" s="4">
        <f>_xlfn.XLOOKUP(B124,tbl_Weather[month],tbl_Weather[hdd],"")</f>
        <v>570</v>
      </c>
      <c r="E124" s="4">
        <f>_xlfn.XLOOKUP(B124,tbl_Weather[month],tbl_Weather[cdd],"")</f>
        <v>0</v>
      </c>
      <c r="F124" s="81" cm="1">
        <f t="array" ref="F124">IF(ISCLOSED(B124),SAFEDIV(SUMIFS(tbl_Monthly[mwh],tbl_Monthly[class],"residential",tbl_Monthly[month],B124),SUMIFS(tbl_Monthly[customers],tbl_Monthly[class],"residential",tbl_Monthly[month],B124)),"")</f>
        <v>0.82500161154170826</v>
      </c>
      <c r="G124" s="81" cm="1">
        <f t="array" ref="G124">IF(ISCLOSED(B124),SAFEDIV(SUMIFS(tbl_Monthly[mwh],tbl_Monthly[class],"commercial",tbl_Monthly[month],B124),SUMIFS(tbl_Monthly[customers],tbl_Monthly[class],"commercial",tbl_Monthly[month],B124)),"")</f>
        <v>4.9559013830873484</v>
      </c>
      <c r="H124" s="81">
        <f t="shared" si="5"/>
        <v>0.84336267011388122</v>
      </c>
      <c r="I124" s="81">
        <f t="shared" si="6"/>
        <v>4.9279929983217112</v>
      </c>
      <c r="J124" t="b">
        <f>AND(ISCLOSED(B124),YEAR(B124)&lt;FiscalYear)</f>
        <v>1</v>
      </c>
    </row>
    <row r="125" spans="2:10" x14ac:dyDescent="0.3">
      <c r="B125" s="79">
        <f t="shared" si="7"/>
        <v>44652</v>
      </c>
      <c r="C125" s="80" cm="1">
        <f t="array" ref="C125">TRENDYEARS(B125)</f>
        <v>5.25</v>
      </c>
      <c r="D125" s="4">
        <f>_xlfn.XLOOKUP(B125,tbl_Weather[month],tbl_Weather[hdd],"")</f>
        <v>591</v>
      </c>
      <c r="E125" s="4">
        <f>_xlfn.XLOOKUP(B125,tbl_Weather[month],tbl_Weather[cdd],"")</f>
        <v>0</v>
      </c>
      <c r="F125" s="81" cm="1">
        <f t="array" ref="F125">IF(ISCLOSED(B125),SAFEDIV(SUMIFS(tbl_Monthly[mwh],tbl_Monthly[class],"residential",tbl_Monthly[month],B125),SUMIFS(tbl_Monthly[customers],tbl_Monthly[class],"residential",tbl_Monthly[month],B125)),"")</f>
        <v>0.78766045533293017</v>
      </c>
      <c r="G125" s="81" cm="1">
        <f t="array" ref="G125">IF(ISCLOSED(B125),SAFEDIV(SUMIFS(tbl_Monthly[mwh],tbl_Monthly[class],"commercial",tbl_Monthly[month],B125),SUMIFS(tbl_Monthly[customers],tbl_Monthly[class],"commercial",tbl_Monthly[month],B125)),"")</f>
        <v>4.791368183925095</v>
      </c>
      <c r="H125" s="81">
        <f t="shared" si="5"/>
        <v>0.85696608476095637</v>
      </c>
      <c r="I125" s="81">
        <f t="shared" si="6"/>
        <v>4.9357678334568789</v>
      </c>
      <c r="J125" t="b">
        <f>AND(ISCLOSED(B125),YEAR(B125)&lt;FiscalYear)</f>
        <v>1</v>
      </c>
    </row>
    <row r="126" spans="2:10" x14ac:dyDescent="0.3">
      <c r="B126" s="79">
        <f t="shared" si="7"/>
        <v>44682</v>
      </c>
      <c r="C126" s="80" cm="1">
        <f t="array" ref="C126">TRENDYEARS(B126)</f>
        <v>5.333333333333333</v>
      </c>
      <c r="D126" s="4">
        <f>_xlfn.XLOOKUP(B126,tbl_Weather[month],tbl_Weather[hdd],"")</f>
        <v>409</v>
      </c>
      <c r="E126" s="4">
        <f>_xlfn.XLOOKUP(B126,tbl_Weather[month],tbl_Weather[cdd],"")</f>
        <v>0</v>
      </c>
      <c r="F126" s="81" cm="1">
        <f t="array" ref="F126">IF(ISCLOSED(B126),SAFEDIV(SUMIFS(tbl_Monthly[mwh],tbl_Monthly[class],"residential",tbl_Monthly[month],B126),SUMIFS(tbl_Monthly[customers],tbl_Monthly[class],"residential",tbl_Monthly[month],B126)),"")</f>
        <v>0.68951608133635311</v>
      </c>
      <c r="G126" s="81" cm="1">
        <f t="array" ref="G126">IF(ISCLOSED(B126),SAFEDIV(SUMIFS(tbl_Monthly[mwh],tbl_Monthly[class],"commercial",tbl_Monthly[month],B126),SUMIFS(tbl_Monthly[customers],tbl_Monthly[class],"commercial",tbl_Monthly[month],B126)),"")</f>
        <v>4.7686814169946743</v>
      </c>
      <c r="H126" s="81">
        <f t="shared" ref="H126:H157" si="8">IF(ISNUMBER(D126),$C$6+$D$6*D126+$E$6*E126+$F$6*C126,"")</f>
        <v>0.73301329385203295</v>
      </c>
      <c r="I126" s="81">
        <f t="shared" ref="I126:I157" si="9">IF(ISNUMBER(D126),$C$7+$D$7*D126+$E$7*E126+$F$7*C126,"")</f>
        <v>4.8160087045438997</v>
      </c>
      <c r="J126" t="b">
        <f>AND(ISCLOSED(B126),YEAR(B126)&lt;FiscalYear)</f>
        <v>1</v>
      </c>
    </row>
    <row r="127" spans="2:10" x14ac:dyDescent="0.3">
      <c r="B127" s="79">
        <f t="shared" ref="B127:B158" si="10">EDATE(B126,1)</f>
        <v>44713</v>
      </c>
      <c r="C127" s="80" cm="1">
        <f t="array" ref="C127">TRENDYEARS(B127)</f>
        <v>5.416666666666667</v>
      </c>
      <c r="D127" s="4">
        <f>_xlfn.XLOOKUP(B127,tbl_Weather[month],tbl_Weather[hdd],"")</f>
        <v>157</v>
      </c>
      <c r="E127" s="4">
        <f>_xlfn.XLOOKUP(B127,tbl_Weather[month],tbl_Weather[cdd],"")</f>
        <v>13</v>
      </c>
      <c r="F127" s="81" cm="1">
        <f t="array" ref="F127">IF(ISCLOSED(B127),SAFEDIV(SUMIFS(tbl_Monthly[mwh],tbl_Monthly[class],"residential",tbl_Monthly[month],B127),SUMIFS(tbl_Monthly[customers],tbl_Monthly[class],"residential",tbl_Monthly[month],B127)),"")</f>
        <v>0.65467838884949237</v>
      </c>
      <c r="G127" s="81" cm="1">
        <f t="array" ref="G127">IF(ISCLOSED(B127),SAFEDIV(SUMIFS(tbl_Monthly[mwh],tbl_Monthly[class],"commercial",tbl_Monthly[month],B127),SUMIFS(tbl_Monthly[customers],tbl_Monthly[class],"commercial",tbl_Monthly[month],B127)),"")</f>
        <v>4.7618783364944255</v>
      </c>
      <c r="H127" s="81">
        <f t="shared" si="8"/>
        <v>0.59644028537647087</v>
      </c>
      <c r="I127" s="81">
        <f t="shared" si="9"/>
        <v>4.7480980340763033</v>
      </c>
      <c r="J127" t="b">
        <f>AND(ISCLOSED(B127),YEAR(B127)&lt;FiscalYear)</f>
        <v>1</v>
      </c>
    </row>
    <row r="128" spans="2:10" x14ac:dyDescent="0.3">
      <c r="B128" s="79">
        <f t="shared" si="10"/>
        <v>44743</v>
      </c>
      <c r="C128" s="80" cm="1">
        <f t="array" ref="C128">TRENDYEARS(B128)</f>
        <v>5.5</v>
      </c>
      <c r="D128" s="4">
        <f>_xlfn.XLOOKUP(B128,tbl_Weather[month],tbl_Weather[hdd],"")</f>
        <v>20</v>
      </c>
      <c r="E128" s="4">
        <f>_xlfn.XLOOKUP(B128,tbl_Weather[month],tbl_Weather[cdd],"")</f>
        <v>134</v>
      </c>
      <c r="F128" s="81" cm="1">
        <f t="array" ref="F128">IF(ISCLOSED(B128),SAFEDIV(SUMIFS(tbl_Monthly[mwh],tbl_Monthly[class],"residential",tbl_Monthly[month],B128),SUMIFS(tbl_Monthly[customers],tbl_Monthly[class],"residential",tbl_Monthly[month],B128)),"")</f>
        <v>0.85992343407515648</v>
      </c>
      <c r="G128" s="81" cm="1">
        <f t="array" ref="G128">IF(ISCLOSED(B128),SAFEDIV(SUMIFS(tbl_Monthly[mwh],tbl_Monthly[class],"commercial",tbl_Monthly[month],B128),SUMIFS(tbl_Monthly[customers],tbl_Monthly[class],"commercial",tbl_Monthly[month],B128)),"")</f>
        <v>5.4563929625005771</v>
      </c>
      <c r="H128" s="81">
        <f t="shared" si="8"/>
        <v>0.8270085392649037</v>
      </c>
      <c r="I128" s="81">
        <f t="shared" si="9"/>
        <v>5.5485259946858303</v>
      </c>
      <c r="J128" t="b">
        <f>AND(ISCLOSED(B128),YEAR(B128)&lt;FiscalYear)</f>
        <v>1</v>
      </c>
    </row>
    <row r="129" spans="2:10" x14ac:dyDescent="0.3">
      <c r="B129" s="79">
        <f t="shared" si="10"/>
        <v>44774</v>
      </c>
      <c r="C129" s="80" cm="1">
        <f t="array" ref="C129">TRENDYEARS(B129)</f>
        <v>5.583333333333333</v>
      </c>
      <c r="D129" s="4">
        <f>_xlfn.XLOOKUP(B129,tbl_Weather[month],tbl_Weather[hdd],"")</f>
        <v>11</v>
      </c>
      <c r="E129" s="4">
        <f>_xlfn.XLOOKUP(B129,tbl_Weather[month],tbl_Weather[cdd],"")</f>
        <v>163</v>
      </c>
      <c r="F129" s="81" cm="1">
        <f t="array" ref="F129">IF(ISCLOSED(B129),SAFEDIV(SUMIFS(tbl_Monthly[mwh],tbl_Monthly[class],"residential",tbl_Monthly[month],B129),SUMIFS(tbl_Monthly[customers],tbl_Monthly[class],"residential",tbl_Monthly[month],B129)),"")</f>
        <v>0.87416742552986826</v>
      </c>
      <c r="G129" s="81" cm="1">
        <f t="array" ref="G129">IF(ISCLOSED(B129),SAFEDIV(SUMIFS(tbl_Monthly[mwh],tbl_Monthly[class],"commercial",tbl_Monthly[month],B129),SUMIFS(tbl_Monthly[customers],tbl_Monthly[class],"commercial",tbl_Monthly[month],B129)),"")</f>
        <v>5.7067165030267244</v>
      </c>
      <c r="H129" s="81">
        <f t="shared" si="8"/>
        <v>0.89794312340687721</v>
      </c>
      <c r="I129" s="81">
        <f t="shared" si="9"/>
        <v>5.7512184410021003</v>
      </c>
      <c r="J129" t="b">
        <f>AND(ISCLOSED(B129),YEAR(B129)&lt;FiscalYear)</f>
        <v>1</v>
      </c>
    </row>
    <row r="130" spans="2:10" x14ac:dyDescent="0.3">
      <c r="B130" s="79">
        <f t="shared" si="10"/>
        <v>44805</v>
      </c>
      <c r="C130" s="80" cm="1">
        <f t="array" ref="C130">TRENDYEARS(B130)</f>
        <v>5.666666666666667</v>
      </c>
      <c r="D130" s="4">
        <f>_xlfn.XLOOKUP(B130,tbl_Weather[month],tbl_Weather[hdd],"")</f>
        <v>74</v>
      </c>
      <c r="E130" s="4">
        <f>_xlfn.XLOOKUP(B130,tbl_Weather[month],tbl_Weather[cdd],"")</f>
        <v>62</v>
      </c>
      <c r="F130" s="81" cm="1">
        <f t="array" ref="F130">IF(ISCLOSED(B130),SAFEDIV(SUMIFS(tbl_Monthly[mwh],tbl_Monthly[class],"residential",tbl_Monthly[month],B130),SUMIFS(tbl_Monthly[customers],tbl_Monthly[class],"residential",tbl_Monthly[month],B130)),"")</f>
        <v>0.65866884906407852</v>
      </c>
      <c r="G130" s="81" cm="1">
        <f t="array" ref="G130">IF(ISCLOSED(B130),SAFEDIV(SUMIFS(tbl_Monthly[mwh],tbl_Monthly[class],"commercial",tbl_Monthly[month],B130),SUMIFS(tbl_Monthly[customers],tbl_Monthly[class],"commercial",tbl_Monthly[month],B130)),"")</f>
        <v>5.0395635387250595</v>
      </c>
      <c r="H130" s="81">
        <f t="shared" si="8"/>
        <v>0.66953654780062033</v>
      </c>
      <c r="I130" s="81">
        <f t="shared" si="9"/>
        <v>5.0408877342821024</v>
      </c>
      <c r="J130" t="b">
        <f>AND(ISCLOSED(B130),YEAR(B130)&lt;FiscalYear)</f>
        <v>1</v>
      </c>
    </row>
    <row r="131" spans="2:10" x14ac:dyDescent="0.3">
      <c r="B131" s="79">
        <f t="shared" si="10"/>
        <v>44835</v>
      </c>
      <c r="C131" s="80" cm="1">
        <f t="array" ref="C131">TRENDYEARS(B131)</f>
        <v>5.75</v>
      </c>
      <c r="D131" s="4">
        <f>_xlfn.XLOOKUP(B131,tbl_Weather[month],tbl_Weather[hdd],"")</f>
        <v>228</v>
      </c>
      <c r="E131" s="4">
        <f>_xlfn.XLOOKUP(B131,tbl_Weather[month],tbl_Weather[cdd],"")</f>
        <v>0</v>
      </c>
      <c r="F131" s="81" cm="1">
        <f t="array" ref="F131">IF(ISCLOSED(B131),SAFEDIV(SUMIFS(tbl_Monthly[mwh],tbl_Monthly[class],"residential",tbl_Monthly[month],B131),SUMIFS(tbl_Monthly[customers],tbl_Monthly[class],"residential",tbl_Monthly[month],B131)),"")</f>
        <v>0.67138543650099636</v>
      </c>
      <c r="G131" s="81" cm="1">
        <f t="array" ref="G131">IF(ISCLOSED(B131),SAFEDIV(SUMIFS(tbl_Monthly[mwh],tbl_Monthly[class],"commercial",tbl_Monthly[month],B131),SUMIFS(tbl_Monthly[customers],tbl_Monthly[class],"commercial",tbl_Monthly[month],B131)),"")</f>
        <v>4.880204678200692</v>
      </c>
      <c r="H131" s="81">
        <f t="shared" si="8"/>
        <v>0.60723196911196275</v>
      </c>
      <c r="I131" s="81">
        <f t="shared" si="9"/>
        <v>4.6752044875213654</v>
      </c>
      <c r="J131" t="b">
        <f>AND(ISCLOSED(B131),YEAR(B131)&lt;FiscalYear)</f>
        <v>1</v>
      </c>
    </row>
    <row r="132" spans="2:10" x14ac:dyDescent="0.3">
      <c r="B132" s="79">
        <f t="shared" si="10"/>
        <v>44866</v>
      </c>
      <c r="C132" s="80" cm="1">
        <f t="array" ref="C132">TRENDYEARS(B132)</f>
        <v>5.833333333333333</v>
      </c>
      <c r="D132" s="4">
        <f>_xlfn.XLOOKUP(B132,tbl_Weather[month],tbl_Weather[hdd],"")</f>
        <v>738</v>
      </c>
      <c r="E132" s="4">
        <f>_xlfn.XLOOKUP(B132,tbl_Weather[month],tbl_Weather[cdd],"")</f>
        <v>0</v>
      </c>
      <c r="F132" s="81" cm="1">
        <f t="array" ref="F132">IF(ISCLOSED(B132),SAFEDIV(SUMIFS(tbl_Monthly[mwh],tbl_Monthly[class],"residential",tbl_Monthly[month],B132),SUMIFS(tbl_Monthly[customers],tbl_Monthly[class],"residential",tbl_Monthly[month],B132)),"")</f>
        <v>0.93782327243893215</v>
      </c>
      <c r="G132" s="81" cm="1">
        <f t="array" ref="G132">IF(ISCLOSED(B132),SAFEDIV(SUMIFS(tbl_Monthly[mwh],tbl_Monthly[class],"commercial",tbl_Monthly[month],B132),SUMIFS(tbl_Monthly[customers],tbl_Monthly[class],"commercial",tbl_Monthly[month],B132)),"")</f>
        <v>5.2144853466827987</v>
      </c>
      <c r="H132" s="81">
        <f t="shared" si="8"/>
        <v>0.9521899872904831</v>
      </c>
      <c r="I132" s="81">
        <f t="shared" si="9"/>
        <v>4.9901916794030567</v>
      </c>
      <c r="J132" t="b">
        <f>AND(ISCLOSED(B132),YEAR(B132)&lt;FiscalYear)</f>
        <v>1</v>
      </c>
    </row>
    <row r="133" spans="2:10" x14ac:dyDescent="0.3">
      <c r="B133" s="79">
        <f t="shared" si="10"/>
        <v>44896</v>
      </c>
      <c r="C133" s="80" cm="1">
        <f t="array" ref="C133">TRENDYEARS(B133)</f>
        <v>5.916666666666667</v>
      </c>
      <c r="D133" s="4">
        <f>_xlfn.XLOOKUP(B133,tbl_Weather[month],tbl_Weather[hdd],"")</f>
        <v>818</v>
      </c>
      <c r="E133" s="4">
        <f>_xlfn.XLOOKUP(B133,tbl_Weather[month],tbl_Weather[cdd],"")</f>
        <v>0</v>
      </c>
      <c r="F133" s="81" cm="1">
        <f t="array" ref="F133">IF(ISCLOSED(B133),SAFEDIV(SUMIFS(tbl_Monthly[mwh],tbl_Monthly[class],"residential",tbl_Monthly[month],B133),SUMIFS(tbl_Monthly[customers],tbl_Monthly[class],"residential",tbl_Monthly[month],B133)),"")</f>
        <v>1.1093318599199584</v>
      </c>
      <c r="G133" s="81" cm="1">
        <f t="array" ref="G133">IF(ISCLOSED(B133),SAFEDIV(SUMIFS(tbl_Monthly[mwh],tbl_Monthly[class],"commercial",tbl_Monthly[month],B133),SUMIFS(tbl_Monthly[customers],tbl_Monthly[class],"commercial",tbl_Monthly[month],B133)),"")</f>
        <v>5.18493390656137</v>
      </c>
      <c r="H133" s="81">
        <f t="shared" si="8"/>
        <v>1.0057727917296961</v>
      </c>
      <c r="I133" s="81">
        <f t="shared" si="9"/>
        <v>5.0350330361088682</v>
      </c>
      <c r="J133" t="b">
        <f>AND(ISCLOSED(B133),YEAR(B133)&lt;FiscalYear)</f>
        <v>1</v>
      </c>
    </row>
    <row r="134" spans="2:10" x14ac:dyDescent="0.3">
      <c r="B134" s="79">
        <f t="shared" si="10"/>
        <v>44927</v>
      </c>
      <c r="C134" s="80" cm="1">
        <f t="array" ref="C134">TRENDYEARS(B134)</f>
        <v>6</v>
      </c>
      <c r="D134" s="4">
        <f>_xlfn.XLOOKUP(B134,tbl_Weather[month],tbl_Weather[hdd],"")</f>
        <v>756</v>
      </c>
      <c r="E134" s="4">
        <f>_xlfn.XLOOKUP(B134,tbl_Weather[month],tbl_Weather[cdd],"")</f>
        <v>0</v>
      </c>
      <c r="F134" s="81" cm="1">
        <f t="array" ref="F134">IF(ISCLOSED(B134),SAFEDIV(SUMIFS(tbl_Monthly[mwh],tbl_Monthly[class],"residential",tbl_Monthly[month],B134),SUMIFS(tbl_Monthly[customers],tbl_Monthly[class],"residential",tbl_Monthly[month],B134)),"")</f>
        <v>0.98956377400513296</v>
      </c>
      <c r="G134" s="81" cm="1">
        <f t="array" ref="G134">IF(ISCLOSED(B134),SAFEDIV(SUMIFS(tbl_Monthly[mwh],tbl_Monthly[class],"commercial",tbl_Monthly[month],B134),SUMIFS(tbl_Monthly[customers],tbl_Monthly[class],"commercial",tbl_Monthly[month],B134)),"")</f>
        <v>5.3570002122574039</v>
      </c>
      <c r="H134" s="81">
        <f t="shared" si="8"/>
        <v>0.96313401395732345</v>
      </c>
      <c r="I134" s="81">
        <f t="shared" si="9"/>
        <v>4.9906634425938092</v>
      </c>
      <c r="J134" t="b">
        <f>AND(ISCLOSED(B134),YEAR(B134)&lt;FiscalYear)</f>
        <v>1</v>
      </c>
    </row>
    <row r="135" spans="2:10" x14ac:dyDescent="0.3">
      <c r="B135" s="79">
        <f t="shared" si="10"/>
        <v>44958</v>
      </c>
      <c r="C135" s="80" cm="1">
        <f t="array" ref="C135">TRENDYEARS(B135)</f>
        <v>6.083333333333333</v>
      </c>
      <c r="D135" s="4">
        <f>_xlfn.XLOOKUP(B135,tbl_Weather[month],tbl_Weather[hdd],"")</f>
        <v>734</v>
      </c>
      <c r="E135" s="4">
        <f>_xlfn.XLOOKUP(B135,tbl_Weather[month],tbl_Weather[cdd],"")</f>
        <v>0</v>
      </c>
      <c r="F135" s="81" cm="1">
        <f t="array" ref="F135">IF(ISCLOSED(B135),SAFEDIV(SUMIFS(tbl_Monthly[mwh],tbl_Monthly[class],"residential",tbl_Monthly[month],B135),SUMIFS(tbl_Monthly[customers],tbl_Monthly[class],"residential",tbl_Monthly[month],B135)),"")</f>
        <v>0.9338512950363288</v>
      </c>
      <c r="G135" s="81" cm="1">
        <f t="array" ref="G135">IF(ISCLOSED(B135),SAFEDIV(SUMIFS(tbl_Monthly[mwh],tbl_Monthly[class],"commercial",tbl_Monthly[month],B135),SUMIFS(tbl_Monthly[customers],tbl_Monthly[class],"commercial",tbl_Monthly[month],B135)),"")</f>
        <v>4.7764098061110545</v>
      </c>
      <c r="H135" s="81">
        <f t="shared" si="8"/>
        <v>0.94759990723046794</v>
      </c>
      <c r="I135" s="81">
        <f t="shared" si="9"/>
        <v>4.9714236942113894</v>
      </c>
      <c r="J135" t="b">
        <f>AND(ISCLOSED(B135),YEAR(B135)&lt;FiscalYear)</f>
        <v>1</v>
      </c>
    </row>
    <row r="136" spans="2:10" x14ac:dyDescent="0.3">
      <c r="B136" s="79">
        <f t="shared" si="10"/>
        <v>44986</v>
      </c>
      <c r="C136" s="80" cm="1">
        <f t="array" ref="C136">TRENDYEARS(B136)</f>
        <v>6.166666666666667</v>
      </c>
      <c r="D136" s="4">
        <f>_xlfn.XLOOKUP(B136,tbl_Weather[month],tbl_Weather[hdd],"")</f>
        <v>760</v>
      </c>
      <c r="E136" s="4">
        <f>_xlfn.XLOOKUP(B136,tbl_Weather[month],tbl_Weather[cdd],"")</f>
        <v>0</v>
      </c>
      <c r="F136" s="81" cm="1">
        <f t="array" ref="F136">IF(ISCLOSED(B136),SAFEDIV(SUMIFS(tbl_Monthly[mwh],tbl_Monthly[class],"residential",tbl_Monthly[month],B136),SUMIFS(tbl_Monthly[customers],tbl_Monthly[class],"residential",tbl_Monthly[month],B136)),"")</f>
        <v>0.9354524833146064</v>
      </c>
      <c r="G136" s="81" cm="1">
        <f t="array" ref="G136">IF(ISCLOSED(B136),SAFEDIV(SUMIFS(tbl_Monthly[mwh],tbl_Monthly[class],"commercial",tbl_Monthly[month],B136),SUMIFS(tbl_Monthly[customers],tbl_Monthly[class],"commercial",tbl_Monthly[month],B136)),"")</f>
        <v>5.1238991306111528</v>
      </c>
      <c r="H136" s="81">
        <f t="shared" si="8"/>
        <v>0.96459140575823288</v>
      </c>
      <c r="I136" s="81">
        <f t="shared" si="9"/>
        <v>4.9823397599881378</v>
      </c>
      <c r="J136" t="b">
        <f>AND(ISCLOSED(B136),YEAR(B136)&lt;FiscalYear)</f>
        <v>1</v>
      </c>
    </row>
    <row r="137" spans="2:10" x14ac:dyDescent="0.3">
      <c r="B137" s="79">
        <f t="shared" si="10"/>
        <v>45017</v>
      </c>
      <c r="C137" s="80" cm="1">
        <f t="array" ref="C137">TRENDYEARS(B137)</f>
        <v>6.25</v>
      </c>
      <c r="D137" s="4">
        <f>_xlfn.XLOOKUP(B137,tbl_Weather[month],tbl_Weather[hdd],"")</f>
        <v>543</v>
      </c>
      <c r="E137" s="4">
        <f>_xlfn.XLOOKUP(B137,tbl_Weather[month],tbl_Weather[cdd],"")</f>
        <v>0</v>
      </c>
      <c r="F137" s="81" cm="1">
        <f t="array" ref="F137">IF(ISCLOSED(B137),SAFEDIV(SUMIFS(tbl_Monthly[mwh],tbl_Monthly[class],"residential",tbl_Monthly[month],B137),SUMIFS(tbl_Monthly[customers],tbl_Monthly[class],"residential",tbl_Monthly[month],B137)),"")</f>
        <v>0.78236431948997998</v>
      </c>
      <c r="G137" s="81" cm="1">
        <f t="array" ref="G137">IF(ISCLOSED(B137),SAFEDIV(SUMIFS(tbl_Monthly[mwh],tbl_Monthly[class],"commercial",tbl_Monthly[month],B137),SUMIFS(tbl_Monthly[customers],tbl_Monthly[class],"commercial",tbl_Monthly[month],B137)),"")</f>
        <v>4.7387466824163456</v>
      </c>
      <c r="H137" s="81">
        <f t="shared" si="8"/>
        <v>0.81692202768448197</v>
      </c>
      <c r="I137" s="81">
        <f t="shared" si="9"/>
        <v>4.8405920165840985</v>
      </c>
      <c r="J137" t="b">
        <f>AND(ISCLOSED(B137),YEAR(B137)&lt;FiscalYear)</f>
        <v>1</v>
      </c>
    </row>
    <row r="138" spans="2:10" x14ac:dyDescent="0.3">
      <c r="B138" s="79">
        <f t="shared" si="10"/>
        <v>45047</v>
      </c>
      <c r="C138" s="80" cm="1">
        <f t="array" ref="C138">TRENDYEARS(B138)</f>
        <v>6.333333333333333</v>
      </c>
      <c r="D138" s="4">
        <f>_xlfn.XLOOKUP(B138,tbl_Weather[month],tbl_Weather[hdd],"")</f>
        <v>202</v>
      </c>
      <c r="E138" s="4">
        <f>_xlfn.XLOOKUP(B138,tbl_Weather[month],tbl_Weather[cdd],"")</f>
        <v>13</v>
      </c>
      <c r="F138" s="81" cm="1">
        <f t="array" ref="F138">IF(ISCLOSED(B138),SAFEDIV(SUMIFS(tbl_Monthly[mwh],tbl_Monthly[class],"residential",tbl_Monthly[month],B138),SUMIFS(tbl_Monthly[customers],tbl_Monthly[class],"residential",tbl_Monthly[month],B138)),"")</f>
        <v>0.68840872382533191</v>
      </c>
      <c r="G138" s="81" cm="1">
        <f t="array" ref="G138">IF(ISCLOSED(B138),SAFEDIV(SUMIFS(tbl_Monthly[mwh],tbl_Monthly[class],"commercial",tbl_Monthly[month],B138),SUMIFS(tbl_Monthly[customers],tbl_Monthly[class],"commercial",tbl_Monthly[month],B138)),"")</f>
        <v>4.9550757683729287</v>
      </c>
      <c r="H138" s="81">
        <f t="shared" si="8"/>
        <v>0.62004112613264462</v>
      </c>
      <c r="I138" s="81">
        <f t="shared" si="9"/>
        <v>4.7167674406963789</v>
      </c>
      <c r="J138" t="b">
        <f>AND(ISCLOSED(B138),YEAR(B138)&lt;FiscalYear)</f>
        <v>1</v>
      </c>
    </row>
    <row r="139" spans="2:10" x14ac:dyDescent="0.3">
      <c r="B139" s="79">
        <f t="shared" si="10"/>
        <v>45078</v>
      </c>
      <c r="C139" s="80" cm="1">
        <f t="array" ref="C139">TRENDYEARS(B139)</f>
        <v>6.416666666666667</v>
      </c>
      <c r="D139" s="4">
        <f>_xlfn.XLOOKUP(B139,tbl_Weather[month],tbl_Weather[hdd],"")</f>
        <v>122</v>
      </c>
      <c r="E139" s="4">
        <f>_xlfn.XLOOKUP(B139,tbl_Weather[month],tbl_Weather[cdd],"")</f>
        <v>23</v>
      </c>
      <c r="F139" s="81" cm="1">
        <f t="array" ref="F139">IF(ISCLOSED(B139),SAFEDIV(SUMIFS(tbl_Monthly[mwh],tbl_Monthly[class],"residential",tbl_Monthly[month],B139),SUMIFS(tbl_Monthly[customers],tbl_Monthly[class],"residential",tbl_Monthly[month],B139)),"")</f>
        <v>0.65415985240957208</v>
      </c>
      <c r="G139" s="81" cm="1">
        <f t="array" ref="G139">IF(ISCLOSED(B139),SAFEDIV(SUMIFS(tbl_Monthly[mwh],tbl_Monthly[class],"commercial",tbl_Monthly[month],B139),SUMIFS(tbl_Monthly[customers],tbl_Monthly[class],"commercial",tbl_Monthly[month],B139)),"")</f>
        <v>4.8197031525827887</v>
      </c>
      <c r="H139" s="81">
        <f t="shared" si="8"/>
        <v>0.59198444389980176</v>
      </c>
      <c r="I139" s="81">
        <f t="shared" si="9"/>
        <v>4.7348014841235555</v>
      </c>
      <c r="J139" t="b">
        <f>AND(ISCLOSED(B139),YEAR(B139)&lt;FiscalYear)</f>
        <v>1</v>
      </c>
    </row>
    <row r="140" spans="2:10" x14ac:dyDescent="0.3">
      <c r="B140" s="79">
        <f t="shared" si="10"/>
        <v>45108</v>
      </c>
      <c r="C140" s="80" cm="1">
        <f t="array" ref="C140">TRENDYEARS(B140)</f>
        <v>6.5</v>
      </c>
      <c r="D140" s="4">
        <f>_xlfn.XLOOKUP(B140,tbl_Weather[month],tbl_Weather[hdd],"")</f>
        <v>22</v>
      </c>
      <c r="E140" s="4">
        <f>_xlfn.XLOOKUP(B140,tbl_Weather[month],tbl_Weather[cdd],"")</f>
        <v>127</v>
      </c>
      <c r="F140" s="81" cm="1">
        <f t="array" ref="F140">IF(ISCLOSED(B140),SAFEDIV(SUMIFS(tbl_Monthly[mwh],tbl_Monthly[class],"residential",tbl_Monthly[month],B140),SUMIFS(tbl_Monthly[customers],tbl_Monthly[class],"residential",tbl_Monthly[month],B140)),"")</f>
        <v>0.83775454726158161</v>
      </c>
      <c r="G140" s="81" cm="1">
        <f t="array" ref="G140">IF(ISCLOSED(B140),SAFEDIV(SUMIFS(tbl_Monthly[mwh],tbl_Monthly[class],"commercial",tbl_Monthly[month],B140),SUMIFS(tbl_Monthly[customers],tbl_Monthly[class],"commercial",tbl_Monthly[month],B140)),"")</f>
        <v>5.3745362197936659</v>
      </c>
      <c r="H140" s="81">
        <f t="shared" si="8"/>
        <v>0.80209988273831667</v>
      </c>
      <c r="I140" s="81">
        <f t="shared" si="9"/>
        <v>5.4331640371525038</v>
      </c>
      <c r="J140" t="b">
        <f>AND(ISCLOSED(B140),YEAR(B140)&lt;FiscalYear)</f>
        <v>1</v>
      </c>
    </row>
    <row r="141" spans="2:10" x14ac:dyDescent="0.3">
      <c r="B141" s="79">
        <f t="shared" si="10"/>
        <v>45139</v>
      </c>
      <c r="C141" s="80" cm="1">
        <f t="array" ref="C141">TRENDYEARS(B141)</f>
        <v>6.583333333333333</v>
      </c>
      <c r="D141" s="4">
        <f>_xlfn.XLOOKUP(B141,tbl_Weather[month],tbl_Weather[hdd],"")</f>
        <v>10</v>
      </c>
      <c r="E141" s="4">
        <f>_xlfn.XLOOKUP(B141,tbl_Weather[month],tbl_Weather[cdd],"")</f>
        <v>174</v>
      </c>
      <c r="F141" s="81" cm="1">
        <f t="array" ref="F141">IF(ISCLOSED(B141),SAFEDIV(SUMIFS(tbl_Monthly[mwh],tbl_Monthly[class],"residential",tbl_Monthly[month],B141),SUMIFS(tbl_Monthly[customers],tbl_Monthly[class],"residential",tbl_Monthly[month],B141)),"")</f>
        <v>0.86339673435579745</v>
      </c>
      <c r="G141" s="81" cm="1">
        <f t="array" ref="G141">IF(ISCLOSED(B141),SAFEDIV(SUMIFS(tbl_Monthly[mwh],tbl_Monthly[class],"commercial",tbl_Monthly[month],B141),SUMIFS(tbl_Monthly[customers],tbl_Monthly[class],"commercial",tbl_Monthly[month],B141)),"")</f>
        <v>5.6407117839258776</v>
      </c>
      <c r="H141" s="81">
        <f t="shared" si="8"/>
        <v>0.91920417206989857</v>
      </c>
      <c r="I141" s="81">
        <f t="shared" si="9"/>
        <v>5.7666534661372895</v>
      </c>
      <c r="J141" t="b">
        <f>AND(ISCLOSED(B141),YEAR(B141)&lt;FiscalYear)</f>
        <v>1</v>
      </c>
    </row>
    <row r="142" spans="2:10" x14ac:dyDescent="0.3">
      <c r="B142" s="79">
        <f t="shared" si="10"/>
        <v>45170</v>
      </c>
      <c r="C142" s="80" cm="1">
        <f t="array" ref="C142">TRENDYEARS(B142)</f>
        <v>6.666666666666667</v>
      </c>
      <c r="D142" s="4">
        <f>_xlfn.XLOOKUP(B142,tbl_Weather[month],tbl_Weather[hdd],"")</f>
        <v>138</v>
      </c>
      <c r="E142" s="4">
        <f>_xlfn.XLOOKUP(B142,tbl_Weather[month],tbl_Weather[cdd],"")</f>
        <v>21</v>
      </c>
      <c r="F142" s="81" cm="1">
        <f t="array" ref="F142">IF(ISCLOSED(B142),SAFEDIV(SUMIFS(tbl_Monthly[mwh],tbl_Monthly[class],"residential",tbl_Monthly[month],B142),SUMIFS(tbl_Monthly[customers],tbl_Monthly[class],"residential",tbl_Monthly[month],B142)),"")</f>
        <v>0.61699801029260326</v>
      </c>
      <c r="G142" s="81" cm="1">
        <f t="array" ref="G142">IF(ISCLOSED(B142),SAFEDIV(SUMIFS(tbl_Monthly[mwh],tbl_Monthly[class],"commercial",tbl_Monthly[month],B142),SUMIFS(tbl_Monthly[customers],tbl_Monthly[class],"commercial",tbl_Monthly[month],B142)),"")</f>
        <v>4.6565903174706111</v>
      </c>
      <c r="H142" s="81">
        <f t="shared" si="8"/>
        <v>0.59559085986054261</v>
      </c>
      <c r="I142" s="81">
        <f t="shared" si="9"/>
        <v>4.7138560080478227</v>
      </c>
      <c r="J142" t="b">
        <f>AND(ISCLOSED(B142),YEAR(B142)&lt;FiscalYear)</f>
        <v>1</v>
      </c>
    </row>
    <row r="143" spans="2:10" x14ac:dyDescent="0.3">
      <c r="B143" s="79">
        <f t="shared" si="10"/>
        <v>45200</v>
      </c>
      <c r="C143" s="80" cm="1">
        <f t="array" ref="C143">TRENDYEARS(B143)</f>
        <v>6.75</v>
      </c>
      <c r="D143" s="4">
        <f>_xlfn.XLOOKUP(B143,tbl_Weather[month],tbl_Weather[hdd],"")</f>
        <v>338</v>
      </c>
      <c r="E143" s="4">
        <f>_xlfn.XLOOKUP(B143,tbl_Weather[month],tbl_Weather[cdd],"")</f>
        <v>0</v>
      </c>
      <c r="F143" s="81" cm="1">
        <f t="array" ref="F143">IF(ISCLOSED(B143),SAFEDIV(SUMIFS(tbl_Monthly[mwh],tbl_Monthly[class],"residential",tbl_Monthly[month],B143),SUMIFS(tbl_Monthly[customers],tbl_Monthly[class],"residential",tbl_Monthly[month],B143)),"")</f>
        <v>0.67368994800333037</v>
      </c>
      <c r="G143" s="81" cm="1">
        <f t="array" ref="G143">IF(ISCLOSED(B143),SAFEDIV(SUMIFS(tbl_Monthly[mwh],tbl_Monthly[class],"commercial",tbl_Monthly[month],B143),SUMIFS(tbl_Monthly[customers],tbl_Monthly[class],"commercial",tbl_Monthly[month],B143)),"")</f>
        <v>4.9420760798111205</v>
      </c>
      <c r="H143" s="81">
        <f t="shared" si="8"/>
        <v>0.67425136266528041</v>
      </c>
      <c r="I143" s="81">
        <f t="shared" si="9"/>
        <v>4.6792915589225137</v>
      </c>
      <c r="J143" t="b">
        <f>AND(ISCLOSED(B143),YEAR(B143)&lt;FiscalYear)</f>
        <v>1</v>
      </c>
    </row>
    <row r="144" spans="2:10" x14ac:dyDescent="0.3">
      <c r="B144" s="79">
        <f t="shared" si="10"/>
        <v>45231</v>
      </c>
      <c r="C144" s="80" cm="1">
        <f t="array" ref="C144">TRENDYEARS(B144)</f>
        <v>6.833333333333333</v>
      </c>
      <c r="D144" s="4">
        <f>_xlfn.XLOOKUP(B144,tbl_Weather[month],tbl_Weather[hdd],"")</f>
        <v>600</v>
      </c>
      <c r="E144" s="4">
        <f>_xlfn.XLOOKUP(B144,tbl_Weather[month],tbl_Weather[cdd],"")</f>
        <v>0</v>
      </c>
      <c r="F144" s="81" cm="1">
        <f t="array" ref="F144">IF(ISCLOSED(B144),SAFEDIV(SUMIFS(tbl_Monthly[mwh],tbl_Monthly[class],"residential",tbl_Monthly[month],B144),SUMIFS(tbl_Monthly[customers],tbl_Monthly[class],"residential",tbl_Monthly[month],B144)),"")</f>
        <v>0.8224598753907767</v>
      </c>
      <c r="G144" s="81" cm="1">
        <f t="array" ref="G144">IF(ISCLOSED(B144),SAFEDIV(SUMIFS(tbl_Monthly[mwh],tbl_Monthly[class],"commercial",tbl_Monthly[month],B144),SUMIFS(tbl_Monthly[customers],tbl_Monthly[class],"commercial",tbl_Monthly[month],B144)),"")</f>
        <v>4.7041655306628787</v>
      </c>
      <c r="H144" s="81">
        <f t="shared" si="8"/>
        <v>0.85116042036159545</v>
      </c>
      <c r="I144" s="81">
        <f t="shared" si="9"/>
        <v>4.8384737109818365</v>
      </c>
      <c r="J144" t="b">
        <f>AND(ISCLOSED(B144),YEAR(B144)&lt;FiscalYear)</f>
        <v>1</v>
      </c>
    </row>
    <row r="145" spans="2:10" x14ac:dyDescent="0.3">
      <c r="B145" s="79">
        <f t="shared" si="10"/>
        <v>45261</v>
      </c>
      <c r="C145" s="80" cm="1">
        <f t="array" ref="C145">TRENDYEARS(B145)</f>
        <v>6.916666666666667</v>
      </c>
      <c r="D145" s="4">
        <f>_xlfn.XLOOKUP(B145,tbl_Weather[month],tbl_Weather[hdd],"")</f>
        <v>642</v>
      </c>
      <c r="E145" s="4">
        <f>_xlfn.XLOOKUP(B145,tbl_Weather[month],tbl_Weather[cdd],"")</f>
        <v>0</v>
      </c>
      <c r="F145" s="81" cm="1">
        <f t="array" ref="F145">IF(ISCLOSED(B145),SAFEDIV(SUMIFS(tbl_Monthly[mwh],tbl_Monthly[class],"residential",tbl_Monthly[month],B145),SUMIFS(tbl_Monthly[customers],tbl_Monthly[class],"residential",tbl_Monthly[month],B145)),"")</f>
        <v>0.94861065935846933</v>
      </c>
      <c r="G145" s="81" cm="1">
        <f t="array" ref="G145">IF(ISCLOSED(B145),SAFEDIV(SUMIFS(tbl_Monthly[mwh],tbl_Monthly[class],"commercial",tbl_Monthly[month],B145),SUMIFS(tbl_Monthly[customers],tbl_Monthly[class],"commercial",tbl_Monthly[month],B145)),"")</f>
        <v>5.1239232027654023</v>
      </c>
      <c r="H145" s="81">
        <f t="shared" si="8"/>
        <v>0.87899378730756716</v>
      </c>
      <c r="I145" s="81">
        <f t="shared" si="9"/>
        <v>4.8594417148116413</v>
      </c>
      <c r="J145" t="b">
        <f>AND(ISCLOSED(B145),YEAR(B145)&lt;FiscalYear)</f>
        <v>1</v>
      </c>
    </row>
    <row r="146" spans="2:10" x14ac:dyDescent="0.3">
      <c r="B146" s="79">
        <f t="shared" si="10"/>
        <v>45292</v>
      </c>
      <c r="C146" s="80" cm="1">
        <f t="array" ref="C146">TRENDYEARS(B146)</f>
        <v>7</v>
      </c>
      <c r="D146" s="4">
        <f>_xlfn.XLOOKUP(B146,tbl_Weather[month],tbl_Weather[hdd],"")</f>
        <v>747</v>
      </c>
      <c r="E146" s="4">
        <f>_xlfn.XLOOKUP(B146,tbl_Weather[month],tbl_Weather[cdd],"")</f>
        <v>0</v>
      </c>
      <c r="F146" s="81" cm="1">
        <f t="array" ref="F146">IF(ISCLOSED(B146),SAFEDIV(SUMIFS(tbl_Monthly[mwh],tbl_Monthly[class],"residential",tbl_Monthly[month],B146),SUMIFS(tbl_Monthly[customers],tbl_Monthly[class],"residential",tbl_Monthly[month],B146)),"")</f>
        <v>1.0563713100949115</v>
      </c>
      <c r="G146" s="81" cm="1">
        <f t="array" ref="G146">IF(ISCLOSED(B146),SAFEDIV(SUMIFS(tbl_Monthly[mwh],tbl_Monthly[class],"commercial",tbl_Monthly[month],B146),SUMIFS(tbl_Monthly[customers],tbl_Monthly[class],"commercial",tbl_Monthly[month],B146)),"")</f>
        <v>5.2479355098117146</v>
      </c>
      <c r="H146" s="81">
        <f t="shared" si="8"/>
        <v>0.94951701115022802</v>
      </c>
      <c r="I146" s="81">
        <f t="shared" si="9"/>
        <v>4.9199892247253532</v>
      </c>
      <c r="J146" t="b">
        <f>AND(ISCLOSED(B146),YEAR(B146)&lt;FiscalYear)</f>
        <v>1</v>
      </c>
    </row>
    <row r="147" spans="2:10" x14ac:dyDescent="0.3">
      <c r="B147" s="79">
        <f t="shared" si="10"/>
        <v>45323</v>
      </c>
      <c r="C147" s="80" cm="1">
        <f t="array" ref="C147">TRENDYEARS(B147)</f>
        <v>7.083333333333333</v>
      </c>
      <c r="D147" s="4">
        <f>_xlfn.XLOOKUP(B147,tbl_Weather[month],tbl_Weather[hdd],"")</f>
        <v>613</v>
      </c>
      <c r="E147" s="4">
        <f>_xlfn.XLOOKUP(B147,tbl_Weather[month],tbl_Weather[cdd],"")</f>
        <v>0</v>
      </c>
      <c r="F147" s="81" cm="1">
        <f t="array" ref="F147">IF(ISCLOSED(B147),SAFEDIV(SUMIFS(tbl_Monthly[mwh],tbl_Monthly[class],"residential",tbl_Monthly[month],B147),SUMIFS(tbl_Monthly[customers],tbl_Monthly[class],"residential",tbl_Monthly[month],B147)),"")</f>
        <v>0.84382567958427579</v>
      </c>
      <c r="G147" s="81" cm="1">
        <f t="array" ref="G147">IF(ISCLOSED(B147),SAFEDIV(SUMIFS(tbl_Monthly[mwh],tbl_Monthly[class],"commercial",tbl_Monthly[month],B147),SUMIFS(tbl_Monthly[customers],tbl_Monthly[class],"commercial",tbl_Monthly[month],B147)),"")</f>
        <v>4.7877743793391234</v>
      </c>
      <c r="H147" s="81">
        <f t="shared" si="8"/>
        <v>0.85808982549592494</v>
      </c>
      <c r="I147" s="81">
        <f t="shared" si="9"/>
        <v>4.8303859099715414</v>
      </c>
      <c r="J147" t="b">
        <f>AND(ISCLOSED(B147),YEAR(B147)&lt;FiscalYear)</f>
        <v>1</v>
      </c>
    </row>
    <row r="148" spans="2:10" x14ac:dyDescent="0.3">
      <c r="B148" s="79">
        <f t="shared" si="10"/>
        <v>45352</v>
      </c>
      <c r="C148" s="80" cm="1">
        <f t="array" ref="C148">TRENDYEARS(B148)</f>
        <v>7.166666666666667</v>
      </c>
      <c r="D148" s="4">
        <f>_xlfn.XLOOKUP(B148,tbl_Weather[month],tbl_Weather[hdd],"")</f>
        <v>617</v>
      </c>
      <c r="E148" s="4">
        <f>_xlfn.XLOOKUP(B148,tbl_Weather[month],tbl_Weather[cdd],"")</f>
        <v>0</v>
      </c>
      <c r="F148" s="81" cm="1">
        <f t="array" ref="F148">IF(ISCLOSED(B148),SAFEDIV(SUMIFS(tbl_Monthly[mwh],tbl_Monthly[class],"residential",tbl_Monthly[month],B148),SUMIFS(tbl_Monthly[customers],tbl_Monthly[class],"residential",tbl_Monthly[month],B148)),"")</f>
        <v>0.82108314987175846</v>
      </c>
      <c r="G148" s="81" cm="1">
        <f t="array" ref="G148">IF(ISCLOSED(B148),SAFEDIV(SUMIFS(tbl_Monthly[mwh],tbl_Monthly[class],"commercial",tbl_Monthly[month],B148),SUMIFS(tbl_Monthly[customers],tbl_Monthly[class],"commercial",tbl_Monthly[month],B148)),"")</f>
        <v>4.8810316664684841</v>
      </c>
      <c r="H148" s="81">
        <f t="shared" si="8"/>
        <v>0.86017375494865544</v>
      </c>
      <c r="I148" s="81">
        <f t="shared" si="9"/>
        <v>4.8274805609253377</v>
      </c>
      <c r="J148" t="b">
        <f>AND(ISCLOSED(B148),YEAR(B148)&lt;FiscalYear)</f>
        <v>1</v>
      </c>
    </row>
    <row r="149" spans="2:10" x14ac:dyDescent="0.3">
      <c r="B149" s="79">
        <f t="shared" si="10"/>
        <v>45383</v>
      </c>
      <c r="C149" s="80" cm="1">
        <f t="array" ref="C149">TRENDYEARS(B149)</f>
        <v>7.25</v>
      </c>
      <c r="D149" s="4">
        <f>_xlfn.XLOOKUP(B149,tbl_Weather[month],tbl_Weather[hdd],"")</f>
        <v>486</v>
      </c>
      <c r="E149" s="4">
        <f>_xlfn.XLOOKUP(B149,tbl_Weather[month],tbl_Weather[cdd],"")</f>
        <v>0</v>
      </c>
      <c r="F149" s="81" cm="1">
        <f t="array" ref="F149">IF(ISCLOSED(B149),SAFEDIV(SUMIFS(tbl_Monthly[mwh],tbl_Monthly[class],"residential",tbl_Monthly[month],B149),SUMIFS(tbl_Monthly[customers],tbl_Monthly[class],"residential",tbl_Monthly[month],B149)),"")</f>
        <v>0.66513729223392459</v>
      </c>
      <c r="G149" s="81" cm="1">
        <f t="array" ref="G149">IF(ISCLOSED(B149),SAFEDIV(SUMIFS(tbl_Monthly[mwh],tbl_Monthly[class],"commercial",tbl_Monthly[month],B149),SUMIFS(tbl_Monthly[customers],tbl_Monthly[class],"commercial",tbl_Monthly[month],B149)),"")</f>
        <v>4.655841361845293</v>
      </c>
      <c r="H149" s="81">
        <f t="shared" si="8"/>
        <v>0.77077941962276619</v>
      </c>
      <c r="I149" s="81">
        <f t="shared" si="9"/>
        <v>4.7397619845564742</v>
      </c>
      <c r="J149" t="b">
        <f>AND(ISCLOSED(B149),YEAR(B149)&lt;FiscalYear)</f>
        <v>1</v>
      </c>
    </row>
    <row r="150" spans="2:10" x14ac:dyDescent="0.3">
      <c r="B150" s="79">
        <f t="shared" si="10"/>
        <v>45413</v>
      </c>
      <c r="C150" s="80" cm="1">
        <f t="array" ref="C150">TRENDYEARS(B150)</f>
        <v>7.333333333333333</v>
      </c>
      <c r="D150" s="4">
        <f>_xlfn.XLOOKUP(B150,tbl_Weather[month],tbl_Weather[hdd],"")</f>
        <v>344</v>
      </c>
      <c r="E150" s="4">
        <f>_xlfn.XLOOKUP(B150,tbl_Weather[month],tbl_Weather[cdd],"")</f>
        <v>0</v>
      </c>
      <c r="F150" s="81" cm="1">
        <f t="array" ref="F150">IF(ISCLOSED(B150),SAFEDIV(SUMIFS(tbl_Monthly[mwh],tbl_Monthly[class],"residential",tbl_Monthly[month],B150),SUMIFS(tbl_Monthly[customers],tbl_Monthly[class],"residential",tbl_Monthly[month],B150)),"")</f>
        <v>0.64615479717734292</v>
      </c>
      <c r="G150" s="81" cm="1">
        <f t="array" ref="G150">IF(ISCLOSED(B150),SAFEDIV(SUMIFS(tbl_Monthly[mwh],tbl_Monthly[class],"commercial",tbl_Monthly[month],B150),SUMIFS(tbl_Monthly[customers],tbl_Monthly[class],"commercial",tbl_Monthly[month],B150)),"")</f>
        <v>4.6566132862087546</v>
      </c>
      <c r="H150" s="81">
        <f t="shared" si="8"/>
        <v>0.67393129975935973</v>
      </c>
      <c r="I150" s="81">
        <f t="shared" si="9"/>
        <v>4.6451327007761352</v>
      </c>
      <c r="J150" t="b">
        <f>AND(ISCLOSED(B150),YEAR(B150)&lt;FiscalYear)</f>
        <v>1</v>
      </c>
    </row>
    <row r="151" spans="2:10" x14ac:dyDescent="0.3">
      <c r="B151" s="79">
        <f t="shared" si="10"/>
        <v>45444</v>
      </c>
      <c r="C151" s="80" cm="1">
        <f t="array" ref="C151">TRENDYEARS(B151)</f>
        <v>7.416666666666667</v>
      </c>
      <c r="D151" s="4">
        <f>_xlfn.XLOOKUP(B151,tbl_Weather[month],tbl_Weather[hdd],"")</f>
        <v>144</v>
      </c>
      <c r="E151" s="4">
        <f>_xlfn.XLOOKUP(B151,tbl_Weather[month],tbl_Weather[cdd],"")</f>
        <v>15</v>
      </c>
      <c r="F151" s="81" cm="1">
        <f t="array" ref="F151">IF(ISCLOSED(B151),SAFEDIV(SUMIFS(tbl_Monthly[mwh],tbl_Monthly[class],"residential",tbl_Monthly[month],B151),SUMIFS(tbl_Monthly[customers],tbl_Monthly[class],"residential",tbl_Monthly[month],B151)),"")</f>
        <v>0.63045531554375045</v>
      </c>
      <c r="G151" s="81" cm="1">
        <f t="array" ref="G151">IF(ISCLOSED(B151),SAFEDIV(SUMIFS(tbl_Monthly[mwh],tbl_Monthly[class],"commercial",tbl_Monthly[month],B151),SUMIFS(tbl_Monthly[customers],tbl_Monthly[class],"commercial",tbl_Monthly[month],B151)),"")</f>
        <v>4.6961771407202013</v>
      </c>
      <c r="H151" s="81">
        <f t="shared" si="8"/>
        <v>0.57795020314497214</v>
      </c>
      <c r="I151" s="81">
        <f t="shared" si="9"/>
        <v>4.6246332424313552</v>
      </c>
      <c r="J151" t="b">
        <f>AND(ISCLOSED(B151),YEAR(B151)&lt;FiscalYear)</f>
        <v>1</v>
      </c>
    </row>
    <row r="152" spans="2:10" x14ac:dyDescent="0.3">
      <c r="B152" s="79">
        <f t="shared" si="10"/>
        <v>45474</v>
      </c>
      <c r="C152" s="80" cm="1">
        <f t="array" ref="C152">TRENDYEARS(B152)</f>
        <v>7.5</v>
      </c>
      <c r="D152" s="4">
        <f>_xlfn.XLOOKUP(B152,tbl_Weather[month],tbl_Weather[hdd],"")</f>
        <v>11</v>
      </c>
      <c r="E152" s="4">
        <f>_xlfn.XLOOKUP(B152,tbl_Weather[month],tbl_Weather[cdd],"")</f>
        <v>169</v>
      </c>
      <c r="F152" s="81" cm="1">
        <f t="array" ref="F152">IF(ISCLOSED(B152),SAFEDIV(SUMIFS(tbl_Monthly[mwh],tbl_Monthly[class],"residential",tbl_Monthly[month],B152),SUMIFS(tbl_Monthly[customers],tbl_Monthly[class],"residential",tbl_Monthly[month],B152)),"")</f>
        <v>0.86104919086295517</v>
      </c>
      <c r="G152" s="81" cm="1">
        <f t="array" ref="G152">IF(ISCLOSED(B152),SAFEDIV(SUMIFS(tbl_Monthly[mwh],tbl_Monthly[class],"commercial",tbl_Monthly[month],B152),SUMIFS(tbl_Monthly[customers],tbl_Monthly[class],"commercial",tbl_Monthly[month],B152)),"")</f>
        <v>5.4572236676573009</v>
      </c>
      <c r="H152" s="81">
        <f t="shared" si="8"/>
        <v>0.89960027592099745</v>
      </c>
      <c r="I152" s="81">
        <f t="shared" si="9"/>
        <v>5.6708240094854974</v>
      </c>
      <c r="J152" t="b">
        <f>AND(ISCLOSED(B152),YEAR(B152)&lt;FiscalYear)</f>
        <v>1</v>
      </c>
    </row>
    <row r="153" spans="2:10" x14ac:dyDescent="0.3">
      <c r="B153" s="79">
        <f t="shared" si="10"/>
        <v>45505</v>
      </c>
      <c r="C153" s="80" cm="1">
        <f t="array" ref="C153">TRENDYEARS(B153)</f>
        <v>7.583333333333333</v>
      </c>
      <c r="D153" s="4">
        <f>_xlfn.XLOOKUP(B153,tbl_Weather[month],tbl_Weather[hdd],"")</f>
        <v>41</v>
      </c>
      <c r="E153" s="4">
        <f>_xlfn.XLOOKUP(B153,tbl_Weather[month],tbl_Weather[cdd],"")</f>
        <v>88</v>
      </c>
      <c r="F153" s="81" cm="1">
        <f t="array" ref="F153">IF(ISCLOSED(B153),SAFEDIV(SUMIFS(tbl_Monthly[mwh],tbl_Monthly[class],"residential",tbl_Monthly[month],B153),SUMIFS(tbl_Monthly[customers],tbl_Monthly[class],"residential",tbl_Monthly[month],B153)),"")</f>
        <v>0.74251078649174396</v>
      </c>
      <c r="G153" s="81" cm="1">
        <f t="array" ref="G153">IF(ISCLOSED(B153),SAFEDIV(SUMIFS(tbl_Monthly[mwh],tbl_Monthly[class],"commercial",tbl_Monthly[month],B153),SUMIFS(tbl_Monthly[customers],tbl_Monthly[class],"commercial",tbl_Monthly[month],B153)),"")</f>
        <v>5.2160762339619193</v>
      </c>
      <c r="H153" s="81">
        <f t="shared" si="8"/>
        <v>0.70239074172221383</v>
      </c>
      <c r="I153" s="81">
        <f t="shared" si="9"/>
        <v>5.0871853150349207</v>
      </c>
      <c r="J153" t="b">
        <f>AND(ISCLOSED(B153),YEAR(B153)&lt;FiscalYear)</f>
        <v>1</v>
      </c>
    </row>
    <row r="154" spans="2:10" x14ac:dyDescent="0.3">
      <c r="B154" s="79">
        <f t="shared" si="10"/>
        <v>45536</v>
      </c>
      <c r="C154" s="80" cm="1">
        <f t="array" ref="C154">TRENDYEARS(B154)</f>
        <v>7.666666666666667</v>
      </c>
      <c r="D154" s="4">
        <f>_xlfn.XLOOKUP(B154,tbl_Weather[month],tbl_Weather[hdd],"")</f>
        <v>97</v>
      </c>
      <c r="E154" s="4">
        <f>_xlfn.XLOOKUP(B154,tbl_Weather[month],tbl_Weather[cdd],"")</f>
        <v>43</v>
      </c>
      <c r="F154" s="81" cm="1">
        <f t="array" ref="F154">IF(ISCLOSED(B154),SAFEDIV(SUMIFS(tbl_Monthly[mwh],tbl_Monthly[class],"residential",tbl_Monthly[month],B154),SUMIFS(tbl_Monthly[customers],tbl_Monthly[class],"residential",tbl_Monthly[month],B154)),"")</f>
        <v>0.64376999141395563</v>
      </c>
      <c r="G154" s="81" cm="1">
        <f t="array" ref="G154">IF(ISCLOSED(B154),SAFEDIV(SUMIFS(tbl_Monthly[mwh],tbl_Monthly[class],"commercial",tbl_Monthly[month],B154),SUMIFS(tbl_Monthly[customers],tbl_Monthly[class],"commercial",tbl_Monthly[month],B154)),"")</f>
        <v>4.8010908674586235</v>
      </c>
      <c r="H154" s="81">
        <f t="shared" si="8"/>
        <v>0.61920435473906077</v>
      </c>
      <c r="I154" s="81">
        <f t="shared" si="9"/>
        <v>4.7852444620274879</v>
      </c>
      <c r="J154" t="b">
        <f>AND(ISCLOSED(B154),YEAR(B154)&lt;FiscalYear)</f>
        <v>1</v>
      </c>
    </row>
    <row r="155" spans="2:10" x14ac:dyDescent="0.3">
      <c r="B155" s="79">
        <f t="shared" si="10"/>
        <v>45566</v>
      </c>
      <c r="C155" s="80" cm="1">
        <f t="array" ref="C155">TRENDYEARS(B155)</f>
        <v>7.75</v>
      </c>
      <c r="D155" s="4">
        <f>_xlfn.XLOOKUP(B155,tbl_Weather[month],tbl_Weather[hdd],"")</f>
        <v>344</v>
      </c>
      <c r="E155" s="4">
        <f>_xlfn.XLOOKUP(B155,tbl_Weather[month],tbl_Weather[cdd],"")</f>
        <v>0</v>
      </c>
      <c r="F155" s="81" cm="1">
        <f t="array" ref="F155">IF(ISCLOSED(B155),SAFEDIV(SUMIFS(tbl_Monthly[mwh],tbl_Monthly[class],"residential",tbl_Monthly[month],B155),SUMIFS(tbl_Monthly[customers],tbl_Monthly[class],"residential",tbl_Monthly[month],B155)),"")</f>
        <v>0.64216182811187128</v>
      </c>
      <c r="G155" s="81" cm="1">
        <f t="array" ref="G155">IF(ISCLOSED(B155),SAFEDIV(SUMIFS(tbl_Monthly[mwh],tbl_Monthly[class],"commercial",tbl_Monthly[month],B155),SUMIFS(tbl_Monthly[customers],tbl_Monthly[class],"commercial",tbl_Monthly[month],B155)),"")</f>
        <v>4.7301326263336101</v>
      </c>
      <c r="H155" s="81">
        <f t="shared" si="8"/>
        <v>0.67079861150025377</v>
      </c>
      <c r="I155" s="81">
        <f t="shared" si="9"/>
        <v>4.6180410329787964</v>
      </c>
      <c r="J155" t="b">
        <f>AND(ISCLOSED(B155),YEAR(B155)&lt;FiscalYear)</f>
        <v>1</v>
      </c>
    </row>
    <row r="156" spans="2:10" x14ac:dyDescent="0.3">
      <c r="B156" s="79">
        <f t="shared" si="10"/>
        <v>45597</v>
      </c>
      <c r="C156" s="80" cm="1">
        <f t="array" ref="C156">TRENDYEARS(B156)</f>
        <v>7.833333333333333</v>
      </c>
      <c r="D156" s="4">
        <f>_xlfn.XLOOKUP(B156,tbl_Weather[month],tbl_Weather[hdd],"")</f>
        <v>639</v>
      </c>
      <c r="E156" s="4">
        <f>_xlfn.XLOOKUP(B156,tbl_Weather[month],tbl_Weather[cdd],"")</f>
        <v>0</v>
      </c>
      <c r="F156" s="81" cm="1">
        <f t="array" ref="F156">IF(ISCLOSED(B156),SAFEDIV(SUMIFS(tbl_Monthly[mwh],tbl_Monthly[class],"residential",tbl_Monthly[month],B156),SUMIFS(tbl_Monthly[customers],tbl_Monthly[class],"residential",tbl_Monthly[month],B156)),"")</f>
        <v>0.81809864897767848</v>
      </c>
      <c r="G156" s="81" cm="1">
        <f t="array" ref="G156">IF(ISCLOSED(B156),SAFEDIV(SUMIFS(tbl_Monthly[mwh],tbl_Monthly[class],"commercial",tbl_Monthly[month],B156),SUMIFS(tbl_Monthly[customers],tbl_Monthly[class],"commercial",tbl_Monthly[month],B156)),"")</f>
        <v>4.757265859685166</v>
      </c>
      <c r="H156" s="81">
        <f t="shared" si="8"/>
        <v>0.87006902280912046</v>
      </c>
      <c r="I156" s="81">
        <f t="shared" si="9"/>
        <v>4.7979553072725478</v>
      </c>
      <c r="J156" t="b">
        <f>AND(ISCLOSED(B156),YEAR(B156)&lt;FiscalYear)</f>
        <v>1</v>
      </c>
    </row>
    <row r="157" spans="2:10" x14ac:dyDescent="0.3">
      <c r="B157" s="79">
        <f t="shared" si="10"/>
        <v>45627</v>
      </c>
      <c r="C157" s="80" cm="1">
        <f t="array" ref="C157">TRENDYEARS(B157)</f>
        <v>7.916666666666667</v>
      </c>
      <c r="D157" s="4">
        <f>_xlfn.XLOOKUP(B157,tbl_Weather[month],tbl_Weather[hdd],"")</f>
        <v>704</v>
      </c>
      <c r="E157" s="4">
        <f>_xlfn.XLOOKUP(B157,tbl_Weather[month],tbl_Weather[cdd],"")</f>
        <v>0</v>
      </c>
      <c r="F157" s="81" cm="1">
        <f t="array" ref="F157">IF(ISCLOSED(B157),SAFEDIV(SUMIFS(tbl_Monthly[mwh],tbl_Monthly[class],"residential",tbl_Monthly[month],B157),SUMIFS(tbl_Monthly[customers],tbl_Monthly[class],"residential",tbl_Monthly[month],B157)),"")</f>
        <v>0.9597903762373392</v>
      </c>
      <c r="G157" s="81" cm="1">
        <f t="array" ref="G157">IF(ISCLOSED(B157),SAFEDIV(SUMIFS(tbl_Monthly[mwh],tbl_Monthly[class],"commercial",tbl_Monthly[month],B157),SUMIFS(tbl_Monthly[customers],tbl_Monthly[class],"commercial",tbl_Monthly[month],B157)),"")</f>
        <v>4.989817358935948</v>
      </c>
      <c r="H157" s="81">
        <f t="shared" si="8"/>
        <v>0.91348757560626437</v>
      </c>
      <c r="I157" s="81">
        <f t="shared" si="9"/>
        <v>4.8333729720536196</v>
      </c>
      <c r="J157" t="b">
        <f>AND(ISCLOSED(B157),YEAR(B157)&lt;FiscalYear)</f>
        <v>1</v>
      </c>
    </row>
    <row r="158" spans="2:10" x14ac:dyDescent="0.3">
      <c r="B158" s="79">
        <f t="shared" si="10"/>
        <v>45658</v>
      </c>
      <c r="C158" s="80" cm="1">
        <f t="array" ref="C158">TRENDYEARS(B158)</f>
        <v>8</v>
      </c>
      <c r="D158" s="4">
        <f>_xlfn.XLOOKUP(B158,tbl_Weather[month],tbl_Weather[hdd],"")</f>
        <v>784</v>
      </c>
      <c r="E158" s="4">
        <f>_xlfn.XLOOKUP(B158,tbl_Weather[month],tbl_Weather[cdd],"")</f>
        <v>0</v>
      </c>
      <c r="F158" s="81" cm="1">
        <f t="array" ref="F158">IF(ISCLOSED(B158),SAFEDIV(SUMIFS(tbl_Monthly[mwh],tbl_Monthly[class],"residential",tbl_Monthly[month],B158),SUMIFS(tbl_Monthly[customers],tbl_Monthly[class],"residential",tbl_Monthly[month],B158)),"")</f>
        <v>0.99708528550819198</v>
      </c>
      <c r="G158" s="81" cm="1">
        <f t="array" ref="G158">IF(ISCLOSED(B158),SAFEDIV(SUMIFS(tbl_Monthly[mwh],tbl_Monthly[class],"commercial",tbl_Monthly[month],B158),SUMIFS(tbl_Monthly[customers],tbl_Monthly[class],"commercial",tbl_Monthly[month],B158)),"")</f>
        <v>5.4283946708577862</v>
      </c>
      <c r="H158" s="81">
        <f t="shared" ref="H158:H181" si="11">IF(ISNUMBER(D158),$C$6+$D$6*D158+$E$6*E158+$F$6*C158,"")</f>
        <v>0.96707038004547718</v>
      </c>
      <c r="I158" s="81">
        <f t="shared" ref="I158:I181" si="12">IF(ISNUMBER(D158),$C$7+$D$7*D158+$E$7*E158+$F$7*C158,"")</f>
        <v>4.878214328759432</v>
      </c>
      <c r="J158" t="b">
        <f>AND(ISCLOSED(B158),YEAR(B158)&lt;FiscalYear)</f>
        <v>1</v>
      </c>
    </row>
    <row r="159" spans="2:10" x14ac:dyDescent="0.3">
      <c r="B159" s="79">
        <f t="shared" ref="B159:B181" si="13">EDATE(B158,1)</f>
        <v>45689</v>
      </c>
      <c r="C159" s="80" cm="1">
        <f t="array" ref="C159">TRENDYEARS(B159)</f>
        <v>8.0833333333333339</v>
      </c>
      <c r="D159" s="4">
        <f>_xlfn.XLOOKUP(B159,tbl_Weather[month],tbl_Weather[hdd],"")</f>
        <v>706</v>
      </c>
      <c r="E159" s="4">
        <f>_xlfn.XLOOKUP(B159,tbl_Weather[month],tbl_Weather[cdd],"")</f>
        <v>0</v>
      </c>
      <c r="F159" s="81" cm="1">
        <f t="array" ref="F159">IF(ISCLOSED(B159),SAFEDIV(SUMIFS(tbl_Monthly[mwh],tbl_Monthly[class],"residential",tbl_Monthly[month],B159),SUMIFS(tbl_Monthly[customers],tbl_Monthly[class],"residential",tbl_Monthly[month],B159)),"")</f>
        <v>0.88107084705135208</v>
      </c>
      <c r="G159" s="81" cm="1">
        <f t="array" ref="G159">IF(ISCLOSED(B159),SAFEDIV(SUMIFS(tbl_Monthly[mwh],tbl_Monthly[class],"commercial",tbl_Monthly[month],B159),SUMIFS(tbl_Monthly[customers],tbl_Monthly[class],"commercial",tbl_Monthly[month],B159)),"")</f>
        <v>4.470733755569066</v>
      </c>
      <c r="H159" s="81">
        <f t="shared" si="11"/>
        <v>0.91358973385489783</v>
      </c>
      <c r="I159" s="81">
        <f t="shared" si="12"/>
        <v>4.8237927971913166</v>
      </c>
      <c r="J159" t="b">
        <f>AND(ISCLOSED(B159),YEAR(B159)&lt;FiscalYear)</f>
        <v>1</v>
      </c>
    </row>
    <row r="160" spans="2:10" x14ac:dyDescent="0.3">
      <c r="B160" s="79">
        <f t="shared" si="13"/>
        <v>45717</v>
      </c>
      <c r="C160" s="80" cm="1">
        <f t="array" ref="C160">TRENDYEARS(B160)</f>
        <v>8.1666666666666661</v>
      </c>
      <c r="D160" s="4">
        <f>_xlfn.XLOOKUP(B160,tbl_Weather[month],tbl_Weather[hdd],"")</f>
        <v>589</v>
      </c>
      <c r="E160" s="4">
        <f>_xlfn.XLOOKUP(B160,tbl_Weather[month],tbl_Weather[cdd],"")</f>
        <v>0</v>
      </c>
      <c r="F160" s="81" cm="1">
        <f t="array" ref="F160">IF(ISCLOSED(B160),SAFEDIV(SUMIFS(tbl_Monthly[mwh],tbl_Monthly[class],"residential",tbl_Monthly[month],B160),SUMIFS(tbl_Monthly[customers],tbl_Monthly[class],"residential",tbl_Monthly[month],B160)),"")</f>
        <v>0.78101197344800233</v>
      </c>
      <c r="G160" s="81" cm="1">
        <f t="array" ref="G160">IF(ISCLOSED(B160),SAFEDIV(SUMIFS(tbl_Monthly[mwh],tbl_Monthly[class],"commercial",tbl_Monthly[month],B160),SUMIFS(tbl_Monthly[customers],tbl_Monthly[class],"commercial",tbl_Monthly[month],B160)),"")</f>
        <v>4.8855426460041222</v>
      </c>
      <c r="H160" s="81">
        <f t="shared" si="11"/>
        <v>0.83368203339493951</v>
      </c>
      <c r="I160" s="81">
        <f t="shared" si="12"/>
        <v>4.7448696666188779</v>
      </c>
      <c r="J160" t="b">
        <f>AND(ISCLOSED(B160),YEAR(B160)&lt;FiscalYear)</f>
        <v>1</v>
      </c>
    </row>
    <row r="161" spans="2:10" x14ac:dyDescent="0.3">
      <c r="B161" s="79">
        <f t="shared" si="13"/>
        <v>45748</v>
      </c>
      <c r="C161" s="80" cm="1">
        <f t="array" ref="C161">TRENDYEARS(B161)</f>
        <v>8.25</v>
      </c>
      <c r="D161" s="4">
        <f>_xlfn.XLOOKUP(B161,tbl_Weather[month],tbl_Weather[hdd],"")</f>
        <v>420</v>
      </c>
      <c r="E161" s="4">
        <f>_xlfn.XLOOKUP(B161,tbl_Weather[month],tbl_Weather[cdd],"")</f>
        <v>0</v>
      </c>
      <c r="F161" s="81" cm="1">
        <f t="array" ref="F161">IF(ISCLOSED(B161),SAFEDIV(SUMIFS(tbl_Monthly[mwh],tbl_Monthly[class],"residential",tbl_Monthly[month],B161),SUMIFS(tbl_Monthly[customers],tbl_Monthly[class],"residential",tbl_Monthly[month],B161)),"")</f>
        <v>0.62520434657270219</v>
      </c>
      <c r="G161" s="81" cm="1">
        <f t="array" ref="G161">IF(ISCLOSED(B161),SAFEDIV(SUMIFS(tbl_Monthly[mwh],tbl_Monthly[class],"commercial",tbl_Monthly[month],B161),SUMIFS(tbl_Monthly[customers],tbl_Monthly[class],"commercial",tbl_Monthly[month],B161)),"")</f>
        <v>4.4794854156648913</v>
      </c>
      <c r="H161" s="81">
        <f t="shared" si="11"/>
        <v>0.71853826057580894</v>
      </c>
      <c r="I161" s="81">
        <f t="shared" si="12"/>
        <v>4.6332777373740068</v>
      </c>
      <c r="J161" t="b">
        <f>AND(ISCLOSED(B161),YEAR(B161)&lt;FiscalYear)</f>
        <v>1</v>
      </c>
    </row>
    <row r="162" spans="2:10" x14ac:dyDescent="0.3">
      <c r="B162" s="79">
        <f t="shared" si="13"/>
        <v>45778</v>
      </c>
      <c r="C162" s="80" cm="1">
        <f t="array" ref="C162">TRENDYEARS(B162)</f>
        <v>8.3333333333333339</v>
      </c>
      <c r="D162" s="4">
        <f>_xlfn.XLOOKUP(B162,tbl_Weather[month],tbl_Weather[hdd],"")</f>
        <v>310</v>
      </c>
      <c r="E162" s="4">
        <f>_xlfn.XLOOKUP(B162,tbl_Weather[month],tbl_Weather[cdd],"")</f>
        <v>0</v>
      </c>
      <c r="F162" s="81" cm="1">
        <f t="array" ref="F162">IF(ISCLOSED(B162),SAFEDIV(SUMIFS(tbl_Monthly[mwh],tbl_Monthly[class],"residential",tbl_Monthly[month],B162),SUMIFS(tbl_Monthly[customers],tbl_Monthly[class],"residential",tbl_Monthly[month],B162)),"")</f>
        <v>0.59607376291851211</v>
      </c>
      <c r="G162" s="81" cm="1">
        <f t="array" ref="G162">IF(ISCLOSED(B162),SAFEDIV(SUMIFS(tbl_Monthly[mwh],tbl_Monthly[class],"commercial",tbl_Monthly[month],B162),SUMIFS(tbl_Monthly[customers],tbl_Monthly[class],"commercial",tbl_Monthly[month],B162)),"")</f>
        <v>4.5461315901688426</v>
      </c>
      <c r="H162" s="81">
        <f t="shared" si="11"/>
        <v>0.64337387754881614</v>
      </c>
      <c r="I162" s="81">
        <f t="shared" si="12"/>
        <v>4.5587523296997787</v>
      </c>
      <c r="J162" t="b">
        <f>AND(ISCLOSED(B162),YEAR(B162)&lt;FiscalYear)</f>
        <v>1</v>
      </c>
    </row>
    <row r="163" spans="2:10" x14ac:dyDescent="0.3">
      <c r="B163" s="79">
        <f t="shared" si="13"/>
        <v>45809</v>
      </c>
      <c r="C163" s="80" cm="1">
        <f t="array" ref="C163">TRENDYEARS(B163)</f>
        <v>8.4166666666666661</v>
      </c>
      <c r="D163" s="4">
        <f>_xlfn.XLOOKUP(B163,tbl_Weather[month],tbl_Weather[hdd],"")</f>
        <v>115</v>
      </c>
      <c r="E163" s="4">
        <f>_xlfn.XLOOKUP(B163,tbl_Weather[month],tbl_Weather[cdd],"")</f>
        <v>25</v>
      </c>
      <c r="F163" s="81" cm="1">
        <f t="array" ref="F163">IF(ISCLOSED(B163),SAFEDIV(SUMIFS(tbl_Monthly[mwh],tbl_Monthly[class],"residential",tbl_Monthly[month],B163),SUMIFS(tbl_Monthly[customers],tbl_Monthly[class],"residential",tbl_Monthly[month],B163)),"")</f>
        <v>0.64980473381229908</v>
      </c>
      <c r="G163" s="81" cm="1">
        <f t="array" ref="G163">IF(ISCLOSED(B163),SAFEDIV(SUMIFS(tbl_Monthly[mwh],tbl_Monthly[class],"commercial",tbl_Monthly[month],B163),SUMIFS(tbl_Monthly[customers],tbl_Monthly[class],"commercial",tbl_Monthly[month],B163)),"")</f>
        <v>4.8155046474227925</v>
      </c>
      <c r="H163" s="81">
        <f t="shared" si="11"/>
        <v>0.57756006232513057</v>
      </c>
      <c r="I163" s="81">
        <f t="shared" si="12"/>
        <v>4.6151061692485031</v>
      </c>
      <c r="J163" t="b">
        <f>AND(ISCLOSED(B163),YEAR(B163)&lt;FiscalYear)</f>
        <v>1</v>
      </c>
    </row>
    <row r="164" spans="2:10" x14ac:dyDescent="0.3">
      <c r="B164" s="79">
        <f t="shared" si="13"/>
        <v>45839</v>
      </c>
      <c r="C164" s="80" cm="1">
        <f t="array" ref="C164">TRENDYEARS(B164)</f>
        <v>8.5</v>
      </c>
      <c r="D164" s="4">
        <f>_xlfn.XLOOKUP(B164,tbl_Weather[month],tbl_Weather[hdd],"")</f>
        <v>20</v>
      </c>
      <c r="E164" s="4">
        <f>_xlfn.XLOOKUP(B164,tbl_Weather[month],tbl_Weather[cdd],"")</f>
        <v>132</v>
      </c>
      <c r="F164" s="81" cm="1">
        <f t="array" ref="F164">IF(ISCLOSED(B164),SAFEDIV(SUMIFS(tbl_Monthly[mwh],tbl_Monthly[class],"residential",tbl_Monthly[month],B164),SUMIFS(tbl_Monthly[customers],tbl_Monthly[class],"residential",tbl_Monthly[month],B164)),"")</f>
        <v>0.81222714929220297</v>
      </c>
      <c r="G164" s="81" cm="1">
        <f t="array" ref="G164">IF(ISCLOSED(B164),SAFEDIV(SUMIFS(tbl_Monthly[mwh],tbl_Monthly[class],"commercial",tbl_Monthly[month],B164),SUMIFS(tbl_Monthly[customers],tbl_Monthly[class],"commercial",tbl_Monthly[month],B164)),"")</f>
        <v>5.2363917232994295</v>
      </c>
      <c r="H164" s="81">
        <f t="shared" si="11"/>
        <v>0.79909734429733892</v>
      </c>
      <c r="I164" s="81">
        <f t="shared" si="12"/>
        <v>5.3387235730946081</v>
      </c>
      <c r="J164" t="b">
        <f>AND(ISCLOSED(B164),YEAR(B164)&lt;FiscalYear)</f>
        <v>1</v>
      </c>
    </row>
    <row r="165" spans="2:10" x14ac:dyDescent="0.3">
      <c r="B165" s="79">
        <f t="shared" si="13"/>
        <v>45870</v>
      </c>
      <c r="C165" s="80" cm="1">
        <f t="array" ref="C165">TRENDYEARS(B165)</f>
        <v>8.5833333333333339</v>
      </c>
      <c r="D165" s="4">
        <f>_xlfn.XLOOKUP(B165,tbl_Weather[month],tbl_Weather[hdd],"")</f>
        <v>11</v>
      </c>
      <c r="E165" s="4">
        <f>_xlfn.XLOOKUP(B165,tbl_Weather[month],tbl_Weather[cdd],"")</f>
        <v>163</v>
      </c>
      <c r="F165" s="81" cm="1">
        <f t="array" ref="F165">IF(ISCLOSED(B165),SAFEDIV(SUMIFS(tbl_Monthly[mwh],tbl_Monthly[class],"residential",tbl_Monthly[month],B165),SUMIFS(tbl_Monthly[customers],tbl_Monthly[class],"residential",tbl_Monthly[month],B165)),"")</f>
        <v>0.82885320746462765</v>
      </c>
      <c r="G165" s="81" cm="1">
        <f t="array" ref="G165">IF(ISCLOSED(B165),SAFEDIV(SUMIFS(tbl_Monthly[mwh],tbl_Monthly[class],"commercial",tbl_Monthly[month],B165),SUMIFS(tbl_Monthly[customers],tbl_Monthly[class],"commercial",tbl_Monthly[month],B165)),"")</f>
        <v>5.4070034919566776</v>
      </c>
      <c r="H165" s="81">
        <f t="shared" si="11"/>
        <v>0.8753877679413149</v>
      </c>
      <c r="I165" s="81">
        <f t="shared" si="12"/>
        <v>5.5561584328612632</v>
      </c>
      <c r="J165" t="b">
        <f>AND(ISCLOSED(B165),YEAR(B165)&lt;FiscalYear)</f>
        <v>1</v>
      </c>
    </row>
    <row r="166" spans="2:10" x14ac:dyDescent="0.3">
      <c r="B166" s="79">
        <f t="shared" si="13"/>
        <v>45901</v>
      </c>
      <c r="C166" s="80" cm="1">
        <f t="array" ref="C166">TRENDYEARS(B166)</f>
        <v>8.6666666666666661</v>
      </c>
      <c r="D166" s="4">
        <f>_xlfn.XLOOKUP(B166,tbl_Weather[month],tbl_Weather[hdd],"")</f>
        <v>79</v>
      </c>
      <c r="E166" s="4">
        <f>_xlfn.XLOOKUP(B166,tbl_Weather[month],tbl_Weather[cdd],"")</f>
        <v>58</v>
      </c>
      <c r="F166" s="81" cm="1">
        <f t="array" ref="F166">IF(ISCLOSED(B166),SAFEDIV(SUMIFS(tbl_Monthly[mwh],tbl_Monthly[class],"residential",tbl_Monthly[month],B166),SUMIFS(tbl_Monthly[customers],tbl_Monthly[class],"residential",tbl_Monthly[month],B166)),"")</f>
        <v>0.63027276571533097</v>
      </c>
      <c r="G166" s="81" cm="1">
        <f t="array" ref="G166">IF(ISCLOSED(B166),SAFEDIV(SUMIFS(tbl_Monthly[mwh],tbl_Monthly[class],"commercial",tbl_Monthly[month],B166),SUMIFS(tbl_Monthly[customers],tbl_Monthly[class],"commercial",tbl_Monthly[month],B166)),"")</f>
        <v>4.8199259655388067</v>
      </c>
      <c r="H166" s="81">
        <f t="shared" si="11"/>
        <v>0.63965759721174253</v>
      </c>
      <c r="I166" s="81">
        <f t="shared" si="12"/>
        <v>4.819484129882075</v>
      </c>
      <c r="J166" t="b">
        <f>AND(ISCLOSED(B166),YEAR(B166)&lt;FiscalYear)</f>
        <v>1</v>
      </c>
    </row>
    <row r="167" spans="2:10" x14ac:dyDescent="0.3">
      <c r="B167" s="79">
        <f t="shared" si="13"/>
        <v>45931</v>
      </c>
      <c r="C167" s="80" cm="1">
        <f t="array" ref="C167">TRENDYEARS(B167)</f>
        <v>8.75</v>
      </c>
      <c r="D167" s="4">
        <f>_xlfn.XLOOKUP(B167,tbl_Weather[month],tbl_Weather[hdd],"")</f>
        <v>425</v>
      </c>
      <c r="E167" s="4">
        <f>_xlfn.XLOOKUP(B167,tbl_Weather[month],tbl_Weather[cdd],"")</f>
        <v>0</v>
      </c>
      <c r="F167" s="81" cm="1">
        <f t="array" ref="F167">IF(ISCLOSED(B167),SAFEDIV(SUMIFS(tbl_Monthly[mwh],tbl_Monthly[class],"residential",tbl_Monthly[month],B167),SUMIFS(tbl_Monthly[customers],tbl_Monthly[class],"residential",tbl_Monthly[month],B167)),"")</f>
        <v>0.64524913783387816</v>
      </c>
      <c r="G167" s="81" cm="1">
        <f t="array" ref="G167">IF(ISCLOSED(B167),SAFEDIV(SUMIFS(tbl_Monthly[mwh],tbl_Monthly[class],"commercial",tbl_Monthly[month],B167),SUMIFS(tbl_Monthly[customers],tbl_Monthly[class],"commercial",tbl_Monthly[month],B167)),"")</f>
        <v>4.5223975606885123</v>
      </c>
      <c r="H167" s="81">
        <f t="shared" si="11"/>
        <v>0.71816711854557158</v>
      </c>
      <c r="I167" s="81">
        <f t="shared" si="12"/>
        <v>4.6039089666587802</v>
      </c>
      <c r="J167" t="b">
        <f>AND(ISCLOSED(B167),YEAR(B167)&lt;FiscalYear)</f>
        <v>1</v>
      </c>
    </row>
    <row r="168" spans="2:10" x14ac:dyDescent="0.3">
      <c r="B168" s="79">
        <f t="shared" si="13"/>
        <v>45962</v>
      </c>
      <c r="C168" s="80" cm="1">
        <f t="array" ref="C168">TRENDYEARS(B168)</f>
        <v>8.8333333333333339</v>
      </c>
      <c r="D168" s="4">
        <f>_xlfn.XLOOKUP(B168,tbl_Weather[month],tbl_Weather[hdd],"")</f>
        <v>519</v>
      </c>
      <c r="E168" s="4">
        <f>_xlfn.XLOOKUP(B168,tbl_Weather[month],tbl_Weather[cdd],"")</f>
        <v>0</v>
      </c>
      <c r="F168" s="81" cm="1">
        <f t="array" ref="F168">IF(ISCLOSED(B168),SAFEDIV(SUMIFS(tbl_Monthly[mwh],tbl_Monthly[class],"residential",tbl_Monthly[month],B168),SUMIFS(tbl_Monthly[customers],tbl_Monthly[class],"residential",tbl_Monthly[month],B168)),"")</f>
        <v>0.73622824064796955</v>
      </c>
      <c r="G168" s="81" cm="1">
        <f t="array" ref="G168">IF(ISCLOSED(B168),SAFEDIV(SUMIFS(tbl_Monthly[mwh],tbl_Monthly[class],"commercial",tbl_Monthly[month],B168),SUMIFS(tbl_Monthly[customers],tbl_Monthly[class],"commercial",tbl_Monthly[month],B168)),"")</f>
        <v>4.3644854783057569</v>
      </c>
      <c r="H168" s="81">
        <f t="shared" si="11"/>
        <v>0.78123655785071533</v>
      </c>
      <c r="I168" s="81">
        <f t="shared" si="12"/>
        <v>4.6575457691610156</v>
      </c>
      <c r="J168" t="b">
        <f>AND(ISCLOSED(B168),YEAR(B168)&lt;FiscalYear)</f>
        <v>1</v>
      </c>
    </row>
    <row r="169" spans="2:10" x14ac:dyDescent="0.3">
      <c r="B169" s="79">
        <f t="shared" si="13"/>
        <v>45992</v>
      </c>
      <c r="C169" s="80" cm="1">
        <f t="array" ref="C169">TRENDYEARS(B169)</f>
        <v>8.9166666666666661</v>
      </c>
      <c r="D169" s="4">
        <f>_xlfn.XLOOKUP(B169,tbl_Weather[month],tbl_Weather[hdd],"")</f>
        <v>626</v>
      </c>
      <c r="E169" s="4">
        <f>_xlfn.XLOOKUP(B169,tbl_Weather[month],tbl_Weather[cdd],"")</f>
        <v>0</v>
      </c>
      <c r="F169" s="81" cm="1">
        <f t="array" ref="F169">IF(ISCLOSED(B169),SAFEDIV(SUMIFS(tbl_Monthly[mwh],tbl_Monthly[class],"residential",tbl_Monthly[month],B169),SUMIFS(tbl_Monthly[customers],tbl_Monthly[class],"residential",tbl_Monthly[month],B169)),"")</f>
        <v>0.8569722435414564</v>
      </c>
      <c r="G169" s="81" cm="1">
        <f t="array" ref="G169">IF(ISCLOSED(B169),SAFEDIV(SUMIFS(tbl_Monthly[mwh],tbl_Monthly[class],"commercial",tbl_Monthly[month],B169),SUMIFS(tbl_Monthly[customers],tbl_Monthly[class],"commercial",tbl_Monthly[month],B169)),"")</f>
        <v>4.9634496152869021</v>
      </c>
      <c r="H169" s="81">
        <f t="shared" si="11"/>
        <v>0.85311501524565214</v>
      </c>
      <c r="I169" s="81">
        <f t="shared" si="12"/>
        <v>4.7193497713313599</v>
      </c>
      <c r="J169" t="b">
        <f>AND(ISCLOSED(B169),YEAR(B169)&lt;FiscalYear)</f>
        <v>1</v>
      </c>
    </row>
    <row r="170" spans="2:10" x14ac:dyDescent="0.3">
      <c r="B170" s="79">
        <f t="shared" si="13"/>
        <v>46023</v>
      </c>
      <c r="C170" s="80" cm="1">
        <f t="array" ref="C170">TRENDYEARS(B170)</f>
        <v>9</v>
      </c>
      <c r="D170" s="4">
        <f>_xlfn.XLOOKUP(B170,tbl_Weather[month],tbl_Weather[hdd],"")</f>
        <v>701</v>
      </c>
      <c r="E170" s="4">
        <f>_xlfn.XLOOKUP(B170,tbl_Weather[month],tbl_Weather[cdd],"")</f>
        <v>0</v>
      </c>
      <c r="F170" s="81" cm="1">
        <f t="array" ref="F170">IF(ISCLOSED(B170),SAFEDIV(SUMIFS(tbl_Monthly[mwh],tbl_Monthly[class],"residential",tbl_Monthly[month],B170),SUMIFS(tbl_Monthly[customers],tbl_Monthly[class],"residential",tbl_Monthly[month],B170)),"")</f>
        <v>0.94817929684680369</v>
      </c>
      <c r="G170" s="81" cm="1">
        <f t="array" ref="G170">IF(ISCLOSED(B170),SAFEDIV(SUMIFS(tbl_Monthly[mwh],tbl_Monthly[class],"commercial",tbl_Monthly[month],B170),SUMIFS(tbl_Monthly[customers],tbl_Monthly[class],"commercial",tbl_Monthly[month],B170)),"")</f>
        <v>5.0728768692245607</v>
      </c>
      <c r="H170" s="81">
        <f t="shared" si="11"/>
        <v>0.90330973580417528</v>
      </c>
      <c r="I170" s="81">
        <f t="shared" si="12"/>
        <v>4.7610498973955924</v>
      </c>
      <c r="J170" t="b">
        <f>AND(ISCLOSED(B170),YEAR(B170)&lt;FiscalYear)</f>
        <v>0</v>
      </c>
    </row>
    <row r="171" spans="2:10" x14ac:dyDescent="0.3">
      <c r="B171" s="79">
        <f t="shared" si="13"/>
        <v>46054</v>
      </c>
      <c r="C171" s="80" cm="1">
        <f t="array" ref="C171">TRENDYEARS(B171)</f>
        <v>9.0833333333333339</v>
      </c>
      <c r="D171" s="4">
        <f>_xlfn.XLOOKUP(B171,tbl_Weather[month],tbl_Weather[hdd],"")</f>
        <v>599</v>
      </c>
      <c r="E171" s="4">
        <f>_xlfn.XLOOKUP(B171,tbl_Weather[month],tbl_Weather[cdd],"")</f>
        <v>0</v>
      </c>
      <c r="F171" s="81" cm="1">
        <f t="array" ref="F171">IF(ISCLOSED(B171),SAFEDIV(SUMIFS(tbl_Monthly[mwh],tbl_Monthly[class],"residential",tbl_Monthly[month],B171),SUMIFS(tbl_Monthly[customers],tbl_Monthly[class],"residential",tbl_Monthly[month],B171)),"")</f>
        <v>0.77868122982514043</v>
      </c>
      <c r="G171" s="81" cm="1">
        <f t="array" ref="G171">IF(ISCLOSED(B171),SAFEDIV(SUMIFS(tbl_Monthly[mwh],tbl_Monthly[class],"commercial",tbl_Monthly[month],B171),SUMIFS(tbl_Monthly[customers],tbl_Monthly[class],"commercial",tbl_Monthly[month],B171)),"")</f>
        <v>4.5249308297891595</v>
      </c>
      <c r="H171" s="81">
        <f t="shared" si="11"/>
        <v>0.83356628698628588</v>
      </c>
      <c r="I171" s="81">
        <f t="shared" si="12"/>
        <v>4.6915504587478924</v>
      </c>
      <c r="J171" t="b">
        <f>AND(ISCLOSED(B171),YEAR(B171)&lt;FiscalYear)</f>
        <v>0</v>
      </c>
    </row>
    <row r="172" spans="2:10" x14ac:dyDescent="0.3">
      <c r="B172" s="79">
        <f t="shared" si="13"/>
        <v>46082</v>
      </c>
      <c r="C172" s="80" cm="1">
        <f t="array" ref="C172">TRENDYEARS(B172)</f>
        <v>9.1666666666666661</v>
      </c>
      <c r="D172" s="4">
        <f>_xlfn.XLOOKUP(B172,tbl_Weather[month],tbl_Weather[hdd],"")</f>
        <v>524</v>
      </c>
      <c r="E172" s="4">
        <f>_xlfn.XLOOKUP(B172,tbl_Weather[month],tbl_Weather[cdd],"")</f>
        <v>0</v>
      </c>
      <c r="F172" s="81" cm="1">
        <f t="array" ref="F172">IF(ISCLOSED(B172),SAFEDIV(SUMIFS(tbl_Monthly[mwh],tbl_Monthly[class],"residential",tbl_Monthly[month],B172),SUMIFS(tbl_Monthly[customers],tbl_Monthly[class],"residential",tbl_Monthly[month],B172)),"")</f>
        <v>0.741139091487244</v>
      </c>
      <c r="G172" s="81" cm="1">
        <f t="array" ref="G172">IF(ISCLOSED(B172),SAFEDIV(SUMIFS(tbl_Monthly[mwh],tbl_Monthly[class],"commercial",tbl_Monthly[month],B172),SUMIFS(tbl_Monthly[customers],tbl_Monthly[class],"commercial",tbl_Monthly[month],B172)),"")</f>
        <v>4.7992261990884755</v>
      </c>
      <c r="H172" s="81">
        <f t="shared" si="11"/>
        <v>0.78211849112412035</v>
      </c>
      <c r="I172" s="81">
        <f t="shared" si="12"/>
        <v>4.6390136655647245</v>
      </c>
      <c r="J172" t="b">
        <f>AND(ISCLOSED(B172),YEAR(B172)&lt;FiscalYear)</f>
        <v>0</v>
      </c>
    </row>
    <row r="173" spans="2:10" x14ac:dyDescent="0.3">
      <c r="B173" s="79">
        <f t="shared" si="13"/>
        <v>46113</v>
      </c>
      <c r="C173" s="80" cm="1">
        <f t="array" ref="C173">TRENDYEARS(B173)</f>
        <v>9.25</v>
      </c>
      <c r="D173" s="4">
        <f>_xlfn.XLOOKUP(B173,tbl_Weather[month],tbl_Weather[hdd],"")</f>
        <v>408</v>
      </c>
      <c r="E173" s="4">
        <f>_xlfn.XLOOKUP(B173,tbl_Weather[month],tbl_Weather[cdd],"")</f>
        <v>0</v>
      </c>
      <c r="F173" s="81" cm="1">
        <f t="array" ref="F173">IF(ISCLOSED(B173),SAFEDIV(SUMIFS(tbl_Monthly[mwh],tbl_Monthly[class],"residential",tbl_Monthly[month],B173),SUMIFS(tbl_Monthly[customers],tbl_Monthly[class],"residential",tbl_Monthly[month],B173)),"")</f>
        <v>0.62619919413919412</v>
      </c>
      <c r="G173" s="81" cm="1">
        <f t="array" ref="G173">IF(ISCLOSED(B173),SAFEDIV(SUMIFS(tbl_Monthly[mwh],tbl_Monthly[class],"commercial",tbl_Monthly[month],B173),SUMIFS(tbl_Monthly[customers],tbl_Monthly[class],"commercial",tbl_Monthly[month],B173)),"")</f>
        <v>4.2689959972469751</v>
      </c>
      <c r="H173" s="81">
        <f t="shared" si="11"/>
        <v>0.70288840744029979</v>
      </c>
      <c r="I173" s="81">
        <f t="shared" si="12"/>
        <v>4.5607187811206016</v>
      </c>
      <c r="J173" t="b">
        <f>AND(ISCLOSED(B173),YEAR(B173)&lt;FiscalYear)</f>
        <v>0</v>
      </c>
    </row>
    <row r="174" spans="2:10" x14ac:dyDescent="0.3">
      <c r="B174" s="79">
        <f t="shared" si="13"/>
        <v>46143</v>
      </c>
      <c r="C174" s="80" cm="1">
        <f t="array" ref="C174">TRENDYEARS(B174)</f>
        <v>9.3333333333333339</v>
      </c>
      <c r="D174" s="4">
        <f>_xlfn.XLOOKUP(B174,tbl_Weather[month],tbl_Weather[hdd],"")</f>
        <v>241</v>
      </c>
      <c r="E174" s="4">
        <f>_xlfn.XLOOKUP(B174,tbl_Weather[month],tbl_Weather[cdd],"")</f>
        <v>8</v>
      </c>
      <c r="F174" s="81" cm="1">
        <f t="array" ref="F174">IF(ISCLOSED(B174),SAFEDIV(SUMIFS(tbl_Monthly[mwh],tbl_Monthly[class],"residential",tbl_Monthly[month],B174),SUMIFS(tbl_Monthly[customers],tbl_Monthly[class],"residential",tbl_Monthly[month],B174)),"")</f>
        <v>0.59669860207036796</v>
      </c>
      <c r="G174" s="81" cm="1">
        <f t="array" ref="G174">IF(ISCLOSED(B174),SAFEDIV(SUMIFS(tbl_Monthly[mwh],tbl_Monthly[class],"commercial",tbl_Monthly[month],B174),SUMIFS(tbl_Monthly[customers],tbl_Monthly[class],"commercial",tbl_Monthly[month],B174)),"")</f>
        <v>4.6576611341130851</v>
      </c>
      <c r="H174" s="81">
        <f t="shared" si="11"/>
        <v>0.61052322618145505</v>
      </c>
      <c r="I174" s="81">
        <f t="shared" si="12"/>
        <v>4.5093529979339015</v>
      </c>
      <c r="J174" t="b">
        <f>AND(ISCLOSED(B174),YEAR(B174)&lt;FiscalYear)</f>
        <v>0</v>
      </c>
    </row>
    <row r="175" spans="2:10" x14ac:dyDescent="0.3">
      <c r="B175" s="79">
        <f t="shared" si="13"/>
        <v>46174</v>
      </c>
      <c r="C175" s="80" cm="1">
        <f t="array" ref="C175">TRENDYEARS(B175)</f>
        <v>9.4166666666666661</v>
      </c>
      <c r="D175" s="4">
        <f>_xlfn.XLOOKUP(B175,tbl_Weather[month],tbl_Weather[hdd],"")</f>
        <v>109</v>
      </c>
      <c r="E175" s="4">
        <f>_xlfn.XLOOKUP(B175,tbl_Weather[month],tbl_Weather[cdd],"")</f>
        <v>28</v>
      </c>
      <c r="F175" s="81" cm="1">
        <f t="array" ref="F175">IF(ISCLOSED(B175),SAFEDIV(SUMIFS(tbl_Monthly[mwh],tbl_Monthly[class],"residential",tbl_Monthly[month],B175),SUMIFS(tbl_Monthly[customers],tbl_Monthly[class],"residential",tbl_Monthly[month],B175)),"")</f>
        <v>0.65704872548220439</v>
      </c>
      <c r="G175" s="81" cm="1">
        <f t="array" ref="G175">IF(ISCLOSED(B175),SAFEDIV(SUMIFS(tbl_Monthly[mwh],tbl_Monthly[class],"commercial",tbl_Monthly[month],B175),SUMIFS(tbl_Monthly[customers],tbl_Monthly[class],"commercial",tbl_Monthly[month],B175)),"")</f>
        <v>4.7502363972052271</v>
      </c>
      <c r="H175" s="81">
        <f t="shared" si="11"/>
        <v>0.57400966909945272</v>
      </c>
      <c r="I175" s="81">
        <f t="shared" si="12"/>
        <v>4.5684303099405721</v>
      </c>
      <c r="J175" t="b">
        <f>AND(ISCLOSED(B175),YEAR(B175)&lt;FiscalYear)</f>
        <v>0</v>
      </c>
    </row>
    <row r="176" spans="2:10" x14ac:dyDescent="0.3">
      <c r="B176" s="79">
        <f t="shared" si="13"/>
        <v>46204</v>
      </c>
      <c r="C176" s="80" cm="1">
        <f t="array" ref="C176">TRENDYEARS(B176)</f>
        <v>9.5</v>
      </c>
      <c r="D176" s="4">
        <f>_xlfn.XLOOKUP(B176,tbl_Weather[month],tbl_Weather[hdd],"")</f>
        <v>41</v>
      </c>
      <c r="E176" s="4">
        <f>_xlfn.XLOOKUP(B176,tbl_Weather[month],tbl_Weather[cdd],"")</f>
        <v>91</v>
      </c>
      <c r="F176" s="81" t="str" cm="1">
        <f t="array" ref="F176">IF(ISCLOSED(B176),SAFEDIV(SUMIFS(tbl_Monthly[mwh],tbl_Monthly[class],"residential",tbl_Monthly[month],B176),SUMIFS(tbl_Monthly[customers],tbl_Monthly[class],"residential",tbl_Monthly[month],B176)),"")</f>
        <v/>
      </c>
      <c r="G176" s="81" t="str" cm="1">
        <f t="array" ref="G176">IF(ISCLOSED(B176),SAFEDIV(SUMIFS(tbl_Monthly[mwh],tbl_Monthly[class],"commercial",tbl_Monthly[month],B176),SUMIFS(tbl_Monthly[customers],tbl_Monthly[class],"commercial",tbl_Monthly[month],B176)),"")</f>
        <v/>
      </c>
      <c r="H176" s="81">
        <f t="shared" si="11"/>
        <v>0.69601413498333065</v>
      </c>
      <c r="I176" s="81">
        <f t="shared" si="12"/>
        <v>4.984677263342741</v>
      </c>
      <c r="J176" t="b">
        <f>AND(ISCLOSED(B176),YEAR(B176)&lt;FiscalYear)</f>
        <v>0</v>
      </c>
    </row>
    <row r="177" spans="2:10" x14ac:dyDescent="0.3">
      <c r="B177" s="79">
        <f t="shared" si="13"/>
        <v>46235</v>
      </c>
      <c r="C177" s="80" cm="1">
        <f t="array" ref="C177">TRENDYEARS(B177)</f>
        <v>9.5833333333333339</v>
      </c>
      <c r="D177" s="4">
        <f>_xlfn.XLOOKUP(B177,tbl_Weather[month],tbl_Weather[hdd],"")</f>
        <v>27</v>
      </c>
      <c r="E177" s="4">
        <f>_xlfn.XLOOKUP(B177,tbl_Weather[month],tbl_Weather[cdd],"")</f>
        <v>111</v>
      </c>
      <c r="F177" s="81" t="str" cm="1">
        <f t="array" ref="F177">IF(ISCLOSED(B177),SAFEDIV(SUMIFS(tbl_Monthly[mwh],tbl_Monthly[class],"residential",tbl_Monthly[month],B177),SUMIFS(tbl_Monthly[customers],tbl_Monthly[class],"residential",tbl_Monthly[month],B177)),"")</f>
        <v/>
      </c>
      <c r="G177" s="81" t="str" cm="1">
        <f t="array" ref="G177">IF(ISCLOSED(B177),SAFEDIV(SUMIFS(tbl_Monthly[mwh],tbl_Monthly[class],"commercial",tbl_Monthly[month],B177),SUMIFS(tbl_Monthly[customers],tbl_Monthly[class],"commercial",tbl_Monthly[month],B177)),"")</f>
        <v/>
      </c>
      <c r="H177" s="81">
        <f t="shared" si="11"/>
        <v>0.73945935748560321</v>
      </c>
      <c r="I177" s="81">
        <f t="shared" si="12"/>
        <v>5.1178876184906983</v>
      </c>
      <c r="J177" t="b">
        <f>AND(ISCLOSED(B177),YEAR(B177)&lt;FiscalYear)</f>
        <v>0</v>
      </c>
    </row>
    <row r="178" spans="2:10" x14ac:dyDescent="0.3">
      <c r="B178" s="79">
        <f t="shared" si="13"/>
        <v>46266</v>
      </c>
      <c r="C178" s="80" cm="1">
        <f t="array" ref="C178">TRENDYEARS(B178)</f>
        <v>9.6666666666666661</v>
      </c>
      <c r="D178" s="4" t="str">
        <f>_xlfn.XLOOKUP(B178,tbl_Weather[month],tbl_Weather[hdd],"")</f>
        <v/>
      </c>
      <c r="E178" s="4" t="str">
        <f>_xlfn.XLOOKUP(B178,tbl_Weather[month],tbl_Weather[cdd],"")</f>
        <v/>
      </c>
      <c r="F178" s="81" t="str" cm="1">
        <f t="array" ref="F178">IF(ISCLOSED(B178),SAFEDIV(SUMIFS(tbl_Monthly[mwh],tbl_Monthly[class],"residential",tbl_Monthly[month],B178),SUMIFS(tbl_Monthly[customers],tbl_Monthly[class],"residential",tbl_Monthly[month],B178)),"")</f>
        <v/>
      </c>
      <c r="G178" s="81" t="str" cm="1">
        <f t="array" ref="G178">IF(ISCLOSED(B178),SAFEDIV(SUMIFS(tbl_Monthly[mwh],tbl_Monthly[class],"commercial",tbl_Monthly[month],B178),SUMIFS(tbl_Monthly[customers],tbl_Monthly[class],"commercial",tbl_Monthly[month],B178)),"")</f>
        <v/>
      </c>
      <c r="H178" s="81" t="str">
        <f t="shared" si="11"/>
        <v/>
      </c>
      <c r="I178" s="81" t="str">
        <f t="shared" si="12"/>
        <v/>
      </c>
      <c r="J178" t="b">
        <f>AND(ISCLOSED(B178),YEAR(B178)&lt;FiscalYear)</f>
        <v>0</v>
      </c>
    </row>
    <row r="179" spans="2:10" x14ac:dyDescent="0.3">
      <c r="B179" s="79">
        <f t="shared" si="13"/>
        <v>46296</v>
      </c>
      <c r="C179" s="80" cm="1">
        <f t="array" ref="C179">TRENDYEARS(B179)</f>
        <v>9.75</v>
      </c>
      <c r="D179" s="4" t="str">
        <f>_xlfn.XLOOKUP(B179,tbl_Weather[month],tbl_Weather[hdd],"")</f>
        <v/>
      </c>
      <c r="E179" s="4" t="str">
        <f>_xlfn.XLOOKUP(B179,tbl_Weather[month],tbl_Weather[cdd],"")</f>
        <v/>
      </c>
      <c r="F179" s="81" t="str" cm="1">
        <f t="array" ref="F179">IF(ISCLOSED(B179),SAFEDIV(SUMIFS(tbl_Monthly[mwh],tbl_Monthly[class],"residential",tbl_Monthly[month],B179),SUMIFS(tbl_Monthly[customers],tbl_Monthly[class],"residential",tbl_Monthly[month],B179)),"")</f>
        <v/>
      </c>
      <c r="G179" s="81" t="str" cm="1">
        <f t="array" ref="G179">IF(ISCLOSED(B179),SAFEDIV(SUMIFS(tbl_Monthly[mwh],tbl_Monthly[class],"commercial",tbl_Monthly[month],B179),SUMIFS(tbl_Monthly[customers],tbl_Monthly[class],"commercial",tbl_Monthly[month],B179)),"")</f>
        <v/>
      </c>
      <c r="H179" s="81" t="str">
        <f t="shared" si="11"/>
        <v/>
      </c>
      <c r="I179" s="81" t="str">
        <f t="shared" si="12"/>
        <v/>
      </c>
      <c r="J179" t="b">
        <f>AND(ISCLOSED(B179),YEAR(B179)&lt;FiscalYear)</f>
        <v>0</v>
      </c>
    </row>
    <row r="180" spans="2:10" x14ac:dyDescent="0.3">
      <c r="B180" s="79">
        <f t="shared" si="13"/>
        <v>46327</v>
      </c>
      <c r="C180" s="80" cm="1">
        <f t="array" ref="C180">TRENDYEARS(B180)</f>
        <v>9.8333333333333339</v>
      </c>
      <c r="D180" s="4" t="str">
        <f>_xlfn.XLOOKUP(B180,tbl_Weather[month],tbl_Weather[hdd],"")</f>
        <v/>
      </c>
      <c r="E180" s="4" t="str">
        <f>_xlfn.XLOOKUP(B180,tbl_Weather[month],tbl_Weather[cdd],"")</f>
        <v/>
      </c>
      <c r="F180" s="81" t="str" cm="1">
        <f t="array" ref="F180">IF(ISCLOSED(B180),SAFEDIV(SUMIFS(tbl_Monthly[mwh],tbl_Monthly[class],"residential",tbl_Monthly[month],B180),SUMIFS(tbl_Monthly[customers],tbl_Monthly[class],"residential",tbl_Monthly[month],B180)),"")</f>
        <v/>
      </c>
      <c r="G180" s="81" t="str" cm="1">
        <f t="array" ref="G180">IF(ISCLOSED(B180),SAFEDIV(SUMIFS(tbl_Monthly[mwh],tbl_Monthly[class],"commercial",tbl_Monthly[month],B180),SUMIFS(tbl_Monthly[customers],tbl_Monthly[class],"commercial",tbl_Monthly[month],B180)),"")</f>
        <v/>
      </c>
      <c r="H180" s="81" t="str">
        <f t="shared" si="11"/>
        <v/>
      </c>
      <c r="I180" s="81" t="str">
        <f t="shared" si="12"/>
        <v/>
      </c>
      <c r="J180" t="b">
        <f>AND(ISCLOSED(B180),YEAR(B180)&lt;FiscalYear)</f>
        <v>0</v>
      </c>
    </row>
    <row r="181" spans="2:10" x14ac:dyDescent="0.3">
      <c r="B181" s="79">
        <f t="shared" si="13"/>
        <v>46357</v>
      </c>
      <c r="C181" s="80" cm="1">
        <f t="array" ref="C181">TRENDYEARS(B181)</f>
        <v>9.9166666666666661</v>
      </c>
      <c r="D181" s="4" t="str">
        <f>_xlfn.XLOOKUP(B181,tbl_Weather[month],tbl_Weather[hdd],"")</f>
        <v/>
      </c>
      <c r="E181" s="4" t="str">
        <f>_xlfn.XLOOKUP(B181,tbl_Weather[month],tbl_Weather[cdd],"")</f>
        <v/>
      </c>
      <c r="F181" s="81" t="str" cm="1">
        <f t="array" ref="F181">IF(ISCLOSED(B181),SAFEDIV(SUMIFS(tbl_Monthly[mwh],tbl_Monthly[class],"residential",tbl_Monthly[month],B181),SUMIFS(tbl_Monthly[customers],tbl_Monthly[class],"residential",tbl_Monthly[month],B181)),"")</f>
        <v/>
      </c>
      <c r="G181" s="81" t="str" cm="1">
        <f t="array" ref="G181">IF(ISCLOSED(B181),SAFEDIV(SUMIFS(tbl_Monthly[mwh],tbl_Monthly[class],"commercial",tbl_Monthly[month],B181),SUMIFS(tbl_Monthly[customers],tbl_Monthly[class],"commercial",tbl_Monthly[month],B181)),"")</f>
        <v/>
      </c>
      <c r="H181" s="81" t="str">
        <f t="shared" si="11"/>
        <v/>
      </c>
      <c r="I181" s="81" t="str">
        <f t="shared" si="12"/>
        <v/>
      </c>
      <c r="J181" t="b">
        <f>AND(ISCLOSED(B181),YEAR(B181)&lt;FiscalYear)</f>
        <v>0</v>
      </c>
    </row>
  </sheetData>
  <mergeCells count="1">
    <mergeCell ref="B2:R2"/>
  </mergeCells>
  <conditionalFormatting sqref="H19:H31">
    <cfRule type="cellIs" dxfId="43" priority="1" stopIfTrue="1" operator="greaterThan">
      <formula>0</formula>
    </cfRule>
    <cfRule type="cellIs" dxfId="42" priority="2" stopIfTrue="1" operator="lessThan">
      <formula>0</formula>
    </cfRule>
  </conditionalFormatting>
  <conditionalFormatting sqref="L19:L31">
    <cfRule type="cellIs" dxfId="41" priority="3" stopIfTrue="1" operator="greaterThan">
      <formula>0</formula>
    </cfRule>
    <cfRule type="cellIs" dxfId="40" priority="4" stopIfTrue="1" operator="lessThan">
      <formula>0</formula>
    </cfRule>
  </conditionalFormatting>
  <conditionalFormatting sqref="N19:N31">
    <cfRule type="cellIs" dxfId="39" priority="5" stopIfTrue="1" operator="greaterThan">
      <formula>0</formula>
    </cfRule>
    <cfRule type="cellIs" dxfId="38" priority="6" stopIfTrue="1" operator="lessThan">
      <formula>0</formula>
    </cfRule>
  </conditionalFormatting>
  <printOptions horizontalCentered="1"/>
  <pageMargins left="0.35" right="0.35" top="0.44999999999999996" bottom="0.5" header="0.3" footer="0.2"/>
  <pageSetup scale="65" orientation="landscape" r:id="rId1"/>
  <headerFooter>
    <oddFooter>&amp;C&amp;8&amp;A&amp;L&amp;8Portland General Electric utility FP&amp;&amp;A model · public data (EIA, FERC via PUDL, NOAA)&amp;R&amp;8Page &amp;P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958D0-9DCE-428D-9DD4-2AA96649CF64}">
  <sheetPr>
    <tabColor rgb="FF0F766E"/>
    <pageSetUpPr fitToPage="1"/>
  </sheetPr>
  <dimension ref="B1:U117"/>
  <sheetViews>
    <sheetView showGridLines="0" zoomScale="90" zoomScaleNormal="90" workbookViewId="0"/>
  </sheetViews>
  <sheetFormatPr defaultRowHeight="13" x14ac:dyDescent="0.3"/>
  <cols>
    <col min="1" max="1" width="2.69921875" customWidth="1"/>
    <col min="2" max="2" width="14.69921875" customWidth="1"/>
    <col min="3" max="3" width="13.69921875" customWidth="1"/>
    <col min="4" max="20" width="12.69921875" customWidth="1"/>
    <col min="21" max="21" width="2.69921875" customWidth="1"/>
  </cols>
  <sheetData>
    <row r="1" spans="2:21" ht="30" customHeight="1" x14ac:dyDescent="0.55000000000000004">
      <c r="B1" s="1" t="str" cm="1">
        <f t="array" ref="B1">"Plan against actual: the "&amp;PlanYear&amp;" plan, built only from data through December "&amp;(PlanYear-1)</f>
        <v>Plan against actual: the 2026 plan, built only from data through December 2025</v>
      </c>
    </row>
    <row r="2" spans="2:21" ht="28" customHeight="1" x14ac:dyDescent="0.3">
      <c r="B2" s="32" t="s">
        <v>329</v>
      </c>
      <c r="C2" s="32"/>
      <c r="D2" s="32"/>
      <c r="E2" s="32"/>
      <c r="F2" s="32"/>
      <c r="G2" s="32"/>
      <c r="H2" s="32"/>
      <c r="I2" s="32"/>
      <c r="J2" s="32"/>
      <c r="K2" s="32"/>
      <c r="L2" s="32"/>
      <c r="M2" s="32"/>
      <c r="N2" s="32"/>
      <c r="O2" s="32"/>
      <c r="P2" s="32"/>
      <c r="Q2" s="32"/>
      <c r="R2" s="32"/>
      <c r="S2" s="32"/>
      <c r="T2" s="32"/>
      <c r="U2" s="32"/>
    </row>
    <row r="4" spans="2:21" x14ac:dyDescent="0.3">
      <c r="B4" s="24" t="s">
        <v>330</v>
      </c>
      <c r="C4" s="14">
        <v>2026</v>
      </c>
      <c r="D4" s="2" t="s">
        <v>331</v>
      </c>
    </row>
    <row r="5" spans="2:21" x14ac:dyDescent="0.3">
      <c r="B5" s="24" t="s">
        <v>158</v>
      </c>
      <c r="C5">
        <f>IF(PlanYear&lt;FiscalYear,12,IF(PlanYear=FiscalYear,MonthsClosed,0))</f>
        <v>6</v>
      </c>
    </row>
    <row r="7" spans="2:21" ht="18" customHeight="1" x14ac:dyDescent="0.3">
      <c r="B7" s="7" t="str">
        <f>"Drivers, from "&amp;(PlanYear-2)&amp;" and "&amp;(PlanYear-1)</f>
        <v>Drivers, from 2024 and 2025</v>
      </c>
      <c r="C7" s="7"/>
      <c r="D7" s="7"/>
      <c r="E7" s="7"/>
      <c r="F7" s="7"/>
      <c r="G7" s="7"/>
      <c r="H7" s="7"/>
      <c r="I7" s="7"/>
      <c r="J7" s="7"/>
      <c r="K7" s="7"/>
      <c r="L7" s="7"/>
    </row>
    <row r="8" spans="2:21" ht="39" x14ac:dyDescent="0.3">
      <c r="B8" s="64" t="s">
        <v>208</v>
      </c>
      <c r="C8" s="65" t="s">
        <v>279</v>
      </c>
      <c r="D8" s="65" t="s">
        <v>332</v>
      </c>
      <c r="E8" s="65" t="s">
        <v>333</v>
      </c>
      <c r="F8" s="65" t="s">
        <v>334</v>
      </c>
      <c r="G8" s="65" t="s">
        <v>335</v>
      </c>
      <c r="H8" s="65" t="s">
        <v>336</v>
      </c>
      <c r="I8" s="65" t="s">
        <v>337</v>
      </c>
      <c r="J8" s="65" t="s">
        <v>338</v>
      </c>
      <c r="K8" s="65" t="s">
        <v>336</v>
      </c>
      <c r="L8" s="65" t="s">
        <v>339</v>
      </c>
    </row>
    <row r="9" spans="2:21" x14ac:dyDescent="0.3">
      <c r="B9" t="s">
        <v>93</v>
      </c>
      <c r="C9" s="61" t="s">
        <v>92</v>
      </c>
      <c r="D9" s="54">
        <f>SUMIFS(tbl_Monthly[customers],tbl_Monthly[class],$C9,tbl_Monthly[month],DATE(PlanYear-1,12,1))</f>
        <v>844308</v>
      </c>
      <c r="E9" s="54">
        <f>SUMIFS(tbl_Monthly[customers],tbl_Monthly[class],$C9,tbl_Monthly[month],DATE(PlanYear-2,12,1))</f>
        <v>835058</v>
      </c>
      <c r="F9" s="88" cm="1">
        <f t="array" ref="F9">SAFEDIV(D9,E9)</f>
        <v>1.0110770748858162</v>
      </c>
      <c r="G9" s="54">
        <f>SUMIFS(tbl_Monthly[mwh],tbl_Monthly[class],$C9,tbl_Monthly[month],"&gt;="&amp;DATE(PlanYear-1,1,1),tbl_Monthly[month],"&lt;="&amp;DATE(PlanYear-1,12,1))</f>
        <v>7596297.6080000009</v>
      </c>
      <c r="H9" s="54">
        <f>SUMIFS(tbl_Monthly[mwh],tbl_Monthly[class],$C9,tbl_Monthly[month],"&gt;="&amp;DATE(PlanYear-2,1,1),tbl_Monthly[month],"&lt;="&amp;DATE(PlanYear-2,12,1))</f>
        <v>7731593.6920000017</v>
      </c>
      <c r="I9" s="88" cm="1">
        <f t="array" ref="I9">SAFEDIV(G9,H9)</f>
        <v>0.98250088023378757</v>
      </c>
      <c r="J9" s="58" cm="1">
        <f t="array" ref="J9">SAFEDIV(SUMIFS(tbl_Monthly[revenue],tbl_Monthly[class],$C9,tbl_Monthly[month],"&gt;="&amp;DATE(PlanYear-1,1,1),tbl_Monthly[month],"&lt;="&amp;DATE(PlanYear-1,12,1)),G9)</f>
        <v>187.94484387979233</v>
      </c>
      <c r="K9" s="58" cm="1">
        <f t="array" ref="K9">SAFEDIV(SUMIFS(tbl_Monthly[revenue],tbl_Monthly[class],$C9,tbl_Monthly[month],"&gt;="&amp;DATE(PlanYear-2,1,1),tbl_Monthly[month],"&lt;="&amp;DATE(PlanYear-2,12,1)),H9)</f>
        <v>181.89919090745718</v>
      </c>
      <c r="L9" s="88" cm="1">
        <f t="array" ref="L9">SAFEDIV(J9,K9)</f>
        <v>1.0332362829222859</v>
      </c>
    </row>
    <row r="10" spans="2:21" x14ac:dyDescent="0.3">
      <c r="B10" t="s">
        <v>96</v>
      </c>
      <c r="C10" s="61" t="s">
        <v>95</v>
      </c>
      <c r="D10" s="54">
        <f>SUMIFS(tbl_Monthly[customers],tbl_Monthly[class],$C10,tbl_Monthly[month],DATE(PlanYear-1,12,1))</f>
        <v>110212</v>
      </c>
      <c r="E10" s="54">
        <f>SUMIFS(tbl_Monthly[customers],tbl_Monthly[class],$C10,tbl_Monthly[month],DATE(PlanYear-2,12,1))</f>
        <v>110145</v>
      </c>
      <c r="F10" s="88" cm="1">
        <f t="array" ref="F10">SAFEDIV(D10,E10)</f>
        <v>1.000608289073494</v>
      </c>
      <c r="G10" s="54">
        <f>SUMIFS(tbl_Monthly[mwh],tbl_Monthly[class],$C10,tbl_Monthly[month],"&gt;="&amp;DATE(PlanYear-1,1,1),tbl_Monthly[month],"&lt;="&amp;DATE(PlanYear-1,12,1))</f>
        <v>6385089.5020000003</v>
      </c>
      <c r="H10" s="54">
        <f>SUMIFS(tbl_Monthly[mwh],tbl_Monthly[class],$C10,tbl_Monthly[month],"&gt;="&amp;DATE(PlanYear-2,1,1),tbl_Monthly[month],"&lt;="&amp;DATE(PlanYear-2,12,1))</f>
        <v>6433391.0439999998</v>
      </c>
      <c r="I10" s="88" cm="1">
        <f t="array" ref="I10">SAFEDIV(G10,H10)</f>
        <v>0.99249205564069554</v>
      </c>
      <c r="J10" s="58" cm="1">
        <f t="array" ref="J10">SAFEDIV(SUMIFS(tbl_Monthly[revenue],tbl_Monthly[class],$C10,tbl_Monthly[month],"&gt;="&amp;DATE(PlanYear-1,1,1),tbl_Monthly[month],"&lt;="&amp;DATE(PlanYear-1,12,1)),G10)</f>
        <v>148.02840315769154</v>
      </c>
      <c r="K10" s="58" cm="1">
        <f t="array" ref="K10">SAFEDIV(SUMIFS(tbl_Monthly[revenue],tbl_Monthly[class],$C10,tbl_Monthly[month],"&gt;="&amp;DATE(PlanYear-2,1,1),tbl_Monthly[month],"&lt;="&amp;DATE(PlanYear-2,12,1)),H10)</f>
        <v>138.71102796281383</v>
      </c>
      <c r="L10" s="88" cm="1">
        <f t="array" ref="L10">SAFEDIV(J10,K10)</f>
        <v>1.0671711206507355</v>
      </c>
    </row>
    <row r="11" spans="2:21" x14ac:dyDescent="0.3">
      <c r="B11" t="s">
        <v>98</v>
      </c>
      <c r="C11" s="61" t="s">
        <v>97</v>
      </c>
      <c r="D11" s="54">
        <f>SUMIFS(tbl_Monthly[customers],tbl_Monthly[class],$C11,tbl_Monthly[month],DATE(PlanYear-1,12,1))</f>
        <v>4312</v>
      </c>
      <c r="E11" s="54">
        <f>SUMIFS(tbl_Monthly[customers],tbl_Monthly[class],$C11,tbl_Monthly[month],DATE(PlanYear-2,12,1))</f>
        <v>4196</v>
      </c>
      <c r="F11" s="88" cm="1">
        <f t="array" ref="F11">SAFEDIV(D11,E11)</f>
        <v>1.0276453765490943</v>
      </c>
      <c r="G11" s="54">
        <f>SUMIFS(tbl_Monthly[mwh],tbl_Monthly[class],$C11,tbl_Monthly[month],"&gt;="&amp;DATE(PlanYear-1,1,1),tbl_Monthly[month],"&lt;="&amp;DATE(PlanYear-1,12,1))</f>
        <v>5975991.5140000004</v>
      </c>
      <c r="H11" s="54">
        <f>SUMIFS(tbl_Monthly[mwh],tbl_Monthly[class],$C11,tbl_Monthly[month],"&gt;="&amp;DATE(PlanYear-2,1,1),tbl_Monthly[month],"&lt;="&amp;DATE(PlanYear-2,12,1))</f>
        <v>5097435.2290000003</v>
      </c>
      <c r="I11" s="88" cm="1">
        <f t="array" ref="I11">SAFEDIV(G11,H11)</f>
        <v>1.1723526137226372</v>
      </c>
      <c r="J11" s="58" cm="1">
        <f t="array" ref="J11">SAFEDIV(SUMIFS(tbl_Monthly[revenue],tbl_Monthly[class],$C11,tbl_Monthly[month],"&gt;="&amp;DATE(PlanYear-1,1,1),tbl_Monthly[month],"&lt;="&amp;DATE(PlanYear-1,12,1)),G11)</f>
        <v>92.690873255480327</v>
      </c>
      <c r="K11" s="58" cm="1">
        <f t="array" ref="K11">SAFEDIV(SUMIFS(tbl_Monthly[revenue],tbl_Monthly[class],$C11,tbl_Monthly[month],"&gt;="&amp;DATE(PlanYear-2,1,1),tbl_Monthly[month],"&lt;="&amp;DATE(PlanYear-2,12,1)),H11)</f>
        <v>88.49519194155512</v>
      </c>
      <c r="L11" s="88" cm="1">
        <f t="array" ref="L11">SAFEDIV(J11,K11)</f>
        <v>1.0474114041890112</v>
      </c>
    </row>
    <row r="12" spans="2:21" x14ac:dyDescent="0.3">
      <c r="B12" t="s">
        <v>101</v>
      </c>
      <c r="C12" s="61" t="s">
        <v>100</v>
      </c>
      <c r="D12" s="54">
        <f>SUMIFS(tbl_Monthly[customers],tbl_Monthly[class],$C12,tbl_Monthly[month],DATE(PlanYear-1,12,1))</f>
        <v>1</v>
      </c>
      <c r="E12" s="54">
        <f>SUMIFS(tbl_Monthly[customers],tbl_Monthly[class],$C12,tbl_Monthly[month],DATE(PlanYear-2,12,1))</f>
        <v>1</v>
      </c>
      <c r="F12" s="88" cm="1">
        <f t="array" ref="F12">SAFEDIV(D12,E12)</f>
        <v>1</v>
      </c>
      <c r="G12" s="54">
        <f>SUMIFS(tbl_Monthly[mwh],tbl_Monthly[class],$C12,tbl_Monthly[month],"&gt;="&amp;DATE(PlanYear-1,1,1),tbl_Monthly[month],"&lt;="&amp;DATE(PlanYear-1,12,1))</f>
        <v>10916.788999999999</v>
      </c>
      <c r="H12" s="54">
        <f>SUMIFS(tbl_Monthly[mwh],tbl_Monthly[class],$C12,tbl_Monthly[month],"&gt;="&amp;DATE(PlanYear-2,1,1),tbl_Monthly[month],"&lt;="&amp;DATE(PlanYear-2,12,1))</f>
        <v>10201.48</v>
      </c>
      <c r="I12" s="88" cm="1">
        <f t="array" ref="I12">SAFEDIV(G12,H12)</f>
        <v>1.0701181593259017</v>
      </c>
      <c r="J12" s="58" cm="1">
        <f t="array" ref="J12">SAFEDIV(SUMIFS(tbl_Monthly[revenue],tbl_Monthly[class],$C12,tbl_Monthly[month],"&gt;="&amp;DATE(PlanYear-1,1,1),tbl_Monthly[month],"&lt;="&amp;DATE(PlanYear-1,12,1)),G12)</f>
        <v>128.28927993387069</v>
      </c>
      <c r="K12" s="58" cm="1">
        <f t="array" ref="K12">SAFEDIV(SUMIFS(tbl_Monthly[revenue],tbl_Monthly[class],$C12,tbl_Monthly[month],"&gt;="&amp;DATE(PlanYear-2,1,1),tbl_Monthly[month],"&lt;="&amp;DATE(PlanYear-2,12,1)),H12)</f>
        <v>120.6169104874979</v>
      </c>
      <c r="L12" s="88" cm="1">
        <f t="array" ref="L12">SAFEDIV(J12,K12)</f>
        <v>1.0636094011640933</v>
      </c>
    </row>
    <row r="14" spans="2:21" ht="18" customHeight="1" x14ac:dyDescent="0.3">
      <c r="B14" s="7" t="str">
        <f>"Weather model for the plan, fitted to Dec "&amp;(PlanYear-1)</f>
        <v>Weather model for the plan, fitted to Dec 2025</v>
      </c>
      <c r="C14" s="7"/>
      <c r="D14" s="7"/>
      <c r="E14" s="7"/>
      <c r="F14" s="7"/>
      <c r="G14" s="7"/>
      <c r="H14" s="7"/>
      <c r="I14" s="7"/>
      <c r="J14" s="7"/>
      <c r="K14" s="7"/>
      <c r="L14" s="7"/>
    </row>
    <row r="15" spans="2:21" ht="26" x14ac:dyDescent="0.3">
      <c r="B15" s="64" t="s">
        <v>208</v>
      </c>
      <c r="C15" s="65" t="s">
        <v>279</v>
      </c>
      <c r="D15" s="65" t="s">
        <v>308</v>
      </c>
      <c r="E15" s="65" t="s">
        <v>309</v>
      </c>
      <c r="F15" s="65" t="s">
        <v>310</v>
      </c>
      <c r="G15" s="65" t="s">
        <v>311</v>
      </c>
      <c r="H15" s="65" t="s">
        <v>312</v>
      </c>
      <c r="I15" s="65" t="s">
        <v>313</v>
      </c>
    </row>
    <row r="16" spans="2:21" x14ac:dyDescent="0.3">
      <c r="B16" t="s">
        <v>93</v>
      </c>
      <c r="C16" s="61" t="s">
        <v>92</v>
      </c>
      <c r="D16" s="82" cm="1">
        <f t="array" ref="D16:H16">_xlfn.LET(_xlpm.s,LINEST(_xlfn._xlws.FILTER(Weather!$F$62:$F$181,(Weather!$B$62:$B$181&lt;=AsOfMonth)*(YEAR(Weather!$B$62:$B$181)&lt;PlanYear)*(Weather!$B$62:$B$181&gt;=FitStart)),_xlfn.HSTACK(_xlfn._xlws.FILTER(Weather!$D$62:$D$181,(Weather!$B$62:$B$181&lt;=AsOfMonth)*(YEAR(Weather!$B$62:$B$181)&lt;PlanYear)*(Weather!$B$62:$B$181&gt;=FitStart)),_xlfn._xlws.FILTER(Weather!$E$62:$E$181,(Weather!$B$62:$B$181&lt;=AsOfMonth)*(YEAR(Weather!$B$62:$B$181)&lt;PlanYear)*(Weather!$B$62:$B$181&gt;=FitStart)),_xlfn._xlws.FILTER(Weather!$C$62:$C$181,(Weather!$B$62:$B$181&lt;=AsOfMonth)*(YEAR(Weather!$B$62:$B$181)&lt;PlanYear)*(Weather!$B$62:$B$181&gt;=FitStart))),TRUE,TRUE),_xlfn.HSTACK(INDEX(_xlpm.s,1,4),INDEX(_xlpm.s,1,3),INDEX(_xlpm.s,1,2),INDEX(_xlpm.s,1,1),INDEX(_xlpm.s,3,1)))</f>
        <v>0.49596644212817698</v>
      </c>
      <c r="E16" s="82">
        <v>6.7761677613792468E-4</v>
      </c>
      <c r="F16" s="82">
        <v>2.6779197510012369E-3</v>
      </c>
      <c r="G16" s="82">
        <v>-7.5184518218540958E-3</v>
      </c>
      <c r="H16" s="80">
        <v>0.83811811584012952</v>
      </c>
      <c r="I16" cm="1">
        <f t="array" ref="I16">ROWS(_xlfn._xlws.FILTER(Weather!$F$62:$F$181,(Weather!$B$62:$B$181&lt;=AsOfMonth)*(YEAR(Weather!$B$62:$B$181)&lt;PlanYear)*(Weather!$B$62:$B$181&gt;=FitStart)))</f>
        <v>108</v>
      </c>
    </row>
    <row r="17" spans="2:21" x14ac:dyDescent="0.3">
      <c r="B17" t="s">
        <v>96</v>
      </c>
      <c r="C17" s="61" t="s">
        <v>95</v>
      </c>
      <c r="D17" s="82" cm="1">
        <f t="array" ref="D17:H17">_xlfn.LET(_xlpm.s,LINEST(_xlfn._xlws.FILTER(Weather!$G$62:$G$181,(Weather!$B$62:$B$181&lt;=AsOfMonth)*(YEAR(Weather!$B$62:$B$181)&lt;PlanYear)*(Weather!$B$62:$B$181&gt;=FitStart)),_xlfn.HSTACK(_xlfn._xlws.FILTER(Weather!$D$62:$D$181,(Weather!$B$62:$B$181&lt;=AsOfMonth)*(YEAR(Weather!$B$62:$B$181)&lt;PlanYear)*(Weather!$B$62:$B$181&gt;=FitStart)),_xlfn._xlws.FILTER(Weather!$E$62:$E$181,(Weather!$B$62:$B$181&lt;=AsOfMonth)*(YEAR(Weather!$B$62:$B$181)&lt;PlanYear)*(Weather!$B$62:$B$181&gt;=FitStart)),_xlfn._xlws.FILTER(Weather!$C$62:$C$181,(Weather!$B$62:$B$181&lt;=AsOfMonth)*(YEAR(Weather!$B$62:$B$181)&lt;PlanYear)*(Weather!$B$62:$B$181&gt;=FitStart))),TRUE,TRUE),_xlfn.HSTACK(INDEX(_xlpm.s,1,4),INDEX(_xlpm.s,1,3),INDEX(_xlpm.s,1,2),INDEX(_xlpm.s,1,1),INDEX(_xlpm.s,3,1)))</f>
        <v>4.9058293858685902</v>
      </c>
      <c r="E17" s="82">
        <v>6.2824612831599721E-4</v>
      </c>
      <c r="F17" s="82">
        <v>7.3712067251924572E-3</v>
      </c>
      <c r="G17" s="82">
        <v>-6.5020002713612468E-2</v>
      </c>
      <c r="H17" s="80">
        <v>0.58282377881752512</v>
      </c>
      <c r="I17" cm="1">
        <f t="array" ref="I17">ROWS(_xlfn._xlws.FILTER(Weather!$G$62:$G$181,(Weather!$B$62:$B$181&lt;=AsOfMonth)*(YEAR(Weather!$B$62:$B$181)&lt;PlanYear)*(Weather!$B$62:$B$181&gt;=FitStart)))</f>
        <v>108</v>
      </c>
    </row>
    <row r="19" spans="2:21" ht="18" customHeight="1" x14ac:dyDescent="0.3">
      <c r="B19" s="7" t="str">
        <f>"Normal weather for "&amp;PlanYear&amp;" ("&amp;(PlanYear-NormalYears)&amp;"–"&amp;(PlanYear-1)&amp;") and what happened"</f>
        <v>Normal weather for 2026 (2016–2025) and what happened</v>
      </c>
      <c r="C19" s="7"/>
      <c r="D19" s="7"/>
      <c r="E19" s="7"/>
      <c r="F19" s="7"/>
      <c r="G19" s="7"/>
      <c r="H19" s="7"/>
      <c r="I19" s="7"/>
      <c r="J19" s="7"/>
      <c r="K19" s="7"/>
      <c r="L19" s="7"/>
      <c r="M19" s="7"/>
      <c r="N19" s="7"/>
      <c r="O19" s="7"/>
    </row>
    <row r="20" spans="2:21" x14ac:dyDescent="0.3">
      <c r="B20" s="24" t="s">
        <v>299</v>
      </c>
      <c r="C20" s="34" t="str">
        <f t="shared" ref="C20:N20" si="0">TEXT(DATE(2000,COLUMN()-2,1),"mmm")</f>
        <v>Jan</v>
      </c>
      <c r="D20" s="34" t="str">
        <f t="shared" si="0"/>
        <v>Feb</v>
      </c>
      <c r="E20" s="34" t="str">
        <f t="shared" si="0"/>
        <v>Mar</v>
      </c>
      <c r="F20" s="34" t="str">
        <f t="shared" si="0"/>
        <v>Apr</v>
      </c>
      <c r="G20" s="34" t="str">
        <f t="shared" si="0"/>
        <v>May</v>
      </c>
      <c r="H20" s="34" t="str">
        <f t="shared" si="0"/>
        <v>Jun</v>
      </c>
      <c r="I20" s="34" t="str">
        <f t="shared" si="0"/>
        <v>Jul</v>
      </c>
      <c r="J20" s="34" t="str">
        <f t="shared" si="0"/>
        <v>Aug</v>
      </c>
      <c r="K20" s="34" t="str">
        <f t="shared" si="0"/>
        <v>Sep</v>
      </c>
      <c r="L20" s="34" t="str">
        <f t="shared" si="0"/>
        <v>Oct</v>
      </c>
      <c r="M20" s="34" t="str">
        <f t="shared" si="0"/>
        <v>Nov</v>
      </c>
      <c r="N20" s="34" t="str">
        <f t="shared" si="0"/>
        <v>Dec</v>
      </c>
    </row>
    <row r="21" spans="2:21" x14ac:dyDescent="0.3">
      <c r="B21" t="s">
        <v>315</v>
      </c>
      <c r="C21" s="89" cm="1">
        <f t="array" ref="C21">AVERAGE(_xlfn._xlws.FILTER(tbl_Weather[hdd],(YEAR(tbl_Weather[month])&gt;=PlanYear-NormalYears)*(YEAR(tbl_Weather[month])&lt;PlanYear)*(MONTH(tbl_Weather[month])=COLUMN()-2)))</f>
        <v>748</v>
      </c>
      <c r="D21" s="89" cm="1">
        <f t="array" ref="D21">AVERAGE(_xlfn._xlws.FILTER(tbl_Weather[hdd],(YEAR(tbl_Weather[month])&gt;=PlanYear-NormalYears)*(YEAR(tbl_Weather[month])&lt;PlanYear)*(MONTH(tbl_Weather[month])=COLUMN()-2)))</f>
        <v>679.3</v>
      </c>
      <c r="E21" s="89" cm="1">
        <f t="array" ref="E21">AVERAGE(_xlfn._xlws.FILTER(tbl_Weather[hdd],(YEAR(tbl_Weather[month])&gt;=PlanYear-NormalYears)*(YEAR(tbl_Weather[month])&lt;PlanYear)*(MONTH(tbl_Weather[month])=COLUMN()-2)))</f>
        <v>640.79999999999995</v>
      </c>
      <c r="F21" s="89" cm="1">
        <f t="array" ref="F21">AVERAGE(_xlfn._xlws.FILTER(tbl_Weather[hdd],(YEAR(tbl_Weather[month])&gt;=PlanYear-NormalYears)*(YEAR(tbl_Weather[month])&lt;PlanYear)*(MONTH(tbl_Weather[month])=COLUMN()-2)))</f>
        <v>467.4</v>
      </c>
      <c r="G21" s="89" cm="1">
        <f t="array" ref="G21">AVERAGE(_xlfn._xlws.FILTER(tbl_Weather[hdd],(YEAR(tbl_Weather[month])&gt;=PlanYear-NormalYears)*(YEAR(tbl_Weather[month])&lt;PlanYear)*(MONTH(tbl_Weather[month])=COLUMN()-2)))</f>
        <v>287.39999999999998</v>
      </c>
      <c r="H21" s="89" cm="1">
        <f t="array" ref="H21">AVERAGE(_xlfn._xlws.FILTER(tbl_Weather[hdd],(YEAR(tbl_Weather[month])&gt;=PlanYear-NormalYears)*(YEAR(tbl_Weather[month])&lt;PlanYear)*(MONTH(tbl_Weather[month])=COLUMN()-2)))</f>
        <v>129.5</v>
      </c>
      <c r="I21" s="89" cm="1">
        <f t="array" ref="I21">AVERAGE(_xlfn._xlws.FILTER(tbl_Weather[hdd],(YEAR(tbl_Weather[month])&gt;=PlanYear-NormalYears)*(YEAR(tbl_Weather[month])&lt;PlanYear)*(MONTH(tbl_Weather[month])=COLUMN()-2)))</f>
        <v>32.6</v>
      </c>
      <c r="J21" s="89" cm="1">
        <f t="array" ref="J21">AVERAGE(_xlfn._xlws.FILTER(tbl_Weather[hdd],(YEAR(tbl_Weather[month])&gt;=PlanYear-NormalYears)*(YEAR(tbl_Weather[month])&lt;PlanYear)*(MONTH(tbl_Weather[month])=COLUMN()-2)))</f>
        <v>22.4</v>
      </c>
      <c r="K21" s="89" cm="1">
        <f t="array" ref="K21">AVERAGE(_xlfn._xlws.FILTER(tbl_Weather[hdd],(YEAR(tbl_Weather[month])&gt;=PlanYear-NormalYears)*(YEAR(tbl_Weather[month])&lt;PlanYear)*(MONTH(tbl_Weather[month])=COLUMN()-2)))</f>
        <v>117.1</v>
      </c>
      <c r="L21" s="89" cm="1">
        <f t="array" ref="L21">AVERAGE(_xlfn._xlws.FILTER(tbl_Weather[hdd],(YEAR(tbl_Weather[month])&gt;=PlanYear-NormalYears)*(YEAR(tbl_Weather[month])&lt;PlanYear)*(MONTH(tbl_Weather[month])=COLUMN()-2)))</f>
        <v>376.5</v>
      </c>
      <c r="M21" s="89" cm="1">
        <f t="array" ref="M21">AVERAGE(_xlfn._xlws.FILTER(tbl_Weather[hdd],(YEAR(tbl_Weather[month])&gt;=PlanYear-NormalYears)*(YEAR(tbl_Weather[month])&lt;PlanYear)*(MONTH(tbl_Weather[month])=COLUMN()-2)))</f>
        <v>593.70000000000005</v>
      </c>
      <c r="N21" s="89" cm="1">
        <f t="array" ref="N21">AVERAGE(_xlfn._xlws.FILTER(tbl_Weather[hdd],(YEAR(tbl_Weather[month])&gt;=PlanYear-NormalYears)*(YEAR(tbl_Weather[month])&lt;PlanYear)*(MONTH(tbl_Weather[month])=COLUMN()-2)))</f>
        <v>753.3</v>
      </c>
    </row>
    <row r="22" spans="2:21" x14ac:dyDescent="0.3">
      <c r="B22" t="s">
        <v>316</v>
      </c>
      <c r="C22" s="89" cm="1">
        <f t="array" ref="C22">AVERAGE(_xlfn._xlws.FILTER(tbl_Weather[cdd],(YEAR(tbl_Weather[month])&gt;=PlanYear-NormalYears)*(YEAR(tbl_Weather[month])&lt;PlanYear)*(MONTH(tbl_Weather[month])=COLUMN()-2)))</f>
        <v>0</v>
      </c>
      <c r="D22" s="89" cm="1">
        <f t="array" ref="D22">AVERAGE(_xlfn._xlws.FILTER(tbl_Weather[cdd],(YEAR(tbl_Weather[month])&gt;=PlanYear-NormalYears)*(YEAR(tbl_Weather[month])&lt;PlanYear)*(MONTH(tbl_Weather[month])=COLUMN()-2)))</f>
        <v>0</v>
      </c>
      <c r="E22" s="89" cm="1">
        <f t="array" ref="E22">AVERAGE(_xlfn._xlws.FILTER(tbl_Weather[cdd],(YEAR(tbl_Weather[month])&gt;=PlanYear-NormalYears)*(YEAR(tbl_Weather[month])&lt;PlanYear)*(MONTH(tbl_Weather[month])=COLUMN()-2)))</f>
        <v>0</v>
      </c>
      <c r="F22" s="89" cm="1">
        <f t="array" ref="F22">AVERAGE(_xlfn._xlws.FILTER(tbl_Weather[cdd],(YEAR(tbl_Weather[month])&gt;=PlanYear-NormalYears)*(YEAR(tbl_Weather[month])&lt;PlanYear)*(MONTH(tbl_Weather[month])=COLUMN()-2)))</f>
        <v>0</v>
      </c>
      <c r="G22" s="89" cm="1">
        <f t="array" ref="G22">AVERAGE(_xlfn._xlws.FILTER(tbl_Weather[cdd],(YEAR(tbl_Weather[month])&gt;=PlanYear-NormalYears)*(YEAR(tbl_Weather[month])&lt;PlanYear)*(MONTH(tbl_Weather[month])=COLUMN()-2)))</f>
        <v>4.0999999999999996</v>
      </c>
      <c r="H22" s="89" cm="1">
        <f t="array" ref="H22">AVERAGE(_xlfn._xlws.FILTER(tbl_Weather[cdd],(YEAR(tbl_Weather[month])&gt;=PlanYear-NormalYears)*(YEAR(tbl_Weather[month])&lt;PlanYear)*(MONTH(tbl_Weather[month])=COLUMN()-2)))</f>
        <v>23.3</v>
      </c>
      <c r="I22" s="89" cm="1">
        <f t="array" ref="I22">AVERAGE(_xlfn._xlws.FILTER(tbl_Weather[cdd],(YEAR(tbl_Weather[month])&gt;=PlanYear-NormalYears)*(YEAR(tbl_Weather[month])&lt;PlanYear)*(MONTH(tbl_Weather[month])=COLUMN()-2)))</f>
        <v>114.6</v>
      </c>
      <c r="J22" s="89" cm="1">
        <f t="array" ref="J22">AVERAGE(_xlfn._xlws.FILTER(tbl_Weather[cdd],(YEAR(tbl_Weather[month])&gt;=PlanYear-NormalYears)*(YEAR(tbl_Weather[month])&lt;PlanYear)*(MONTH(tbl_Weather[month])=COLUMN()-2)))</f>
        <v>130.80000000000001</v>
      </c>
      <c r="K22" s="89" cm="1">
        <f t="array" ref="K22">AVERAGE(_xlfn._xlws.FILTER(tbl_Weather[cdd],(YEAR(tbl_Weather[month])&gt;=PlanYear-NormalYears)*(YEAR(tbl_Weather[month])&lt;PlanYear)*(MONTH(tbl_Weather[month])=COLUMN()-2)))</f>
        <v>35.799999999999997</v>
      </c>
      <c r="L22" s="89" cm="1">
        <f t="array" ref="L22">AVERAGE(_xlfn._xlws.FILTER(tbl_Weather[cdd],(YEAR(tbl_Weather[month])&gt;=PlanYear-NormalYears)*(YEAR(tbl_Weather[month])&lt;PlanYear)*(MONTH(tbl_Weather[month])=COLUMN()-2)))</f>
        <v>0</v>
      </c>
      <c r="M22" s="89" cm="1">
        <f t="array" ref="M22">AVERAGE(_xlfn._xlws.FILTER(tbl_Weather[cdd],(YEAR(tbl_Weather[month])&gt;=PlanYear-NormalYears)*(YEAR(tbl_Weather[month])&lt;PlanYear)*(MONTH(tbl_Weather[month])=COLUMN()-2)))</f>
        <v>0</v>
      </c>
      <c r="N22" s="89" cm="1">
        <f t="array" ref="N22">AVERAGE(_xlfn._xlws.FILTER(tbl_Weather[cdd],(YEAR(tbl_Weather[month])&gt;=PlanYear-NormalYears)*(YEAR(tbl_Weather[month])&lt;PlanYear)*(MONTH(tbl_Weather[month])=COLUMN()-2)))</f>
        <v>0</v>
      </c>
    </row>
    <row r="23" spans="2:21" x14ac:dyDescent="0.3">
      <c r="B23" t="s">
        <v>340</v>
      </c>
      <c r="C23" s="89">
        <f>_xlfn.XLOOKUP(DATE(PlanYear,COLUMN()-2,1),tbl_Weather[month],tbl_Weather[hdd],"")</f>
        <v>701</v>
      </c>
      <c r="D23" s="89">
        <f>_xlfn.XLOOKUP(DATE(PlanYear,COLUMN()-2,1),tbl_Weather[month],tbl_Weather[hdd],"")</f>
        <v>599</v>
      </c>
      <c r="E23" s="89">
        <f>_xlfn.XLOOKUP(DATE(PlanYear,COLUMN()-2,1),tbl_Weather[month],tbl_Weather[hdd],"")</f>
        <v>524</v>
      </c>
      <c r="F23" s="89">
        <f>_xlfn.XLOOKUP(DATE(PlanYear,COLUMN()-2,1),tbl_Weather[month],tbl_Weather[hdd],"")</f>
        <v>408</v>
      </c>
      <c r="G23" s="89">
        <f>_xlfn.XLOOKUP(DATE(PlanYear,COLUMN()-2,1),tbl_Weather[month],tbl_Weather[hdd],"")</f>
        <v>241</v>
      </c>
      <c r="H23" s="89">
        <f>_xlfn.XLOOKUP(DATE(PlanYear,COLUMN()-2,1),tbl_Weather[month],tbl_Weather[hdd],"")</f>
        <v>109</v>
      </c>
      <c r="I23" s="89">
        <f>_xlfn.XLOOKUP(DATE(PlanYear,COLUMN()-2,1),tbl_Weather[month],tbl_Weather[hdd],"")</f>
        <v>41</v>
      </c>
      <c r="J23" s="89">
        <f>_xlfn.XLOOKUP(DATE(PlanYear,COLUMN()-2,1),tbl_Weather[month],tbl_Weather[hdd],"")</f>
        <v>27</v>
      </c>
      <c r="K23" s="89" t="str">
        <f>_xlfn.XLOOKUP(DATE(PlanYear,COLUMN()-2,1),tbl_Weather[month],tbl_Weather[hdd],"")</f>
        <v/>
      </c>
      <c r="L23" s="89" t="str">
        <f>_xlfn.XLOOKUP(DATE(PlanYear,COLUMN()-2,1),tbl_Weather[month],tbl_Weather[hdd],"")</f>
        <v/>
      </c>
      <c r="M23" s="89" t="str">
        <f>_xlfn.XLOOKUP(DATE(PlanYear,COLUMN()-2,1),tbl_Weather[month],tbl_Weather[hdd],"")</f>
        <v/>
      </c>
      <c r="N23" s="89" t="str">
        <f>_xlfn.XLOOKUP(DATE(PlanYear,COLUMN()-2,1),tbl_Weather[month],tbl_Weather[hdd],"")</f>
        <v/>
      </c>
    </row>
    <row r="24" spans="2:21" x14ac:dyDescent="0.3">
      <c r="B24" t="s">
        <v>341</v>
      </c>
      <c r="C24" s="89">
        <f>_xlfn.XLOOKUP(DATE(PlanYear,COLUMN()-2,1),tbl_Weather[month],tbl_Weather[cdd],"")</f>
        <v>0</v>
      </c>
      <c r="D24" s="89">
        <f>_xlfn.XLOOKUP(DATE(PlanYear,COLUMN()-2,1),tbl_Weather[month],tbl_Weather[cdd],"")</f>
        <v>0</v>
      </c>
      <c r="E24" s="89">
        <f>_xlfn.XLOOKUP(DATE(PlanYear,COLUMN()-2,1),tbl_Weather[month],tbl_Weather[cdd],"")</f>
        <v>0</v>
      </c>
      <c r="F24" s="89">
        <f>_xlfn.XLOOKUP(DATE(PlanYear,COLUMN()-2,1),tbl_Weather[month],tbl_Weather[cdd],"")</f>
        <v>0</v>
      </c>
      <c r="G24" s="89">
        <f>_xlfn.XLOOKUP(DATE(PlanYear,COLUMN()-2,1),tbl_Weather[month],tbl_Weather[cdd],"")</f>
        <v>8</v>
      </c>
      <c r="H24" s="89">
        <f>_xlfn.XLOOKUP(DATE(PlanYear,COLUMN()-2,1),tbl_Weather[month],tbl_Weather[cdd],"")</f>
        <v>28</v>
      </c>
      <c r="I24" s="89">
        <f>_xlfn.XLOOKUP(DATE(PlanYear,COLUMN()-2,1),tbl_Weather[month],tbl_Weather[cdd],"")</f>
        <v>91</v>
      </c>
      <c r="J24" s="89">
        <f>_xlfn.XLOOKUP(DATE(PlanYear,COLUMN()-2,1),tbl_Weather[month],tbl_Weather[cdd],"")</f>
        <v>111</v>
      </c>
      <c r="K24" s="89" t="str">
        <f>_xlfn.XLOOKUP(DATE(PlanYear,COLUMN()-2,1),tbl_Weather[month],tbl_Weather[cdd],"")</f>
        <v/>
      </c>
      <c r="L24" s="89" t="str">
        <f>_xlfn.XLOOKUP(DATE(PlanYear,COLUMN()-2,1),tbl_Weather[month],tbl_Weather[cdd],"")</f>
        <v/>
      </c>
      <c r="M24" s="89" t="str">
        <f>_xlfn.XLOOKUP(DATE(PlanYear,COLUMN()-2,1),tbl_Weather[month],tbl_Weather[cdd],"")</f>
        <v/>
      </c>
      <c r="N24" s="89" t="str">
        <f>_xlfn.XLOOKUP(DATE(PlanYear,COLUMN()-2,1),tbl_Weather[month],tbl_Weather[cdd],"")</f>
        <v/>
      </c>
    </row>
    <row r="26" spans="2:21" ht="18" customHeight="1" x14ac:dyDescent="0.3">
      <c r="B26" s="7" t="s">
        <v>342</v>
      </c>
      <c r="C26" s="7"/>
      <c r="D26" s="7"/>
      <c r="E26" s="7"/>
      <c r="F26" s="7"/>
      <c r="G26" s="7"/>
      <c r="H26" s="7"/>
      <c r="I26" s="7"/>
      <c r="J26" s="7"/>
      <c r="K26" s="7"/>
      <c r="L26" s="7"/>
      <c r="M26" s="7"/>
      <c r="N26" s="7"/>
      <c r="O26" s="7"/>
      <c r="P26" s="7"/>
      <c r="Q26" s="7"/>
      <c r="R26" s="7"/>
      <c r="S26" s="7"/>
      <c r="T26" s="7"/>
      <c r="U26" s="7"/>
    </row>
    <row r="27" spans="2:21" ht="42" customHeight="1" x14ac:dyDescent="0.3">
      <c r="B27" s="64" t="s">
        <v>299</v>
      </c>
      <c r="C27" s="65" t="s">
        <v>208</v>
      </c>
      <c r="D27" s="65" t="s">
        <v>343</v>
      </c>
      <c r="E27" s="65" t="s">
        <v>344</v>
      </c>
      <c r="F27" s="65" t="s">
        <v>345</v>
      </c>
      <c r="G27" s="65" t="s">
        <v>346</v>
      </c>
      <c r="H27" s="65" t="s">
        <v>347</v>
      </c>
      <c r="I27" s="65" t="s">
        <v>348</v>
      </c>
      <c r="J27" s="65" t="s">
        <v>349</v>
      </c>
      <c r="K27" s="65" t="s">
        <v>350</v>
      </c>
      <c r="L27" s="65" t="s">
        <v>351</v>
      </c>
      <c r="M27" s="65" t="s">
        <v>352</v>
      </c>
      <c r="N27" s="65" t="s">
        <v>353</v>
      </c>
      <c r="O27" s="65" t="s">
        <v>354</v>
      </c>
      <c r="P27" s="65" t="s">
        <v>355</v>
      </c>
      <c r="Q27" s="65" t="s">
        <v>356</v>
      </c>
      <c r="R27" s="65" t="s">
        <v>357</v>
      </c>
      <c r="S27" s="65" t="s">
        <v>271</v>
      </c>
      <c r="T27" s="65" t="s">
        <v>358</v>
      </c>
    </row>
    <row r="28" spans="2:21" x14ac:dyDescent="0.3">
      <c r="B28" s="79">
        <f>DATE(PlanYear,MOD(ROWS($B$28:B28)-1,12)+1,1)</f>
        <v>46023</v>
      </c>
      <c r="C28" t="s">
        <v>92</v>
      </c>
      <c r="D28" t="b">
        <f>MONTH($B28)&lt;=PlanClosed</f>
        <v>1</v>
      </c>
      <c r="E28" s="54">
        <f t="shared" ref="E28:E75" si="1">_xlfn.XLOOKUP($C28,$C$9:$C$12,$D$9:$D$12)*_xlfn.XLOOKUP($C28,$C$9:$C$12,$F$9:$F$12)^(MONTH($B28)/12)</f>
        <v>845083.44282499969</v>
      </c>
      <c r="F28" s="81" cm="1">
        <f t="array" ref="F28">IF(_xlfn.XLOOKUP($C28,tbl_Class[class],tbl_Class[weather_model])="yes",_xlfn.XLOOKUP($C28,$C$16:$C$17,$D$16:$D$17)+_xlfn.XLOOKUP($C28,$C$16:$C$17,$E$16:$E$17)*INDEX($C$21:$N$21,MONTH($B28))+_xlfn.XLOOKUP($C28,$C$16:$C$17,$F$16:$F$17)*INDEX($C$22:$N$22,MONTH($B28))+_xlfn.XLOOKUP($C28,$C$16:$C$17,$G$16:$G$17)*TRENDYEARS($B28),"")</f>
        <v>0.93515772428265787</v>
      </c>
      <c r="G28" s="54">
        <f>IF(_xlfn.XLOOKUP($C28,tbl_Class[class],tbl_Class[weather_model])="yes",E28*F28,SUMIFS(tbl_Monthly[mwh],tbl_Monthly[class],$C28,tbl_Monthly[month],EDATE($B28,-12))*_xlfn.XLOOKUP($C28,$C$9:$C$12,$I$9:$I$12))</f>
        <v>790286.30922118027</v>
      </c>
      <c r="H28" s="81" cm="1">
        <f t="array" ref="H28">SAFEDIV(G28,E28)</f>
        <v>0.93515772428265787</v>
      </c>
      <c r="I28" s="58" cm="1">
        <f t="array" ref="I28">SAFEDIV(SUMIFS(tbl_Monthly[revenue],tbl_Monthly[class],$C28,tbl_Monthly[month],EDATE($B28,-12)),SUMIFS(tbl_Monthly[mwh],tbl_Monthly[class],$C28,tbl_Monthly[month],EDATE($B28,-12)))*_xlfn.XLOOKUP($C28,$C$9:$C$12,$L$9:$L$12)</f>
        <v>188.28440320641369</v>
      </c>
      <c r="J28" s="54">
        <f t="shared" ref="J28:J75" si="2">G28*I28</f>
        <v>148798586.09390923</v>
      </c>
      <c r="K28" s="54">
        <f>IF($D28,SUMIFS(tbl_Monthly[customers],tbl_Monthly[class],$C28,tbl_Monthly[month],$B28),"")</f>
        <v>845079</v>
      </c>
      <c r="L28" s="54">
        <f>IF($D28,SUMIFS(tbl_Monthly[mwh],tbl_Monthly[class],$C28,tbl_Monthly[month],$B28),"")</f>
        <v>801286.41200000001</v>
      </c>
      <c r="M28" s="54">
        <f>IF($D28,SUMIFS(tbl_Monthly[revenue],tbl_Monthly[class],$C28,tbl_Monthly[month],$B28),"")</f>
        <v>144314450</v>
      </c>
      <c r="N28" s="58" cm="1">
        <f t="array" ref="N28">IF($D28,SAFEDIV(M28,L28),"")</f>
        <v>180.10345344530813</v>
      </c>
      <c r="O28" s="84" cm="1">
        <f t="array" ref="O28">IF(AND($D28,_xlfn.XLOOKUP($C28,tbl_Class[class],tbl_Class[weather_model])="yes"),_xlfn.XLOOKUP($C28,$C$16:$C$17,$E$16:$E$17)*(INDEX($C$23:$N$23,MONTH($B28))-INDEX($C$21:$N$21,MONTH($B28)))+_xlfn.XLOOKUP($C28,$C$16:$C$17,$F$16:$F$17)*(INDEX($C$24:$N$24,MONTH($B28))-INDEX($C$22:$N$22,MONTH($B28))),IF($D28,0,""))</f>
        <v>-3.1847988478482463E-2</v>
      </c>
      <c r="P28" s="55">
        <f>IF($D28,IF(_xlfn.XLOOKUP($C28,tbl_Class[class],tbl_Class[weather_model])="yes",(K28-E28)*H28*I28,0),"")</f>
        <v>-782.27313980491544</v>
      </c>
      <c r="Q28" s="55">
        <f>IF($D28,IF(_xlfn.XLOOKUP($C28,tbl_Class[class],tbl_Class[weather_model])="yes",K28*O28*I28,0),"")</f>
        <v>-5067498.9027572749</v>
      </c>
      <c r="R28" s="55" cm="1">
        <f t="array" ref="R28">IF($D28,IF(_xlfn.XLOOKUP($C28,tbl_Class[class],tbl_Class[weather_model])="yes",K28*(SAFEDIV(L28,K28)-H28-O28)*I28,(L28-G28)*I28),"")</f>
        <v>7139428.9628163595</v>
      </c>
      <c r="S28" s="55">
        <f t="shared" ref="S28:S75" si="3">IF($D28,L28*(N28-I28),"")</f>
        <v>-6555283.8808285249</v>
      </c>
      <c r="T28" s="67">
        <f t="shared" ref="T28:T75" si="4">IF($D28,P28+Q28+R28+S28-(M28-J28),"")</f>
        <v>-1.1175870895385742E-8</v>
      </c>
    </row>
    <row r="29" spans="2:21" x14ac:dyDescent="0.3">
      <c r="B29" s="79">
        <f>DATE(PlanYear,MOD(ROWS($B$28:B29)-1,12)+1,1)</f>
        <v>46054</v>
      </c>
      <c r="C29" t="s">
        <v>92</v>
      </c>
      <c r="D29" t="b">
        <f>MONTH($B29)&lt;=PlanClosed</f>
        <v>1</v>
      </c>
      <c r="E29" s="54">
        <f t="shared" si="1"/>
        <v>845859.59784457181</v>
      </c>
      <c r="F29" s="81" cm="1">
        <f t="array" ref="F29">IF(_xlfn.XLOOKUP($C29,tbl_Class[class],tbl_Class[weather_model])="yes",_xlfn.XLOOKUP($C29,$C$16:$C$17,$D$16:$D$17)+_xlfn.XLOOKUP($C29,$C$16:$C$17,$E$16:$E$17)*INDEX($C$21:$N$21,MONTH($B29))+_xlfn.XLOOKUP($C29,$C$16:$C$17,$F$16:$F$17)*INDEX($C$22:$N$22,MONTH($B29))+_xlfn.XLOOKUP($C29,$C$16:$C$17,$G$16:$G$17)*TRENDYEARS($B29),"")</f>
        <v>0.88797891411016117</v>
      </c>
      <c r="G29" s="54">
        <f>IF(_xlfn.XLOOKUP($C29,tbl_Class[class],tbl_Class[weather_model])="yes",E29*F29,SUMIFS(tbl_Monthly[mwh],tbl_Monthly[class],$C29,tbl_Monthly[month],EDATE($B29,-12))*_xlfn.XLOOKUP($C29,$C$9:$C$12,$I$9:$I$12))</f>
        <v>751105.48718368053</v>
      </c>
      <c r="H29" s="81" cm="1">
        <f t="array" ref="H29">SAFEDIV(G29,E29)</f>
        <v>0.88797891411016117</v>
      </c>
      <c r="I29" s="58" cm="1">
        <f t="array" ref="I29">SAFEDIV(SUMIFS(tbl_Monthly[revenue],tbl_Monthly[class],$C29,tbl_Monthly[month],EDATE($B29,-12)),SUMIFS(tbl_Monthly[mwh],tbl_Monthly[class],$C29,tbl_Monthly[month],EDATE($B29,-12)))*_xlfn.XLOOKUP($C29,$C$9:$C$12,$L$9:$L$12)</f>
        <v>191.84683019148449</v>
      </c>
      <c r="J29" s="54">
        <f t="shared" si="2"/>
        <v>144097206.85561979</v>
      </c>
      <c r="K29" s="54">
        <f>IF($D29,SUMIFS(tbl_Monthly[customers],tbl_Monthly[class],$C29,tbl_Monthly[month],$B29),"")</f>
        <v>845421</v>
      </c>
      <c r="L29" s="54">
        <f>IF($D29,SUMIFS(tbl_Monthly[mwh],tbl_Monthly[class],$C29,tbl_Monthly[month],$B29),"")</f>
        <v>658313.46400000004</v>
      </c>
      <c r="M29" s="54">
        <f>IF($D29,SUMIFS(tbl_Monthly[revenue],tbl_Monthly[class],$C29,tbl_Monthly[month],$B29),"")</f>
        <v>119434821</v>
      </c>
      <c r="N29" s="58" cm="1">
        <f t="array" ref="N29">IF($D29,SAFEDIV(M29,L29),"")</f>
        <v>181.42545691576498</v>
      </c>
      <c r="O29" s="84" cm="1">
        <f t="array" ref="O29">IF(AND($D29,_xlfn.XLOOKUP($C29,tbl_Class[class],tbl_Class[weather_model])="yes"),_xlfn.XLOOKUP($C29,$C$16:$C$17,$E$16:$E$17)*(INDEX($C$23:$N$23,MONTH($B29))-INDEX($C$21:$N$21,MONTH($B29)))+_xlfn.XLOOKUP($C29,$C$16:$C$17,$F$16:$F$17)*(INDEX($C$24:$N$24,MONTH($B29))-INDEX($C$22:$N$22,MONTH($B29))),IF($D29,0,""))</f>
        <v>-5.4412627123875318E-2</v>
      </c>
      <c r="P29" s="55">
        <f>IF($D29,IF(_xlfn.XLOOKUP($C29,tbl_Class[class],tbl_Class[weather_model])="yes",(K29-E29)*H29*I29,0),"")</f>
        <v>-74717.748071596405</v>
      </c>
      <c r="Q29" s="55">
        <f>IF($D29,IF(_xlfn.XLOOKUP($C29,tbl_Class[class],tbl_Class[weather_model])="yes",K29*O29*I29,0),"")</f>
        <v>-8825256.8532153368</v>
      </c>
      <c r="R29" s="55" cm="1">
        <f t="array" ref="R29">IF($D29,IF(_xlfn.XLOOKUP($C29,tbl_Class[class],tbl_Class[weather_model])="yes",K29*(SAFEDIV(L29,K29)-H29-O29)*I29,(L29-G29)*I29),"")</f>
        <v>-8901880.9135568999</v>
      </c>
      <c r="S29" s="55">
        <f t="shared" si="3"/>
        <v>-6860530.340775934</v>
      </c>
      <c r="T29" s="67">
        <f t="shared" si="4"/>
        <v>2.2351741790771484E-8</v>
      </c>
    </row>
    <row r="30" spans="2:21" x14ac:dyDescent="0.3">
      <c r="B30" s="79">
        <f>DATE(PlanYear,MOD(ROWS($B$28:B30)-1,12)+1,1)</f>
        <v>46082</v>
      </c>
      <c r="C30" t="s">
        <v>92</v>
      </c>
      <c r="D30" t="b">
        <f>MONTH($B30)&lt;=PlanClosed</f>
        <v>1</v>
      </c>
      <c r="E30" s="54">
        <f t="shared" si="1"/>
        <v>846636.46571282088</v>
      </c>
      <c r="F30" s="81" cm="1">
        <f t="array" ref="F30">IF(_xlfn.XLOOKUP($C30,tbl_Class[class],tbl_Class[weather_model])="yes",_xlfn.XLOOKUP($C30,$C$16:$C$17,$D$16:$D$17)+_xlfn.XLOOKUP($C30,$C$16:$C$17,$E$16:$E$17)*INDEX($C$21:$N$21,MONTH($B30))+_xlfn.XLOOKUP($C30,$C$16:$C$17,$F$16:$F$17)*INDEX($C$22:$N$22,MONTH($B30))+_xlfn.XLOOKUP($C30,$C$16:$C$17,$G$16:$G$17)*TRENDYEARS($B30),"")</f>
        <v>0.86126413057702988</v>
      </c>
      <c r="G30" s="54">
        <f>IF(_xlfn.XLOOKUP($C30,tbl_Class[class],tbl_Class[weather_model])="yes",E30*F30,SUMIFS(tbl_Monthly[mwh],tbl_Monthly[class],$C30,tbl_Monthly[month],EDATE($B30,-12))*_xlfn.XLOOKUP($C30,$C$9:$C$12,$I$9:$I$12))</f>
        <v>729177.61955696205</v>
      </c>
      <c r="H30" s="81" cm="1">
        <f t="array" ref="H30">SAFEDIV(G30,E30)</f>
        <v>0.86126413057702988</v>
      </c>
      <c r="I30" s="58" cm="1">
        <f t="array" ref="I30">SAFEDIV(SUMIFS(tbl_Monthly[revenue],tbl_Monthly[class],$C30,tbl_Monthly[month],EDATE($B30,-12)),SUMIFS(tbl_Monthly[mwh],tbl_Monthly[class],$C30,tbl_Monthly[month],EDATE($B30,-12)))*_xlfn.XLOOKUP($C30,$C$9:$C$12,$L$9:$L$12)</f>
        <v>195.80519206214854</v>
      </c>
      <c r="J30" s="54">
        <f t="shared" si="2"/>
        <v>142776763.84477124</v>
      </c>
      <c r="K30" s="54">
        <f>IF($D30,SUMIFS(tbl_Monthly[customers],tbl_Monthly[class],$C30,tbl_Monthly[month],$B30),"")</f>
        <v>845954</v>
      </c>
      <c r="L30" s="54">
        <f>IF($D30,SUMIFS(tbl_Monthly[mwh],tbl_Monthly[class],$C30,tbl_Monthly[month],$B30),"")</f>
        <v>626969.57900000003</v>
      </c>
      <c r="M30" s="54">
        <f>IF($D30,SUMIFS(tbl_Monthly[revenue],tbl_Monthly[class],$C30,tbl_Monthly[month],$B30),"")</f>
        <v>113584646</v>
      </c>
      <c r="N30" s="58" cm="1">
        <f t="array" ref="N30">IF($D30,SAFEDIV(M30,L30),"")</f>
        <v>181.16452504946815</v>
      </c>
      <c r="O30" s="84" cm="1">
        <f t="array" ref="O30">IF(AND($D30,_xlfn.XLOOKUP($C30,tbl_Class[class],tbl_Class[weather_model])="yes"),_xlfn.XLOOKUP($C30,$C$16:$C$17,$E$16:$E$17)*(INDEX($C$23:$N$23,MONTH($B30))-INDEX($C$21:$N$21,MONTH($B30)))+_xlfn.XLOOKUP($C30,$C$16:$C$17,$F$16:$F$17)*(INDEX($C$24:$N$24,MONTH($B30))-INDEX($C$22:$N$22,MONTH($B30))),IF($D30,0,""))</f>
        <v>-7.9145639452909575E-2</v>
      </c>
      <c r="P30" s="55">
        <f>IF($D30,IF(_xlfn.XLOOKUP($C30,tbl_Class[class],tbl_Class[weather_model])="yes",(K30-E30)*H30*I30,0),"")</f>
        <v>-115091.00996440157</v>
      </c>
      <c r="Q30" s="55">
        <f>IF($D30,IF(_xlfn.XLOOKUP($C30,tbl_Class[class],tbl_Class[weather_model])="yes",K30*O30*I30,0),"")</f>
        <v>-13109856.687480746</v>
      </c>
      <c r="R30" s="55" cm="1">
        <f t="array" ref="R30">IF($D30,IF(_xlfn.XLOOKUP($C30,tbl_Class[class],tbl_Class[weather_model])="yes",K30*(SAFEDIV(L30,K30)-H30-O30)*I30,(L30-G30)*I30),"")</f>
        <v>-6787917.3141066711</v>
      </c>
      <c r="S30" s="55">
        <f t="shared" si="3"/>
        <v>-9179252.8332194071</v>
      </c>
      <c r="T30" s="67">
        <f t="shared" si="4"/>
        <v>7.4505805969238281E-9</v>
      </c>
    </row>
    <row r="31" spans="2:21" x14ac:dyDescent="0.3">
      <c r="B31" s="79">
        <f>DATE(PlanYear,MOD(ROWS($B$28:B31)-1,12)+1,1)</f>
        <v>46113</v>
      </c>
      <c r="C31" t="s">
        <v>92</v>
      </c>
      <c r="D31" t="b">
        <f>MONTH($B31)&lt;=PlanClosed</f>
        <v>1</v>
      </c>
      <c r="E31" s="54">
        <f t="shared" si="1"/>
        <v>847414.04708445328</v>
      </c>
      <c r="F31" s="81" cm="1">
        <f t="array" ref="F31">IF(_xlfn.XLOOKUP($C31,tbl_Class[class],tbl_Class[weather_model])="yes",_xlfn.XLOOKUP($C31,$C$16:$C$17,$D$16:$D$17)+_xlfn.XLOOKUP($C31,$C$16:$C$17,$E$16:$E$17)*INDEX($C$21:$N$21,MONTH($B31))+_xlfn.XLOOKUP($C31,$C$16:$C$17,$F$16:$F$17)*INDEX($C$22:$N$22,MONTH($B31))+_xlfn.XLOOKUP($C31,$C$16:$C$17,$G$16:$G$17)*TRENDYEARS($B31),"")</f>
        <v>0.74313884394289265</v>
      </c>
      <c r="G31" s="54">
        <f>IF(_xlfn.XLOOKUP($C31,tbl_Class[class],tbl_Class[weather_model])="yes",E31*F31,SUMIFS(tbl_Monthly[mwh],tbl_Monthly[class],$C31,tbl_Monthly[month],EDATE($B31,-12))*_xlfn.XLOOKUP($C31,$C$9:$C$12,$I$9:$I$12))</f>
        <v>629746.29529130866</v>
      </c>
      <c r="H31" s="81" cm="1">
        <f t="array" ref="H31">SAFEDIV(G31,E31)</f>
        <v>0.74313884394289276</v>
      </c>
      <c r="I31" s="58" cm="1">
        <f t="array" ref="I31">SAFEDIV(SUMIFS(tbl_Monthly[revenue],tbl_Monthly[class],$C31,tbl_Monthly[month],EDATE($B31,-12)),SUMIFS(tbl_Monthly[mwh],tbl_Monthly[class],$C31,tbl_Monthly[month],EDATE($B31,-12)))*_xlfn.XLOOKUP($C31,$C$9:$C$12,$L$9:$L$12)</f>
        <v>195.96714564000555</v>
      </c>
      <c r="J31" s="54">
        <f t="shared" si="2"/>
        <v>123409583.96560583</v>
      </c>
      <c r="K31" s="54">
        <f>IF($D31,SUMIFS(tbl_Monthly[customers],tbl_Monthly[class],$C31,tbl_Monthly[month],$B31),"")</f>
        <v>846300</v>
      </c>
      <c r="L31" s="54">
        <f>IF($D31,SUMIFS(tbl_Monthly[mwh],tbl_Monthly[class],$C31,tbl_Monthly[month],$B31),"")</f>
        <v>529952.37800000003</v>
      </c>
      <c r="M31" s="54">
        <f>IF($D31,SUMIFS(tbl_Monthly[revenue],tbl_Monthly[class],$C31,tbl_Monthly[month],$B31),"")</f>
        <v>105039094</v>
      </c>
      <c r="N31" s="58" cm="1">
        <f t="array" ref="N31">IF($D31,SAFEDIV(M31,L31),"")</f>
        <v>198.20477907167725</v>
      </c>
      <c r="O31" s="84" cm="1">
        <f t="array" ref="O31">IF(AND($D31,_xlfn.XLOOKUP($C31,tbl_Class[class],tbl_Class[weather_model])="yes"),_xlfn.XLOOKUP($C31,$C$16:$C$17,$E$16:$E$17)*(INDEX($C$23:$N$23,MONTH($B31))-INDEX($C$21:$N$21,MONTH($B31)))+_xlfn.XLOOKUP($C31,$C$16:$C$17,$F$16:$F$17)*(INDEX($C$24:$N$24,MONTH($B31))-INDEX($C$22:$N$22,MONTH($B31))),IF($D31,0,""))</f>
        <v>-4.0250436502592711E-2</v>
      </c>
      <c r="P31" s="55">
        <f>IF($D31,IF(_xlfn.XLOOKUP($C31,tbl_Class[class],tbl_Class[weather_model])="yes",(K31-E31)*H31*I31,0),"")</f>
        <v>-162239.56598724416</v>
      </c>
      <c r="Q31" s="55">
        <f>IF($D31,IF(_xlfn.XLOOKUP($C31,tbl_Class[class],tbl_Class[weather_model])="yes",K31*O31*I31,0),"")</f>
        <v>-6675413.9556877185</v>
      </c>
      <c r="R31" s="55" cm="1">
        <f t="array" ref="R31">IF($D31,IF(_xlfn.XLOOKUP($C31,tbl_Class[class],tbl_Class[weather_model])="yes",K31*(SAFEDIV(L31,K31)-H31-O31)*I31,(L31-G31)*I31),"")</f>
        <v>-12718675.602137601</v>
      </c>
      <c r="S31" s="55">
        <f t="shared" si="3"/>
        <v>1185839.1582067162</v>
      </c>
      <c r="T31" s="67">
        <f t="shared" si="4"/>
        <v>-2.2351741790771484E-8</v>
      </c>
    </row>
    <row r="32" spans="2:21" x14ac:dyDescent="0.3">
      <c r="B32" s="79">
        <f>DATE(PlanYear,MOD(ROWS($B$28:B32)-1,12)+1,1)</f>
        <v>46143</v>
      </c>
      <c r="C32" t="s">
        <v>92</v>
      </c>
      <c r="D32" t="b">
        <f>MONTH($B32)&lt;=PlanClosed</f>
        <v>1</v>
      </c>
      <c r="E32" s="54">
        <f t="shared" si="1"/>
        <v>848192.34261477587</v>
      </c>
      <c r="F32" s="81" cm="1">
        <f t="array" ref="F32">IF(_xlfn.XLOOKUP($C32,tbl_Class[class],tbl_Class[weather_model])="yes",_xlfn.XLOOKUP($C32,$C$16:$C$17,$D$16:$D$17)+_xlfn.XLOOKUP($C32,$C$16:$C$17,$E$16:$E$17)*INDEX($C$21:$N$21,MONTH($B32))+_xlfn.XLOOKUP($C32,$C$16:$C$17,$F$16:$F$17)*INDEX($C$22:$N$22,MONTH($B32))+_xlfn.XLOOKUP($C32,$C$16:$C$17,$G$16:$G$17)*TRENDYEARS($B32),"")</f>
        <v>0.63152075756535009</v>
      </c>
      <c r="G32" s="54">
        <f>IF(_xlfn.XLOOKUP($C32,tbl_Class[class],tbl_Class[weather_model])="yes",E32*F32,SUMIFS(tbl_Monthly[mwh],tbl_Monthly[class],$C32,tbl_Monthly[month],EDATE($B32,-12))*_xlfn.XLOOKUP($C32,$C$9:$C$12,$I$9:$I$12))</f>
        <v>535651.07076921221</v>
      </c>
      <c r="H32" s="81" cm="1">
        <f t="array" ref="H32">SAFEDIV(G32,E32)</f>
        <v>0.63152075756535009</v>
      </c>
      <c r="I32" s="58" cm="1">
        <f t="array" ref="I32">SAFEDIV(SUMIFS(tbl_Monthly[revenue],tbl_Monthly[class],$C32,tbl_Monthly[month],EDATE($B32,-12)),SUMIFS(tbl_Monthly[mwh],tbl_Monthly[class],$C32,tbl_Monthly[month],EDATE($B32,-12)))*_xlfn.XLOOKUP($C32,$C$9:$C$12,$L$9:$L$12)</f>
        <v>198.82101002538542</v>
      </c>
      <c r="J32" s="54">
        <f t="shared" si="2"/>
        <v>106498686.91151397</v>
      </c>
      <c r="K32" s="54">
        <f>IF($D32,SUMIFS(tbl_Monthly[customers],tbl_Monthly[class],$C32,tbl_Monthly[month],$B32),"")</f>
        <v>846323</v>
      </c>
      <c r="L32" s="54">
        <f>IF($D32,SUMIFS(tbl_Monthly[mwh],tbl_Monthly[class],$C32,tbl_Monthly[month],$B32),"")</f>
        <v>504999.75099999999</v>
      </c>
      <c r="M32" s="54">
        <f>IF($D32,SUMIFS(tbl_Monthly[revenue],tbl_Monthly[class],$C32,tbl_Monthly[month],$B32),"")</f>
        <v>101981458</v>
      </c>
      <c r="N32" s="58" cm="1">
        <f t="array" ref="N32">IF($D32,SAFEDIV(M32,L32),"")</f>
        <v>201.94358076030022</v>
      </c>
      <c r="O32" s="84" cm="1">
        <f t="array" ref="O32">IF(AND($D32,_xlfn.XLOOKUP($C32,tbl_Class[class],tbl_Class[weather_model])="yes"),_xlfn.XLOOKUP($C32,$C$16:$C$17,$E$16:$E$17)*(INDEX($C$23:$N$23,MONTH($B32))-INDEX($C$21:$N$21,MONTH($B32)))+_xlfn.XLOOKUP($C32,$C$16:$C$17,$F$16:$F$17)*(INDEX($C$24:$N$24,MONTH($B32))-INDEX($C$22:$N$22,MONTH($B32))),IF($D32,0,""))</f>
        <v>-2.0997531383894864E-2</v>
      </c>
      <c r="P32" s="55">
        <f>IF($D32,IF(_xlfn.XLOOKUP($C32,tbl_Class[class],tbl_Class[weather_model])="yes",(K32-E32)*H32*I32,0),"")</f>
        <v>-234713.90138661509</v>
      </c>
      <c r="Q32" s="55">
        <f>IF($D32,IF(_xlfn.XLOOKUP($C32,tbl_Class[class],tbl_Class[weather_model])="yes",K32*O32*I32,0),"")</f>
        <v>-3533187.2809051918</v>
      </c>
      <c r="R32" s="55" cm="1">
        <f t="array" ref="R32">IF($D32,IF(_xlfn.XLOOKUP($C32,tbl_Class[class],tbl_Class[weather_model])="yes",K32*(SAFEDIV(L32,K32)-H32-O32)*I32,(L32-G32)*I32),"")</f>
        <v>-2326225.172834029</v>
      </c>
      <c r="S32" s="55">
        <f t="shared" si="3"/>
        <v>1576897.4436118621</v>
      </c>
      <c r="T32" s="67">
        <f t="shared" si="4"/>
        <v>-3.7252902984619141E-9</v>
      </c>
    </row>
    <row r="33" spans="2:20" x14ac:dyDescent="0.3">
      <c r="B33" s="79">
        <f>DATE(PlanYear,MOD(ROWS($B$28:B33)-1,12)+1,1)</f>
        <v>46174</v>
      </c>
      <c r="C33" t="s">
        <v>92</v>
      </c>
      <c r="D33" t="b">
        <f>MONTH($B33)&lt;=PlanClosed</f>
        <v>1</v>
      </c>
      <c r="E33" s="54">
        <f t="shared" si="1"/>
        <v>848971.35295969795</v>
      </c>
      <c r="F33" s="81" cm="1">
        <f t="array" ref="F33">IF(_xlfn.XLOOKUP($C33,tbl_Class[class],tbl_Class[weather_model])="yes",_xlfn.XLOOKUP($C33,$C$16:$C$17,$D$16:$D$17)+_xlfn.XLOOKUP($C33,$C$16:$C$17,$E$16:$E$17)*INDEX($C$21:$N$21,MONTH($B33))+_xlfn.XLOOKUP($C33,$C$16:$C$17,$F$16:$F$17)*INDEX($C$22:$N$22,MONTH($B33))+_xlfn.XLOOKUP($C33,$C$16:$C$17,$G$16:$G$17)*TRENDYEARS($B33),"")</f>
        <v>0.57531459018057418</v>
      </c>
      <c r="G33" s="54">
        <f>IF(_xlfn.XLOOKUP($C33,tbl_Class[class],tbl_Class[weather_model])="yes",E33*F33,SUMIFS(tbl_Monthly[mwh],tbl_Monthly[class],$C33,tbl_Monthly[month],EDATE($B33,-12))*_xlfn.XLOOKUP($C33,$C$9:$C$12,$I$9:$I$12))</f>
        <v>488425.60600305622</v>
      </c>
      <c r="H33" s="81" cm="1">
        <f t="array" ref="H33">SAFEDIV(G33,E33)</f>
        <v>0.57531459018057418</v>
      </c>
      <c r="I33" s="58" cm="1">
        <f t="array" ref="I33">SAFEDIV(SUMIFS(tbl_Monthly[revenue],tbl_Monthly[class],$C33,tbl_Monthly[month],EDATE($B33,-12)),SUMIFS(tbl_Monthly[mwh],tbl_Monthly[class],$C33,tbl_Monthly[month],EDATE($B33,-12)))*_xlfn.XLOOKUP($C33,$C$9:$C$12,$L$9:$L$12)</f>
        <v>195.87109695387508</v>
      </c>
      <c r="J33" s="54">
        <f t="shared" si="2"/>
        <v>95668459.228179812</v>
      </c>
      <c r="K33" s="54">
        <f>IF($D33,SUMIFS(tbl_Monthly[customers],tbl_Monthly[class],$C33,tbl_Monthly[month],$B33),"")</f>
        <v>846477</v>
      </c>
      <c r="L33" s="54">
        <f>IF($D33,SUMIFS(tbl_Monthly[mwh],tbl_Monthly[class],$C33,tbl_Monthly[month],$B33),"")</f>
        <v>556176.63399999996</v>
      </c>
      <c r="M33" s="54">
        <f>IF($D33,SUMIFS(tbl_Monthly[revenue],tbl_Monthly[class],$C33,tbl_Monthly[month],$B33),"")</f>
        <v>110790293</v>
      </c>
      <c r="N33" s="58" cm="1">
        <f t="array" ref="N33">IF($D33,SAFEDIV(M33,L33),"")</f>
        <v>199.1998336988749</v>
      </c>
      <c r="O33" s="84" cm="1">
        <f t="array" ref="O33">IF(AND($D33,_xlfn.XLOOKUP($C33,tbl_Class[class],tbl_Class[weather_model])="yes"),_xlfn.XLOOKUP($C33,$C$16:$C$17,$E$16:$E$17)*(INDEX($C$23:$N$23,MONTH($B33))-INDEX($C$21:$N$21,MONTH($B33)))+_xlfn.XLOOKUP($C33,$C$16:$C$17,$F$16:$F$17)*(INDEX($C$24:$N$24,MONTH($B33))-INDEX($C$22:$N$22,MONTH($B33))),IF($D33,0,""))</f>
        <v>-1.3049210811216447E-3</v>
      </c>
      <c r="P33" s="55">
        <f>IF($D33,IF(_xlfn.XLOOKUP($C33,tbl_Class[class],tbl_Class[weather_model])="yes",(K33-E33)*H33*I33,0),"")</f>
        <v>-281082.39882727957</v>
      </c>
      <c r="Q33" s="55">
        <f>IF($D33,IF(_xlfn.XLOOKUP($C33,tbl_Class[class],tbl_Class[weather_model])="yes",K33*O33*I33,0),"")</f>
        <v>-216356.40920986907</v>
      </c>
      <c r="R33" s="55" cm="1">
        <f t="array" ref="R33">IF($D33,IF(_xlfn.XLOOKUP($C33,tbl_Class[class],tbl_Class[weather_model])="yes",K33*(SAFEDIV(L33,K33)-H33-O33)*I33,(L33-G33)*I33),"")</f>
        <v>13767906.981551215</v>
      </c>
      <c r="S33" s="55">
        <f t="shared" si="3"/>
        <v>1851365.5983061136</v>
      </c>
      <c r="T33" s="67">
        <f t="shared" si="4"/>
        <v>-7.4505805969238281E-9</v>
      </c>
    </row>
    <row r="34" spans="2:20" x14ac:dyDescent="0.3">
      <c r="B34" s="79">
        <f>DATE(PlanYear,MOD(ROWS($B$28:B34)-1,12)+1,1)</f>
        <v>46204</v>
      </c>
      <c r="C34" t="s">
        <v>92</v>
      </c>
      <c r="D34" t="b">
        <f>MONTH($B34)&lt;=PlanClosed</f>
        <v>0</v>
      </c>
      <c r="E34" s="54">
        <f t="shared" si="1"/>
        <v>849751.07877573057</v>
      </c>
      <c r="F34" s="81" cm="1">
        <f t="array" ref="F34">IF(_xlfn.XLOOKUP($C34,tbl_Class[class],tbl_Class[weather_model])="yes",_xlfn.XLOOKUP($C34,$C$16:$C$17,$D$16:$D$17)+_xlfn.XLOOKUP($C34,$C$16:$C$17,$E$16:$E$17)*INDEX($C$21:$N$21,MONTH($B34))+_xlfn.XLOOKUP($C34,$C$16:$C$17,$F$16:$F$17)*INDEX($C$22:$N$22,MONTH($B34))+_xlfn.XLOOKUP($C34,$C$16:$C$17,$G$16:$G$17)*TRENDYEARS($B34),"")</f>
        <v>0.75352106018740117</v>
      </c>
      <c r="G34" s="54">
        <f>IF(_xlfn.XLOOKUP($C34,tbl_Class[class],tbl_Class[weather_model])="yes",E34*F34,SUMIFS(tbl_Monthly[mwh],tbl_Monthly[class],$C34,tbl_Monthly[month],EDATE($B34,-12))*_xlfn.XLOOKUP($C34,$C$9:$C$12,$I$9:$I$12))</f>
        <v>640305.33377447631</v>
      </c>
      <c r="H34" s="81" cm="1">
        <f t="array" ref="H34">SAFEDIV(G34,E34)</f>
        <v>0.75352106018740117</v>
      </c>
      <c r="I34" s="58" cm="1">
        <f t="array" ref="I34">SAFEDIV(SUMIFS(tbl_Monthly[revenue],tbl_Monthly[class],$C34,tbl_Monthly[month],EDATE($B34,-12)),SUMIFS(tbl_Monthly[mwh],tbl_Monthly[class],$C34,tbl_Monthly[month],EDATE($B34,-12)))*_xlfn.XLOOKUP($C34,$C$9:$C$12,$L$9:$L$12)</f>
        <v>192.19702201373752</v>
      </c>
      <c r="J34" s="54">
        <f t="shared" si="2"/>
        <v>123064778.33096658</v>
      </c>
      <c r="K34" s="54" t="str">
        <f>IF($D34,SUMIFS(tbl_Monthly[customers],tbl_Monthly[class],$C34,tbl_Monthly[month],$B34),"")</f>
        <v/>
      </c>
      <c r="L34" s="54" t="str">
        <f>IF($D34,SUMIFS(tbl_Monthly[mwh],tbl_Monthly[class],$C34,tbl_Monthly[month],$B34),"")</f>
        <v/>
      </c>
      <c r="M34" s="54" t="str">
        <f>IF($D34,SUMIFS(tbl_Monthly[revenue],tbl_Monthly[class],$C34,tbl_Monthly[month],$B34),"")</f>
        <v/>
      </c>
      <c r="N34" s="58" t="str" cm="1">
        <f t="array" ref="N34">IF($D34,SAFEDIV(M34,L34),"")</f>
        <v/>
      </c>
      <c r="O34" s="84" t="str" cm="1">
        <f t="array" ref="O34">IF(AND($D34,_xlfn.XLOOKUP($C34,tbl_Class[class],tbl_Class[weather_model])="yes"),_xlfn.XLOOKUP($C34,$C$16:$C$17,$E$16:$E$17)*(INDEX($C$23:$N$23,MONTH($B34))-INDEX($C$21:$N$21,MONTH($B34)))+_xlfn.XLOOKUP($C34,$C$16:$C$17,$F$16:$F$17)*(INDEX($C$24:$N$24,MONTH($B34))-INDEX($C$22:$N$22,MONTH($B34))),IF($D34,0,""))</f>
        <v/>
      </c>
      <c r="P34" s="55" t="str">
        <f>IF($D34,IF(_xlfn.XLOOKUP($C34,tbl_Class[class],tbl_Class[weather_model])="yes",(K34-E34)*H34*I34,0),"")</f>
        <v/>
      </c>
      <c r="Q34" s="55" t="str">
        <f>IF($D34,IF(_xlfn.XLOOKUP($C34,tbl_Class[class],tbl_Class[weather_model])="yes",K34*O34*I34,0),"")</f>
        <v/>
      </c>
      <c r="R34" s="55" t="str" cm="1">
        <f t="array" ref="R34">IF($D34,IF(_xlfn.XLOOKUP($C34,tbl_Class[class],tbl_Class[weather_model])="yes",K34*(SAFEDIV(L34,K34)-H34-O34)*I34,(L34-G34)*I34),"")</f>
        <v/>
      </c>
      <c r="S34" s="55" t="str">
        <f t="shared" si="3"/>
        <v/>
      </c>
      <c r="T34" s="67" t="str">
        <f t="shared" si="4"/>
        <v/>
      </c>
    </row>
    <row r="35" spans="2:20" x14ac:dyDescent="0.3">
      <c r="B35" s="79">
        <f>DATE(PlanYear,MOD(ROWS($B$28:B35)-1,12)+1,1)</f>
        <v>46235</v>
      </c>
      <c r="C35" t="s">
        <v>92</v>
      </c>
      <c r="D35" t="b">
        <f>MONTH($B35)&lt;=PlanClosed</f>
        <v>0</v>
      </c>
      <c r="E35" s="54">
        <f t="shared" si="1"/>
        <v>850531.52071998827</v>
      </c>
      <c r="F35" s="81" cm="1">
        <f t="array" ref="F35">IF(_xlfn.XLOOKUP($C35,tbl_Class[class],tbl_Class[weather_model])="yes",_xlfn.XLOOKUP($C35,$C$16:$C$17,$D$16:$D$17)+_xlfn.XLOOKUP($C35,$C$16:$C$17,$E$16:$E$17)*INDEX($C$21:$N$21,MONTH($B35))+_xlfn.XLOOKUP($C35,$C$16:$C$17,$F$16:$F$17)*INDEX($C$22:$N$22,MONTH($B35))+_xlfn.XLOOKUP($C35,$C$16:$C$17,$G$16:$G$17)*TRENDYEARS($B35),"")</f>
        <v>0.78936513138519326</v>
      </c>
      <c r="G35" s="54">
        <f>IF(_xlfn.XLOOKUP($C35,tbl_Class[class],tbl_Class[weather_model])="yes",E35*F35,SUMIFS(tbl_Monthly[mwh],tbl_Monthly[class],$C35,tbl_Monthly[month],EDATE($B35,-12))*_xlfn.XLOOKUP($C35,$C$9:$C$12,$I$9:$I$12))</f>
        <v>671379.9256003818</v>
      </c>
      <c r="H35" s="81" cm="1">
        <f t="array" ref="H35">SAFEDIV(G35,E35)</f>
        <v>0.78936513138519326</v>
      </c>
      <c r="I35" s="58" cm="1">
        <f t="array" ref="I35">SAFEDIV(SUMIFS(tbl_Monthly[revenue],tbl_Monthly[class],$C35,tbl_Monthly[month],EDATE($B35,-12)),SUMIFS(tbl_Monthly[mwh],tbl_Monthly[class],$C35,tbl_Monthly[month],EDATE($B35,-12)))*_xlfn.XLOOKUP($C35,$C$9:$C$12,$L$9:$L$12)</f>
        <v>193.36353508456898</v>
      </c>
      <c r="J35" s="54">
        <f t="shared" si="2"/>
        <v>129820395.79890473</v>
      </c>
      <c r="K35" s="54" t="str">
        <f>IF($D35,SUMIFS(tbl_Monthly[customers],tbl_Monthly[class],$C35,tbl_Monthly[month],$B35),"")</f>
        <v/>
      </c>
      <c r="L35" s="54" t="str">
        <f>IF($D35,SUMIFS(tbl_Monthly[mwh],tbl_Monthly[class],$C35,tbl_Monthly[month],$B35),"")</f>
        <v/>
      </c>
      <c r="M35" s="54" t="str">
        <f>IF($D35,SUMIFS(tbl_Monthly[revenue],tbl_Monthly[class],$C35,tbl_Monthly[month],$B35),"")</f>
        <v/>
      </c>
      <c r="N35" s="58" t="str" cm="1">
        <f t="array" ref="N35">IF($D35,SAFEDIV(M35,L35),"")</f>
        <v/>
      </c>
      <c r="O35" s="84" t="str" cm="1">
        <f t="array" ref="O35">IF(AND($D35,_xlfn.XLOOKUP($C35,tbl_Class[class],tbl_Class[weather_model])="yes"),_xlfn.XLOOKUP($C35,$C$16:$C$17,$E$16:$E$17)*(INDEX($C$23:$N$23,MONTH($B35))-INDEX($C$21:$N$21,MONTH($B35)))+_xlfn.XLOOKUP($C35,$C$16:$C$17,$F$16:$F$17)*(INDEX($C$24:$N$24,MONTH($B35))-INDEX($C$22:$N$22,MONTH($B35))),IF($D35,0,""))</f>
        <v/>
      </c>
      <c r="P35" s="55" t="str">
        <f>IF($D35,IF(_xlfn.XLOOKUP($C35,tbl_Class[class],tbl_Class[weather_model])="yes",(K35-E35)*H35*I35,0),"")</f>
        <v/>
      </c>
      <c r="Q35" s="55" t="str">
        <f>IF($D35,IF(_xlfn.XLOOKUP($C35,tbl_Class[class],tbl_Class[weather_model])="yes",K35*O35*I35,0),"")</f>
        <v/>
      </c>
      <c r="R35" s="55" t="str" cm="1">
        <f t="array" ref="R35">IF($D35,IF(_xlfn.XLOOKUP($C35,tbl_Class[class],tbl_Class[weather_model])="yes",K35*(SAFEDIV(L35,K35)-H35-O35)*I35,(L35-G35)*I35),"")</f>
        <v/>
      </c>
      <c r="S35" s="55" t="str">
        <f t="shared" si="3"/>
        <v/>
      </c>
      <c r="T35" s="67" t="str">
        <f t="shared" si="4"/>
        <v/>
      </c>
    </row>
    <row r="36" spans="2:20" x14ac:dyDescent="0.3">
      <c r="B36" s="79">
        <f>DATE(PlanYear,MOD(ROWS($B$28:B36)-1,12)+1,1)</f>
        <v>46266</v>
      </c>
      <c r="C36" t="s">
        <v>92</v>
      </c>
      <c r="D36" t="b">
        <f>MONTH($B36)&lt;=PlanClosed</f>
        <v>0</v>
      </c>
      <c r="E36" s="54">
        <f t="shared" si="1"/>
        <v>851312.67945018923</v>
      </c>
      <c r="F36" s="81" cm="1">
        <f t="array" ref="F36">IF(_xlfn.XLOOKUP($C36,tbl_Class[class],tbl_Class[weather_model])="yes",_xlfn.XLOOKUP($C36,$C$16:$C$17,$D$16:$D$17)+_xlfn.XLOOKUP($C36,$C$16:$C$17,$E$16:$E$17)*INDEX($C$21:$N$21,MONTH($B36))+_xlfn.XLOOKUP($C36,$C$16:$C$17,$F$16:$F$17)*INDEX($C$22:$N$22,MONTH($B36))+_xlfn.XLOOKUP($C36,$C$16:$C$17,$G$16:$G$17)*TRENDYEARS($B36),"")</f>
        <v>0.59850652608851596</v>
      </c>
      <c r="G36" s="54">
        <f>IF(_xlfn.XLOOKUP($C36,tbl_Class[class],tbl_Class[weather_model])="yes",E36*F36,SUMIFS(tbl_Monthly[mwh],tbl_Monthly[class],$C36,tbl_Monthly[month],EDATE($B36,-12))*_xlfn.XLOOKUP($C36,$C$9:$C$12,$I$9:$I$12))</f>
        <v>509516.1943928391</v>
      </c>
      <c r="H36" s="81" cm="1">
        <f t="array" ref="H36">SAFEDIV(G36,E36)</f>
        <v>0.59850652608851596</v>
      </c>
      <c r="I36" s="58" cm="1">
        <f t="array" ref="I36">SAFEDIV(SUMIFS(tbl_Monthly[revenue],tbl_Monthly[class],$C36,tbl_Monthly[month],EDATE($B36,-12)),SUMIFS(tbl_Monthly[mwh],tbl_Monthly[class],$C36,tbl_Monthly[month],EDATE($B36,-12)))*_xlfn.XLOOKUP($C36,$C$9:$C$12,$L$9:$L$12)</f>
        <v>198.22529681184972</v>
      </c>
      <c r="J36" s="54">
        <f t="shared" si="2"/>
        <v>100998998.86396465</v>
      </c>
      <c r="K36" s="54" t="str">
        <f>IF($D36,SUMIFS(tbl_Monthly[customers],tbl_Monthly[class],$C36,tbl_Monthly[month],$B36),"")</f>
        <v/>
      </c>
      <c r="L36" s="54" t="str">
        <f>IF($D36,SUMIFS(tbl_Monthly[mwh],tbl_Monthly[class],$C36,tbl_Monthly[month],$B36),"")</f>
        <v/>
      </c>
      <c r="M36" s="54" t="str">
        <f>IF($D36,SUMIFS(tbl_Monthly[revenue],tbl_Monthly[class],$C36,tbl_Monthly[month],$B36),"")</f>
        <v/>
      </c>
      <c r="N36" s="58" t="str" cm="1">
        <f t="array" ref="N36">IF($D36,SAFEDIV(M36,L36),"")</f>
        <v/>
      </c>
      <c r="O36" s="84" t="str" cm="1">
        <f t="array" ref="O36">IF(AND($D36,_xlfn.XLOOKUP($C36,tbl_Class[class],tbl_Class[weather_model])="yes"),_xlfn.XLOOKUP($C36,$C$16:$C$17,$E$16:$E$17)*(INDEX($C$23:$N$23,MONTH($B36))-INDEX($C$21:$N$21,MONTH($B36)))+_xlfn.XLOOKUP($C36,$C$16:$C$17,$F$16:$F$17)*(INDEX($C$24:$N$24,MONTH($B36))-INDEX($C$22:$N$22,MONTH($B36))),IF($D36,0,""))</f>
        <v/>
      </c>
      <c r="P36" s="55" t="str">
        <f>IF($D36,IF(_xlfn.XLOOKUP($C36,tbl_Class[class],tbl_Class[weather_model])="yes",(K36-E36)*H36*I36,0),"")</f>
        <v/>
      </c>
      <c r="Q36" s="55" t="str">
        <f>IF($D36,IF(_xlfn.XLOOKUP($C36,tbl_Class[class],tbl_Class[weather_model])="yes",K36*O36*I36,0),"")</f>
        <v/>
      </c>
      <c r="R36" s="55" t="str" cm="1">
        <f t="array" ref="R36">IF($D36,IF(_xlfn.XLOOKUP($C36,tbl_Class[class],tbl_Class[weather_model])="yes",K36*(SAFEDIV(L36,K36)-H36-O36)*I36,(L36-G36)*I36),"")</f>
        <v/>
      </c>
      <c r="S36" s="55" t="str">
        <f t="shared" si="3"/>
        <v/>
      </c>
      <c r="T36" s="67" t="str">
        <f t="shared" si="4"/>
        <v/>
      </c>
    </row>
    <row r="37" spans="2:20" x14ac:dyDescent="0.3">
      <c r="B37" s="79">
        <f>DATE(PlanYear,MOD(ROWS($B$28:B37)-1,12)+1,1)</f>
        <v>46296</v>
      </c>
      <c r="C37" t="s">
        <v>92</v>
      </c>
      <c r="D37" t="b">
        <f>MONTH($B37)&lt;=PlanClosed</f>
        <v>0</v>
      </c>
      <c r="E37" s="54">
        <f t="shared" si="1"/>
        <v>852094.55562465522</v>
      </c>
      <c r="F37" s="81" cm="1">
        <f t="array" ref="F37">IF(_xlfn.XLOOKUP($C37,tbl_Class[class],tbl_Class[weather_model])="yes",_xlfn.XLOOKUP($C37,$C$16:$C$17,$D$16:$D$17)+_xlfn.XLOOKUP($C37,$C$16:$C$17,$E$16:$E$17)*INDEX($C$21:$N$21,MONTH($B37))+_xlfn.XLOOKUP($C37,$C$16:$C$17,$F$16:$F$17)*INDEX($C$22:$N$22,MONTH($B37))+_xlfn.XLOOKUP($C37,$C$16:$C$17,$G$16:$G$17)*TRENDYEARS($B37),"")</f>
        <v>0.67778425308102819</v>
      </c>
      <c r="G37" s="54">
        <f>IF(_xlfn.XLOOKUP($C37,tbl_Class[class],tbl_Class[weather_model])="yes",E37*F37,SUMIFS(tbl_Monthly[mwh],tbl_Monthly[class],$C37,tbl_Monthly[month],EDATE($B37,-12))*_xlfn.XLOOKUP($C37,$C$9:$C$12,$I$9:$I$12))</f>
        <v>577536.27193846751</v>
      </c>
      <c r="H37" s="81" cm="1">
        <f t="array" ref="H37">SAFEDIV(G37,E37)</f>
        <v>0.67778425308102819</v>
      </c>
      <c r="I37" s="58" cm="1">
        <f t="array" ref="I37">SAFEDIV(SUMIFS(tbl_Monthly[revenue],tbl_Monthly[class],$C37,tbl_Monthly[month],EDATE($B37,-12)),SUMIFS(tbl_Monthly[mwh],tbl_Monthly[class],$C37,tbl_Monthly[month],EDATE($B37,-12)))*_xlfn.XLOOKUP($C37,$C$9:$C$12,$L$9:$L$12)</f>
        <v>197.3904458260196</v>
      </c>
      <c r="J37" s="54">
        <f t="shared" si="2"/>
        <v>114000142.19863139</v>
      </c>
      <c r="K37" s="54" t="str">
        <f>IF($D37,SUMIFS(tbl_Monthly[customers],tbl_Monthly[class],$C37,tbl_Monthly[month],$B37),"")</f>
        <v/>
      </c>
      <c r="L37" s="54" t="str">
        <f>IF($D37,SUMIFS(tbl_Monthly[mwh],tbl_Monthly[class],$C37,tbl_Monthly[month],$B37),"")</f>
        <v/>
      </c>
      <c r="M37" s="54" t="str">
        <f>IF($D37,SUMIFS(tbl_Monthly[revenue],tbl_Monthly[class],$C37,tbl_Monthly[month],$B37),"")</f>
        <v/>
      </c>
      <c r="N37" s="58" t="str" cm="1">
        <f t="array" ref="N37">IF($D37,SAFEDIV(M37,L37),"")</f>
        <v/>
      </c>
      <c r="O37" s="84" t="str" cm="1">
        <f t="array" ref="O37">IF(AND($D37,_xlfn.XLOOKUP($C37,tbl_Class[class],tbl_Class[weather_model])="yes"),_xlfn.XLOOKUP($C37,$C$16:$C$17,$E$16:$E$17)*(INDEX($C$23:$N$23,MONTH($B37))-INDEX($C$21:$N$21,MONTH($B37)))+_xlfn.XLOOKUP($C37,$C$16:$C$17,$F$16:$F$17)*(INDEX($C$24:$N$24,MONTH($B37))-INDEX($C$22:$N$22,MONTH($B37))),IF($D37,0,""))</f>
        <v/>
      </c>
      <c r="P37" s="55" t="str">
        <f>IF($D37,IF(_xlfn.XLOOKUP($C37,tbl_Class[class],tbl_Class[weather_model])="yes",(K37-E37)*H37*I37,0),"")</f>
        <v/>
      </c>
      <c r="Q37" s="55" t="str">
        <f>IF($D37,IF(_xlfn.XLOOKUP($C37,tbl_Class[class],tbl_Class[weather_model])="yes",K37*O37*I37,0),"")</f>
        <v/>
      </c>
      <c r="R37" s="55" t="str" cm="1">
        <f t="array" ref="R37">IF($D37,IF(_xlfn.XLOOKUP($C37,tbl_Class[class],tbl_Class[weather_model])="yes",K37*(SAFEDIV(L37,K37)-H37-O37)*I37,(L37-G37)*I37),"")</f>
        <v/>
      </c>
      <c r="S37" s="55" t="str">
        <f t="shared" si="3"/>
        <v/>
      </c>
      <c r="T37" s="67" t="str">
        <f t="shared" si="4"/>
        <v/>
      </c>
    </row>
    <row r="38" spans="2:20" x14ac:dyDescent="0.3">
      <c r="B38" s="79">
        <f>DATE(PlanYear,MOD(ROWS($B$28:B38)-1,12)+1,1)</f>
        <v>46327</v>
      </c>
      <c r="C38" t="s">
        <v>92</v>
      </c>
      <c r="D38" t="b">
        <f>MONTH($B38)&lt;=PlanClosed</f>
        <v>0</v>
      </c>
      <c r="E38" s="54">
        <f t="shared" si="1"/>
        <v>852877.14990231278</v>
      </c>
      <c r="F38" s="81" cm="1">
        <f t="array" ref="F38">IF(_xlfn.XLOOKUP($C38,tbl_Class[class],tbl_Class[weather_model])="yes",_xlfn.XLOOKUP($C38,$C$16:$C$17,$D$16:$D$17)+_xlfn.XLOOKUP($C38,$C$16:$C$17,$E$16:$E$17)*INDEX($C$21:$N$21,MONTH($B38))+_xlfn.XLOOKUP($C38,$C$16:$C$17,$F$16:$F$17)*INDEX($C$22:$N$22,MONTH($B38))+_xlfn.XLOOKUP($C38,$C$16:$C$17,$G$16:$G$17)*TRENDYEARS($B38),"")</f>
        <v>0.8243360792063642</v>
      </c>
      <c r="G38" s="54">
        <f>IF(_xlfn.XLOOKUP($C38,tbl_Class[class],tbl_Class[weather_model])="yes",E38*F38,SUMIFS(tbl_Monthly[mwh],tbl_Monthly[class],$C38,tbl_Monthly[month],EDATE($B38,-12))*_xlfn.XLOOKUP($C38,$C$9:$C$12,$I$9:$I$12))</f>
        <v>703057.40579517104</v>
      </c>
      <c r="H38" s="81" cm="1">
        <f t="array" ref="H38">SAFEDIV(G38,E38)</f>
        <v>0.8243360792063642</v>
      </c>
      <c r="I38" s="58" cm="1">
        <f t="array" ref="I38">SAFEDIV(SUMIFS(tbl_Monthly[revenue],tbl_Monthly[class],$C38,tbl_Monthly[month],EDATE($B38,-12)),SUMIFS(tbl_Monthly[mwh],tbl_Monthly[class],$C38,tbl_Monthly[month],EDATE($B38,-12)))*_xlfn.XLOOKUP($C38,$C$9:$C$12,$L$9:$L$12)</f>
        <v>195.69094030344425</v>
      </c>
      <c r="J38" s="54">
        <f t="shared" si="2"/>
        <v>137581964.8273572</v>
      </c>
      <c r="K38" s="54" t="str">
        <f>IF($D38,SUMIFS(tbl_Monthly[customers],tbl_Monthly[class],$C38,tbl_Monthly[month],$B38),"")</f>
        <v/>
      </c>
      <c r="L38" s="54" t="str">
        <f>IF($D38,SUMIFS(tbl_Monthly[mwh],tbl_Monthly[class],$C38,tbl_Monthly[month],$B38),"")</f>
        <v/>
      </c>
      <c r="M38" s="54" t="str">
        <f>IF($D38,SUMIFS(tbl_Monthly[revenue],tbl_Monthly[class],$C38,tbl_Monthly[month],$B38),"")</f>
        <v/>
      </c>
      <c r="N38" s="58" t="str" cm="1">
        <f t="array" ref="N38">IF($D38,SAFEDIV(M38,L38),"")</f>
        <v/>
      </c>
      <c r="O38" s="84" t="str" cm="1">
        <f t="array" ref="O38">IF(AND($D38,_xlfn.XLOOKUP($C38,tbl_Class[class],tbl_Class[weather_model])="yes"),_xlfn.XLOOKUP($C38,$C$16:$C$17,$E$16:$E$17)*(INDEX($C$23:$N$23,MONTH($B38))-INDEX($C$21:$N$21,MONTH($B38)))+_xlfn.XLOOKUP($C38,$C$16:$C$17,$F$16:$F$17)*(INDEX($C$24:$N$24,MONTH($B38))-INDEX($C$22:$N$22,MONTH($B38))),IF($D38,0,""))</f>
        <v/>
      </c>
      <c r="P38" s="55" t="str">
        <f>IF($D38,IF(_xlfn.XLOOKUP($C38,tbl_Class[class],tbl_Class[weather_model])="yes",(K38-E38)*H38*I38,0),"")</f>
        <v/>
      </c>
      <c r="Q38" s="55" t="str">
        <f>IF($D38,IF(_xlfn.XLOOKUP($C38,tbl_Class[class],tbl_Class[weather_model])="yes",K38*O38*I38,0),"")</f>
        <v/>
      </c>
      <c r="R38" s="55" t="str" cm="1">
        <f t="array" ref="R38">IF($D38,IF(_xlfn.XLOOKUP($C38,tbl_Class[class],tbl_Class[weather_model])="yes",K38*(SAFEDIV(L38,K38)-H38-O38)*I38,(L38-G38)*I38),"")</f>
        <v/>
      </c>
      <c r="S38" s="55" t="str">
        <f t="shared" si="3"/>
        <v/>
      </c>
      <c r="T38" s="67" t="str">
        <f t="shared" si="4"/>
        <v/>
      </c>
    </row>
    <row r="39" spans="2:20" x14ac:dyDescent="0.3">
      <c r="B39" s="90">
        <f>DATE(PlanYear,MOD(ROWS($B$28:B39)-1,12)+1,1)</f>
        <v>46357</v>
      </c>
      <c r="C39" s="91" t="s">
        <v>92</v>
      </c>
      <c r="D39" s="91" t="b">
        <f>MONTH($B39)&lt;=PlanClosed</f>
        <v>0</v>
      </c>
      <c r="E39" s="92">
        <f t="shared" si="1"/>
        <v>853660.46294269373</v>
      </c>
      <c r="F39" s="93" cm="1">
        <f t="array" ref="F39">IF(_xlfn.XLOOKUP($C39,tbl_Class[class],tbl_Class[weather_model])="yes",_xlfn.XLOOKUP($C39,$C$16:$C$17,$D$16:$D$17)+_xlfn.XLOOKUP($C39,$C$16:$C$17,$E$16:$E$17)*INDEX($C$21:$N$21,MONTH($B39))+_xlfn.XLOOKUP($C39,$C$16:$C$17,$F$16:$F$17)*INDEX($C$22:$N$22,MONTH($B39))+_xlfn.XLOOKUP($C39,$C$16:$C$17,$G$16:$G$17)*TRENDYEARS($B39),"")</f>
        <v>0.93185717902615584</v>
      </c>
      <c r="G39" s="92">
        <f>IF(_xlfn.XLOOKUP($C39,tbl_Class[class],tbl_Class[weather_model])="yes",E39*F39,SUMIFS(tbl_Monthly[mwh],tbl_Monthly[class],$C39,tbl_Monthly[month],EDATE($B39,-12))*_xlfn.XLOOKUP($C39,$C$9:$C$12,$I$9:$I$12))</f>
        <v>795489.63084394077</v>
      </c>
      <c r="H39" s="93" cm="1">
        <f t="array" ref="H39">SAFEDIV(G39,E39)</f>
        <v>0.93185717902615572</v>
      </c>
      <c r="I39" s="94" cm="1">
        <f t="array" ref="I39">SAFEDIV(SUMIFS(tbl_Monthly[revenue],tbl_Monthly[class],$C39,tbl_Monthly[month],EDATE($B39,-12)),SUMIFS(tbl_Monthly[mwh],tbl_Monthly[class],$C39,tbl_Monthly[month],EDATE($B39,-12)))*_xlfn.XLOOKUP($C39,$C$9:$C$12,$L$9:$L$12)</f>
        <v>192.19316008337958</v>
      </c>
      <c r="J39" s="92">
        <f t="shared" si="2"/>
        <v>152887665.96545804</v>
      </c>
      <c r="K39" s="92" t="str">
        <f>IF($D39,SUMIFS(tbl_Monthly[customers],tbl_Monthly[class],$C39,tbl_Monthly[month],$B39),"")</f>
        <v/>
      </c>
      <c r="L39" s="92" t="str">
        <f>IF($D39,SUMIFS(tbl_Monthly[mwh],tbl_Monthly[class],$C39,tbl_Monthly[month],$B39),"")</f>
        <v/>
      </c>
      <c r="M39" s="92" t="str">
        <f>IF($D39,SUMIFS(tbl_Monthly[revenue],tbl_Monthly[class],$C39,tbl_Monthly[month],$B39),"")</f>
        <v/>
      </c>
      <c r="N39" s="94" t="str" cm="1">
        <f t="array" ref="N39">IF($D39,SAFEDIV(M39,L39),"")</f>
        <v/>
      </c>
      <c r="O39" s="95" t="str" cm="1">
        <f t="array" ref="O39">IF(AND($D39,_xlfn.XLOOKUP($C39,tbl_Class[class],tbl_Class[weather_model])="yes"),_xlfn.XLOOKUP($C39,$C$16:$C$17,$E$16:$E$17)*(INDEX($C$23:$N$23,MONTH($B39))-INDEX($C$21:$N$21,MONTH($B39)))+_xlfn.XLOOKUP($C39,$C$16:$C$17,$F$16:$F$17)*(INDEX($C$24:$N$24,MONTH($B39))-INDEX($C$22:$N$22,MONTH($B39))),IF($D39,0,""))</f>
        <v/>
      </c>
      <c r="P39" s="96" t="str">
        <f>IF($D39,IF(_xlfn.XLOOKUP($C39,tbl_Class[class],tbl_Class[weather_model])="yes",(K39-E39)*H39*I39,0),"")</f>
        <v/>
      </c>
      <c r="Q39" s="96" t="str">
        <f>IF($D39,IF(_xlfn.XLOOKUP($C39,tbl_Class[class],tbl_Class[weather_model])="yes",K39*O39*I39,0),"")</f>
        <v/>
      </c>
      <c r="R39" s="96" t="str" cm="1">
        <f t="array" ref="R39">IF($D39,IF(_xlfn.XLOOKUP($C39,tbl_Class[class],tbl_Class[weather_model])="yes",K39*(SAFEDIV(L39,K39)-H39-O39)*I39,(L39-G39)*I39),"")</f>
        <v/>
      </c>
      <c r="S39" s="96" t="str">
        <f t="shared" si="3"/>
        <v/>
      </c>
      <c r="T39" s="97" t="str">
        <f t="shared" si="4"/>
        <v/>
      </c>
    </row>
    <row r="40" spans="2:20" x14ac:dyDescent="0.3">
      <c r="B40" s="79">
        <f>DATE(PlanYear,MOD(ROWS($B$28:B40)-1,12)+1,1)</f>
        <v>46023</v>
      </c>
      <c r="C40" t="s">
        <v>95</v>
      </c>
      <c r="D40" t="b">
        <f>MONTH($B40)&lt;=PlanClosed</f>
        <v>1</v>
      </c>
      <c r="E40" s="54">
        <f t="shared" si="1"/>
        <v>110217.58517264352</v>
      </c>
      <c r="F40" s="81" cm="1">
        <f t="array" ref="F40">IF(_xlfn.XLOOKUP($C40,tbl_Class[class],tbl_Class[weather_model])="yes",_xlfn.XLOOKUP($C40,$C$16:$C$17,$D$16:$D$17)+_xlfn.XLOOKUP($C40,$C$16:$C$17,$E$16:$E$17)*INDEX($C$21:$N$21,MONTH($B40))+_xlfn.XLOOKUP($C40,$C$16:$C$17,$F$16:$F$17)*INDEX($C$22:$N$22,MONTH($B40))+_xlfn.XLOOKUP($C40,$C$16:$C$17,$G$16:$G$17)*TRENDYEARS($B40),"")</f>
        <v>4.7905774654264439</v>
      </c>
      <c r="G40" s="54">
        <f>IF(_xlfn.XLOOKUP($C40,tbl_Class[class],tbl_Class[weather_model])="yes",E40*F40,SUMIFS(tbl_Monthly[mwh],tbl_Monthly[class],$C40,tbl_Monthly[month],EDATE($B40,-12))*_xlfn.XLOOKUP($C40,$C$9:$C$12,$I$9:$I$12))</f>
        <v>528005.87982178584</v>
      </c>
      <c r="H40" s="81" cm="1">
        <f t="array" ref="H40">SAFEDIV(G40,E40)</f>
        <v>4.7905774654264439</v>
      </c>
      <c r="I40" s="58" cm="1">
        <f t="array" ref="I40">SAFEDIV(SUMIFS(tbl_Monthly[revenue],tbl_Monthly[class],$C40,tbl_Monthly[month],EDATE($B40,-12)),SUMIFS(tbl_Monthly[mwh],tbl_Monthly[class],$C40,tbl_Monthly[month],EDATE($B40,-12)))*_xlfn.XLOOKUP($C40,$C$9:$C$12,$L$9:$L$12)</f>
        <v>149.2101201470465</v>
      </c>
      <c r="J40" s="54">
        <f t="shared" si="2"/>
        <v>78783820.766555652</v>
      </c>
      <c r="K40" s="54">
        <f>IF($D40,SUMIFS(tbl_Monthly[customers],tbl_Monthly[class],$C40,tbl_Monthly[month],$B40),"")</f>
        <v>110273</v>
      </c>
      <c r="L40" s="54">
        <f>IF($D40,SUMIFS(tbl_Monthly[mwh],tbl_Monthly[class],$C40,tbl_Monthly[month],$B40),"")</f>
        <v>559401.35100000002</v>
      </c>
      <c r="M40" s="54">
        <f>IF($D40,SUMIFS(tbl_Monthly[revenue],tbl_Monthly[class],$C40,tbl_Monthly[month],$B40),"")</f>
        <v>80414049</v>
      </c>
      <c r="N40" s="58" cm="1">
        <f t="array" ref="N40">IF($D40,SAFEDIV(M40,L40),"")</f>
        <v>143.75018733195731</v>
      </c>
      <c r="O40" s="84" cm="1">
        <f t="array" ref="O40">IF(AND($D40,_xlfn.XLOOKUP($C40,tbl_Class[class],tbl_Class[weather_model])="yes"),_xlfn.XLOOKUP($C40,$C$16:$C$17,$E$16:$E$17)*(INDEX($C$23:$N$23,MONTH($B40))-INDEX($C$21:$N$21,MONTH($B40)))+_xlfn.XLOOKUP($C40,$C$16:$C$17,$F$16:$F$17)*(INDEX($C$24:$N$24,MONTH($B40))-INDEX($C$22:$N$22,MONTH($B40))),IF($D40,0,""))</f>
        <v>-2.952756803085187E-2</v>
      </c>
      <c r="P40" s="55">
        <f>IF($D40,IF(_xlfn.XLOOKUP($C40,tbl_Class[class],tbl_Class[weather_model])="yes",(K40-E40)*H40*I40,0),"")</f>
        <v>39610.664844669976</v>
      </c>
      <c r="Q40" s="55">
        <f>IF($D40,IF(_xlfn.XLOOKUP($C40,tbl_Class[class],tbl_Class[weather_model])="yes",K40*O40*I40,0),"")</f>
        <v>-485842.10375745926</v>
      </c>
      <c r="R40" s="55" cm="1">
        <f t="array" ref="R40">IF($D40,IF(_xlfn.XLOOKUP($C40,tbl_Class[class],tbl_Class[weather_model])="yes",K40*(SAFEDIV(L40,K40)-H40-O40)*I40,(L40-G40)*I40),"")</f>
        <v>5130753.4654872622</v>
      </c>
      <c r="S40" s="55">
        <f t="shared" si="3"/>
        <v>-3054293.7931301259</v>
      </c>
      <c r="T40" s="67">
        <f t="shared" si="4"/>
        <v>-9.3132257461547852E-10</v>
      </c>
    </row>
    <row r="41" spans="2:20" x14ac:dyDescent="0.3">
      <c r="B41" s="79">
        <f>DATE(PlanYear,MOD(ROWS($B$28:B41)-1,12)+1,1)</f>
        <v>46054</v>
      </c>
      <c r="C41" t="s">
        <v>95</v>
      </c>
      <c r="D41" t="b">
        <f>MONTH($B41)&lt;=PlanClosed</f>
        <v>1</v>
      </c>
      <c r="E41" s="54">
        <f t="shared" si="1"/>
        <v>110223.17062832479</v>
      </c>
      <c r="F41" s="81" cm="1">
        <f t="array" ref="F41">IF(_xlfn.XLOOKUP($C41,tbl_Class[class],tbl_Class[weather_model])="yes",_xlfn.XLOOKUP($C41,$C$16:$C$17,$D$16:$D$17)+_xlfn.XLOOKUP($C41,$C$16:$C$17,$E$16:$E$17)*INDEX($C$21:$N$21,MONTH($B41))+_xlfn.XLOOKUP($C41,$C$16:$C$17,$F$16:$F$17)*INDEX($C$22:$N$22,MONTH($B41))+_xlfn.XLOOKUP($C41,$C$16:$C$17,$G$16:$G$17)*TRENDYEARS($B41),"")</f>
        <v>4.7419986228516668</v>
      </c>
      <c r="G41" s="54">
        <f>IF(_xlfn.XLOOKUP($C41,tbl_Class[class],tbl_Class[weather_model])="yes",E41*F41,SUMIFS(tbl_Monthly[mwh],tbl_Monthly[class],$C41,tbl_Monthly[month],EDATE($B41,-12))*_xlfn.XLOOKUP($C41,$C$9:$C$12,$I$9:$I$12))</f>
        <v>522678.12332586048</v>
      </c>
      <c r="H41" s="81" cm="1">
        <f t="array" ref="H41">SAFEDIV(G41,E41)</f>
        <v>4.7419986228516668</v>
      </c>
      <c r="I41" s="58" cm="1">
        <f t="array" ref="I41">SAFEDIV(SUMIFS(tbl_Monthly[revenue],tbl_Monthly[class],$C41,tbl_Monthly[month],EDATE($B41,-12)),SUMIFS(tbl_Monthly[mwh],tbl_Monthly[class],$C41,tbl_Monthly[month],EDATE($B41,-12)))*_xlfn.XLOOKUP($C41,$C$9:$C$12,$L$9:$L$12)</f>
        <v>164.20009704063037</v>
      </c>
      <c r="J41" s="54">
        <f t="shared" si="2"/>
        <v>85823798.571120858</v>
      </c>
      <c r="K41" s="54">
        <f>IF($D41,SUMIFS(tbl_Monthly[customers],tbl_Monthly[class],$C41,tbl_Monthly[month],$B41),"")</f>
        <v>110510</v>
      </c>
      <c r="L41" s="54">
        <f>IF($D41,SUMIFS(tbl_Monthly[mwh],tbl_Monthly[class],$C41,tbl_Monthly[month],$B41),"")</f>
        <v>500050.10600000003</v>
      </c>
      <c r="M41" s="54">
        <f>IF($D41,SUMIFS(tbl_Monthly[revenue],tbl_Monthly[class],$C41,tbl_Monthly[month],$B41),"")</f>
        <v>72983818</v>
      </c>
      <c r="N41" s="58" cm="1">
        <f t="array" ref="N41">IF($D41,SAFEDIV(M41,L41),"")</f>
        <v>145.95300975698623</v>
      </c>
      <c r="O41" s="84" cm="1">
        <f t="array" ref="O41">IF(AND($D41,_xlfn.XLOOKUP($C41,tbl_Class[class],tbl_Class[weather_model])="yes"),_xlfn.XLOOKUP($C41,$C$16:$C$17,$E$16:$E$17)*(INDEX($C$23:$N$23,MONTH($B41))-INDEX($C$21:$N$21,MONTH($B41)))+_xlfn.XLOOKUP($C41,$C$16:$C$17,$F$16:$F$17)*(INDEX($C$24:$N$24,MONTH($B41))-INDEX($C$22:$N$22,MONTH($B41))),IF($D41,0,""))</f>
        <v>-5.0448164103774548E-2</v>
      </c>
      <c r="P41" s="55">
        <f>IF($D41,IF(_xlfn.XLOOKUP($C41,tbl_Class[class],tbl_Class[weather_model])="yes",(K41-E41)*H41*I41,0),"")</f>
        <v>223335.85650464246</v>
      </c>
      <c r="Q41" s="55">
        <f>IF($D41,IF(_xlfn.XLOOKUP($C41,tbl_Class[class],tbl_Class[weather_model])="yes",K41*O41*I41,0),"")</f>
        <v>-915419.91120485123</v>
      </c>
      <c r="R41" s="55" cm="1">
        <f t="array" ref="R41">IF($D41,IF(_xlfn.XLOOKUP($C41,tbl_Class[class],tbl_Class[weather_model])="yes",K41*(SAFEDIV(L41,K41)-H41-O41)*I41,(L41-G41)*I41),"")</f>
        <v>-3023438.5860431399</v>
      </c>
      <c r="S41" s="55">
        <f t="shared" si="3"/>
        <v>-9124457.930377502</v>
      </c>
      <c r="T41" s="67">
        <f t="shared" si="4"/>
        <v>7.4505805969238281E-9</v>
      </c>
    </row>
    <row r="42" spans="2:20" x14ac:dyDescent="0.3">
      <c r="B42" s="79">
        <f>DATE(PlanYear,MOD(ROWS($B$28:B42)-1,12)+1,1)</f>
        <v>46082</v>
      </c>
      <c r="C42" t="s">
        <v>95</v>
      </c>
      <c r="D42" t="b">
        <f>MONTH($B42)&lt;=PlanClosed</f>
        <v>1</v>
      </c>
      <c r="E42" s="54">
        <f t="shared" si="1"/>
        <v>110228.7563670581</v>
      </c>
      <c r="F42" s="81" cm="1">
        <f t="array" ref="F42">IF(_xlfn.XLOOKUP($C42,tbl_Class[class],tbl_Class[weather_model])="yes",_xlfn.XLOOKUP($C42,$C$16:$C$17,$D$16:$D$17)+_xlfn.XLOOKUP($C42,$C$16:$C$17,$E$16:$E$17)*INDEX($C$21:$N$21,MONTH($B42))+_xlfn.XLOOKUP($C42,$C$16:$C$17,$F$16:$F$17)*INDEX($C$22:$N$22,MONTH($B42))+_xlfn.XLOOKUP($C42,$C$16:$C$17,$G$16:$G$17)*TRENDYEARS($B42),"")</f>
        <v>4.7123928133520332</v>
      </c>
      <c r="G42" s="54">
        <f>IF(_xlfn.XLOOKUP($C42,tbl_Class[class],tbl_Class[weather_model])="yes",E42*F42,SUMIFS(tbl_Monthly[mwh],tbl_Monthly[class],$C42,tbl_Monthly[month],EDATE($B42,-12))*_xlfn.XLOOKUP($C42,$C$9:$C$12,$I$9:$I$12))</f>
        <v>519441.19932885678</v>
      </c>
      <c r="H42" s="81" cm="1">
        <f t="array" ref="H42">SAFEDIV(G42,E42)</f>
        <v>4.7123928133520332</v>
      </c>
      <c r="I42" s="58" cm="1">
        <f t="array" ref="I42">SAFEDIV(SUMIFS(tbl_Monthly[revenue],tbl_Monthly[class],$C42,tbl_Monthly[month],EDATE($B42,-12)),SUMIFS(tbl_Monthly[mwh],tbl_Monthly[class],$C42,tbl_Monthly[month],EDATE($B42,-12)))*_xlfn.XLOOKUP($C42,$C$9:$C$12,$L$9:$L$12)</f>
        <v>159.41508133207481</v>
      </c>
      <c r="J42" s="54">
        <f t="shared" si="2"/>
        <v>82806761.038240179</v>
      </c>
      <c r="K42" s="54">
        <f>IF($D42,SUMIFS(tbl_Monthly[customers],tbl_Monthly[class],$C42,tbl_Monthly[month],$B42),"")</f>
        <v>110584</v>
      </c>
      <c r="L42" s="54">
        <f>IF($D42,SUMIFS(tbl_Monthly[mwh],tbl_Monthly[class],$C42,tbl_Monthly[month],$B42),"")</f>
        <v>530717.63</v>
      </c>
      <c r="M42" s="54">
        <f>IF($D42,SUMIFS(tbl_Monthly[revenue],tbl_Monthly[class],$C42,tbl_Monthly[month],$B42),"")</f>
        <v>79333281</v>
      </c>
      <c r="N42" s="58" cm="1">
        <f t="array" ref="N42">IF($D42,SAFEDIV(M42,L42),"")</f>
        <v>149.4830330019374</v>
      </c>
      <c r="O42" s="84" cm="1">
        <f t="array" ref="O42">IF(AND($D42,_xlfn.XLOOKUP($C42,tbl_Class[class],tbl_Class[weather_model])="yes"),_xlfn.XLOOKUP($C42,$C$16:$C$17,$E$16:$E$17)*(INDEX($C$23:$N$23,MONTH($B42))-INDEX($C$21:$N$21,MONTH($B42)))+_xlfn.XLOOKUP($C42,$C$16:$C$17,$F$16:$F$17)*(INDEX($C$24:$N$24,MONTH($B42))-INDEX($C$22:$N$22,MONTH($B42))),IF($D42,0,""))</f>
        <v>-7.3379147787308446E-2</v>
      </c>
      <c r="P42" s="55">
        <f>IF($D42,IF(_xlfn.XLOOKUP($C42,tbl_Class[class],tbl_Class[weather_model])="yes",(K42-E42)*H42*I42,0),"")</f>
        <v>266868.4251995004</v>
      </c>
      <c r="Q42" s="55">
        <f>IF($D42,IF(_xlfn.XLOOKUP($C42,tbl_Class[class],tbl_Class[weather_model])="yes",K42*O42*I42,0),"")</f>
        <v>-1293583.1911876863</v>
      </c>
      <c r="R42" s="55" cm="1">
        <f t="array" ref="R42">IF($D42,IF(_xlfn.XLOOKUP($C42,tbl_Class[class],tbl_Class[weather_model])="yes",K42*(SAFEDIV(L42,K42)-H42-O42)*I42,(L42-G42)*I42),"")</f>
        <v>2824347.8785639834</v>
      </c>
      <c r="S42" s="55">
        <f t="shared" si="3"/>
        <v>-5271113.1508159814</v>
      </c>
      <c r="T42" s="67">
        <f t="shared" si="4"/>
        <v>-4.6566128730773926E-9</v>
      </c>
    </row>
    <row r="43" spans="2:20" x14ac:dyDescent="0.3">
      <c r="B43" s="79">
        <f>DATE(PlanYear,MOD(ROWS($B$28:B43)-1,12)+1,1)</f>
        <v>46113</v>
      </c>
      <c r="C43" t="s">
        <v>95</v>
      </c>
      <c r="D43" t="b">
        <f>MONTH($B43)&lt;=PlanClosed</f>
        <v>1</v>
      </c>
      <c r="E43" s="54">
        <f t="shared" si="1"/>
        <v>110234.34238885781</v>
      </c>
      <c r="F43" s="81" cm="1">
        <f t="array" ref="F43">IF(_xlfn.XLOOKUP($C43,tbl_Class[class],tbl_Class[weather_model])="yes",_xlfn.XLOOKUP($C43,$C$16:$C$17,$D$16:$D$17)+_xlfn.XLOOKUP($C43,$C$16:$C$17,$E$16:$E$17)*INDEX($C$21:$N$21,MONTH($B43))+_xlfn.XLOOKUP($C43,$C$16:$C$17,$F$16:$F$17)*INDEX($C$22:$N$22,MONTH($B43))+_xlfn.XLOOKUP($C43,$C$16:$C$17,$G$16:$G$17)*TRENDYEARS($B43),"")</f>
        <v>4.5980366011425717</v>
      </c>
      <c r="G43" s="54">
        <f>IF(_xlfn.XLOOKUP($C43,tbl_Class[class],tbl_Class[weather_model])="yes",E43*F43,SUMIFS(tbl_Monthly[mwh],tbl_Monthly[class],$C43,tbl_Monthly[month],EDATE($B43,-12))*_xlfn.XLOOKUP($C43,$C$9:$C$12,$I$9:$I$12))</f>
        <v>506861.54100685031</v>
      </c>
      <c r="H43" s="81" cm="1">
        <f t="array" ref="H43">SAFEDIV(G43,E43)</f>
        <v>4.5980366011425717</v>
      </c>
      <c r="I43" s="58" cm="1">
        <f t="array" ref="I43">SAFEDIV(SUMIFS(tbl_Monthly[revenue],tbl_Monthly[class],$C43,tbl_Monthly[month],EDATE($B43,-12)),SUMIFS(tbl_Monthly[mwh],tbl_Monthly[class],$C43,tbl_Monthly[month],EDATE($B43,-12)))*_xlfn.XLOOKUP($C43,$C$9:$C$12,$L$9:$L$12)</f>
        <v>163.85325846805625</v>
      </c>
      <c r="J43" s="54">
        <f t="shared" si="2"/>
        <v>83050915.086112738</v>
      </c>
      <c r="K43" s="54">
        <f>IF($D43,SUMIFS(tbl_Monthly[customers],tbl_Monthly[class],$C43,tbl_Monthly[month],$B43),"")</f>
        <v>110424</v>
      </c>
      <c r="L43" s="54">
        <f>IF($D43,SUMIFS(tbl_Monthly[mwh],tbl_Monthly[class],$C43,tbl_Monthly[month],$B43),"")</f>
        <v>471399.614</v>
      </c>
      <c r="M43" s="54">
        <f>IF($D43,SUMIFS(tbl_Monthly[revenue],tbl_Monthly[class],$C43,tbl_Monthly[month],$B43),"")</f>
        <v>76388620</v>
      </c>
      <c r="N43" s="58" cm="1">
        <f t="array" ref="N43">IF($D43,SAFEDIV(M43,L43),"")</f>
        <v>162.04642034348379</v>
      </c>
      <c r="O43" s="84" cm="1">
        <f t="array" ref="O43">IF(AND($D43,_xlfn.XLOOKUP($C43,tbl_Class[class],tbl_Class[weather_model])="yes"),_xlfn.XLOOKUP($C43,$C$16:$C$17,$E$16:$E$17)*(INDEX($C$23:$N$23,MONTH($B43))-INDEX($C$21:$N$21,MONTH($B43)))+_xlfn.XLOOKUP($C43,$C$16:$C$17,$F$16:$F$17)*(INDEX($C$24:$N$24,MONTH($B43))-INDEX($C$22:$N$22,MONTH($B43))),IF($D43,0,""))</f>
        <v>-3.7317820021970219E-2</v>
      </c>
      <c r="P43" s="55">
        <f>IF($D43,IF(_xlfn.XLOOKUP($C43,tbl_Class[class],tbl_Class[weather_model])="yes",(K43-E43)*H43*I43,0),"")</f>
        <v>142888.66624560216</v>
      </c>
      <c r="Q43" s="55">
        <f>IF($D43,IF(_xlfn.XLOOKUP($C43,tbl_Class[class],tbl_Class[weather_model])="yes",K43*O43*I43,0),"")</f>
        <v>-675203.71512531035</v>
      </c>
      <c r="R43" s="55" cm="1">
        <f t="array" ref="R43">IF($D43,IF(_xlfn.XLOOKUP($C43,tbl_Class[class],tbl_Class[weather_model])="yes",K43*(SAFEDIV(L43,K43)-H43-O43)*I43,(L43-G43)*I43),"")</f>
        <v>-5278237.242749081</v>
      </c>
      <c r="S43" s="55">
        <f t="shared" si="3"/>
        <v>-851742.79448394396</v>
      </c>
      <c r="T43" s="67">
        <f t="shared" si="4"/>
        <v>4.6566128730773926E-9</v>
      </c>
    </row>
    <row r="44" spans="2:20" x14ac:dyDescent="0.3">
      <c r="B44" s="79">
        <f>DATE(PlanYear,MOD(ROWS($B$28:B44)-1,12)+1,1)</f>
        <v>46143</v>
      </c>
      <c r="C44" t="s">
        <v>95</v>
      </c>
      <c r="D44" t="b">
        <f>MONTH($B44)&lt;=PlanClosed</f>
        <v>1</v>
      </c>
      <c r="E44" s="54">
        <f t="shared" si="1"/>
        <v>110239.92869373829</v>
      </c>
      <c r="F44" s="81" cm="1">
        <f t="array" ref="F44">IF(_xlfn.XLOOKUP($C44,tbl_Class[class],tbl_Class[weather_model])="yes",_xlfn.XLOOKUP($C44,$C$16:$C$17,$D$16:$D$17)+_xlfn.XLOOKUP($C44,$C$16:$C$17,$E$16:$E$17)*INDEX($C$21:$N$21,MONTH($B44))+_xlfn.XLOOKUP($C44,$C$16:$C$17,$F$16:$F$17)*INDEX($C$22:$N$22,MONTH($B44))+_xlfn.XLOOKUP($C44,$C$16:$C$17,$G$16:$G$17)*TRENDYEARS($B44),"")</f>
        <v>4.5097559120595134</v>
      </c>
      <c r="G44" s="54">
        <f>IF(_xlfn.XLOOKUP($C44,tbl_Class[class],tbl_Class[weather_model])="yes",E44*F44,SUMIFS(tbl_Monthly[mwh],tbl_Monthly[class],$C44,tbl_Monthly[month],EDATE($B44,-12))*_xlfn.XLOOKUP($C44,$C$9:$C$12,$I$9:$I$12))</f>
        <v>497155.17017160542</v>
      </c>
      <c r="H44" s="81" cm="1">
        <f t="array" ref="H44">SAFEDIV(G44,E44)</f>
        <v>4.5097559120595134</v>
      </c>
      <c r="I44" s="58" cm="1">
        <f t="array" ref="I44">SAFEDIV(SUMIFS(tbl_Monthly[revenue],tbl_Monthly[class],$C44,tbl_Monthly[month],EDATE($B44,-12)),SUMIFS(tbl_Monthly[mwh],tbl_Monthly[class],$C44,tbl_Monthly[month],EDATE($B44,-12)))*_xlfn.XLOOKUP($C44,$C$9:$C$12,$L$9:$L$12)</f>
        <v>159.27098102102866</v>
      </c>
      <c r="J44" s="54">
        <f t="shared" si="2"/>
        <v>79182391.672908038</v>
      </c>
      <c r="K44" s="54">
        <f>IF($D44,SUMIFS(tbl_Monthly[customers],tbl_Monthly[class],$C44,tbl_Monthly[month],$B44),"")</f>
        <v>110377</v>
      </c>
      <c r="L44" s="54">
        <f>IF($D44,SUMIFS(tbl_Monthly[mwh],tbl_Monthly[class],$C44,tbl_Monthly[month],$B44),"")</f>
        <v>514098.663</v>
      </c>
      <c r="M44" s="54">
        <f>IF($D44,SUMIFS(tbl_Monthly[revenue],tbl_Monthly[class],$C44,tbl_Monthly[month],$B44),"")</f>
        <v>82570086</v>
      </c>
      <c r="N44" s="58" cm="1">
        <f t="array" ref="N44">IF($D44,SAFEDIV(M44,L44),"")</f>
        <v>160.61136109198557</v>
      </c>
      <c r="O44" s="84" cm="1">
        <f t="array" ref="O44">IF(AND($D44,_xlfn.XLOOKUP($C44,tbl_Class[class],tbl_Class[weather_model])="yes"),_xlfn.XLOOKUP($C44,$C$16:$C$17,$E$16:$E$17)*(INDEX($C$23:$N$23,MONTH($B44))-INDEX($C$21:$N$21,MONTH($B44)))+_xlfn.XLOOKUP($C44,$C$16:$C$17,$F$16:$F$17)*(INDEX($C$24:$N$24,MONTH($B44))-INDEX($C$22:$N$22,MONTH($B44))),IF($D44,0,""))</f>
        <v>-4.0291412561167111E-4</v>
      </c>
      <c r="P44" s="55">
        <f>IF($D44,IF(_xlfn.XLOOKUP($C44,tbl_Class[class],tbl_Class[weather_model])="yes",(K44-E44)*H44*I44,0),"")</f>
        <v>98454.65239446114</v>
      </c>
      <c r="Q44" s="55">
        <f>IF($D44,IF(_xlfn.XLOOKUP($C44,tbl_Class[class],tbl_Class[weather_model])="yes",K44*O44*I44,0),"")</f>
        <v>-7083.1711289502227</v>
      </c>
      <c r="R44" s="55" cm="1">
        <f t="array" ref="R44">IF($D44,IF(_xlfn.XLOOKUP($C44,tbl_Class[class],tbl_Class[weather_model])="yes",K44*(SAFEDIV(L44,K44)-H44-O44)*I44,(L44-G44)*I44),"")</f>
        <v>2607235.2434356557</v>
      </c>
      <c r="S44" s="55">
        <f t="shared" si="3"/>
        <v>689087.60239079315</v>
      </c>
      <c r="T44" s="67">
        <f t="shared" si="4"/>
        <v>-2.3283064365386963E-9</v>
      </c>
    </row>
    <row r="45" spans="2:20" x14ac:dyDescent="0.3">
      <c r="B45" s="79">
        <f>DATE(PlanYear,MOD(ROWS($B$28:B45)-1,12)+1,1)</f>
        <v>46174</v>
      </c>
      <c r="C45" t="s">
        <v>95</v>
      </c>
      <c r="D45" t="b">
        <f>MONTH($B45)&lt;=PlanClosed</f>
        <v>1</v>
      </c>
      <c r="E45" s="54">
        <f t="shared" si="1"/>
        <v>110245.51528171389</v>
      </c>
      <c r="F45" s="81" cm="1">
        <f t="array" ref="F45">IF(_xlfn.XLOOKUP($C45,tbl_Class[class],tbl_Class[weather_model])="yes",_xlfn.XLOOKUP($C45,$C$16:$C$17,$D$16:$D$17)+_xlfn.XLOOKUP($C45,$C$16:$C$17,$E$16:$E$17)*INDEX($C$21:$N$21,MONTH($B45))+_xlfn.XLOOKUP($C45,$C$16:$C$17,$F$16:$F$17)*INDEX($C$22:$N$22,MONTH($B45))+_xlfn.XLOOKUP($C45,$C$16:$C$17,$G$16:$G$17)*TRENDYEARS($B45),"")</f>
        <v>4.5466646839626454</v>
      </c>
      <c r="G45" s="54">
        <f>IF(_xlfn.XLOOKUP($C45,tbl_Class[class],tbl_Class[weather_model])="yes",E45*F45,SUMIFS(tbl_Monthly[mwh],tbl_Monthly[class],$C45,tbl_Monthly[month],EDATE($B45,-12))*_xlfn.XLOOKUP($C45,$C$9:$C$12,$I$9:$I$12))</f>
        <v>501249.39089663269</v>
      </c>
      <c r="H45" s="81" cm="1">
        <f t="array" ref="H45">SAFEDIV(G45,E45)</f>
        <v>4.5466646839626454</v>
      </c>
      <c r="I45" s="58" cm="1">
        <f t="array" ref="I45">SAFEDIV(SUMIFS(tbl_Monthly[revenue],tbl_Monthly[class],$C45,tbl_Monthly[month],EDATE($B45,-12)),SUMIFS(tbl_Monthly[mwh],tbl_Monthly[class],$C45,tbl_Monthly[month],EDATE($B45,-12)))*_xlfn.XLOOKUP($C45,$C$9:$C$12,$L$9:$L$12)</f>
        <v>157.48439267234676</v>
      </c>
      <c r="J45" s="54">
        <f t="shared" si="2"/>
        <v>78938955.902739942</v>
      </c>
      <c r="K45" s="54">
        <f>IF($D45,SUMIFS(tbl_Monthly[customers],tbl_Monthly[class],$C45,tbl_Monthly[month],$B45),"")</f>
        <v>110492</v>
      </c>
      <c r="L45" s="54">
        <f>IF($D45,SUMIFS(tbl_Monthly[mwh],tbl_Monthly[class],$C45,tbl_Monthly[month],$B45),"")</f>
        <v>524863.12</v>
      </c>
      <c r="M45" s="54">
        <f>IF($D45,SUMIFS(tbl_Monthly[revenue],tbl_Monthly[class],$C45,tbl_Monthly[month],$B45),"")</f>
        <v>82615252</v>
      </c>
      <c r="N45" s="58" cm="1">
        <f t="array" ref="N45">IF($D45,SAFEDIV(M45,L45),"")</f>
        <v>157.4034235821332</v>
      </c>
      <c r="O45" s="84" cm="1">
        <f t="array" ref="O45">IF(AND($D45,_xlfn.XLOOKUP($C45,tbl_Class[class],tbl_Class[weather_model])="yes"),_xlfn.XLOOKUP($C45,$C$16:$C$17,$E$16:$E$17)*(INDEX($C$23:$N$23,MONTH($B45))-INDEX($C$21:$N$21,MONTH($B45)))+_xlfn.XLOOKUP($C45,$C$16:$C$17,$F$16:$F$17)*(INDEX($C$24:$N$24,MONTH($B45))-INDEX($C$22:$N$22,MONTH($B45))),IF($D45,0,""))</f>
        <v>2.1765625977926601E-2</v>
      </c>
      <c r="P45" s="55">
        <f>IF($D45,IF(_xlfn.XLOOKUP($C45,tbl_Class[class],tbl_Class[weather_model])="yes",(K45-E45)*H45*I45,0),"")</f>
        <v>176490.13892099794</v>
      </c>
      <c r="Q45" s="55">
        <f>IF($D45,IF(_xlfn.XLOOKUP($C45,tbl_Class[class],tbl_Class[weather_model])="yes",K45*O45*I45,0),"")</f>
        <v>378738.55393242213</v>
      </c>
      <c r="R45" s="55" cm="1">
        <f t="array" ref="R45">IF($D45,IF(_xlfn.XLOOKUP($C45,tbl_Class[class],tbl_Class[weather_model])="yes",K45*(SAFEDIV(L45,K45)-H45-O45)*I45,(L45-G45)*I45),"")</f>
        <v>3163565.0937196943</v>
      </c>
      <c r="S45" s="55">
        <f t="shared" si="3"/>
        <v>-42497.689313049064</v>
      </c>
      <c r="T45" s="67">
        <f t="shared" si="4"/>
        <v>7.4505805969238281E-9</v>
      </c>
    </row>
    <row r="46" spans="2:20" x14ac:dyDescent="0.3">
      <c r="B46" s="79">
        <f>DATE(PlanYear,MOD(ROWS($B$28:B46)-1,12)+1,1)</f>
        <v>46204</v>
      </c>
      <c r="C46" t="s">
        <v>95</v>
      </c>
      <c r="D46" t="b">
        <f>MONTH($B46)&lt;=PlanClosed</f>
        <v>0</v>
      </c>
      <c r="E46" s="54">
        <f t="shared" si="1"/>
        <v>110251.10215279892</v>
      </c>
      <c r="F46" s="81" cm="1">
        <f t="array" ref="F46">IF(_xlfn.XLOOKUP($C46,tbl_Class[class],tbl_Class[weather_model])="yes",_xlfn.XLOOKUP($C46,$C$16:$C$17,$D$16:$D$17)+_xlfn.XLOOKUP($C46,$C$16:$C$17,$E$16:$E$17)*INDEX($C$21:$N$21,MONTH($B46))+_xlfn.XLOOKUP($C46,$C$16:$C$17,$F$16:$F$17)*INDEX($C$22:$N$22,MONTH($B46))+_xlfn.XLOOKUP($C46,$C$16:$C$17,$G$16:$G$17)*TRENDYEARS($B46),"")</f>
        <v>5.1533604745794284</v>
      </c>
      <c r="G46" s="54">
        <f>IF(_xlfn.XLOOKUP($C46,tbl_Class[class],tbl_Class[weather_model])="yes",E46*F46,SUMIFS(tbl_Monthly[mwh],tbl_Monthly[class],$C46,tbl_Monthly[month],EDATE($B46,-12))*_xlfn.XLOOKUP($C46,$C$9:$C$12,$I$9:$I$12))</f>
        <v>568163.67211305292</v>
      </c>
      <c r="H46" s="81" cm="1">
        <f t="array" ref="H46">SAFEDIV(G46,E46)</f>
        <v>5.1533604745794284</v>
      </c>
      <c r="I46" s="58" cm="1">
        <f t="array" ref="I46">SAFEDIV(SUMIFS(tbl_Monthly[revenue],tbl_Monthly[class],$C46,tbl_Monthly[month],EDATE($B46,-12)),SUMIFS(tbl_Monthly[mwh],tbl_Monthly[class],$C46,tbl_Monthly[month],EDATE($B46,-12)))*_xlfn.XLOOKUP($C46,$C$9:$C$12,$L$9:$L$12)</f>
        <v>153.57886885023606</v>
      </c>
      <c r="J46" s="54">
        <f t="shared" si="2"/>
        <v>87257934.08491908</v>
      </c>
      <c r="K46" s="54" t="str">
        <f>IF($D46,SUMIFS(tbl_Monthly[customers],tbl_Monthly[class],$C46,tbl_Monthly[month],$B46),"")</f>
        <v/>
      </c>
      <c r="L46" s="54" t="str">
        <f>IF($D46,SUMIFS(tbl_Monthly[mwh],tbl_Monthly[class],$C46,tbl_Monthly[month],$B46),"")</f>
        <v/>
      </c>
      <c r="M46" s="54" t="str">
        <f>IF($D46,SUMIFS(tbl_Monthly[revenue],tbl_Monthly[class],$C46,tbl_Monthly[month],$B46),"")</f>
        <v/>
      </c>
      <c r="N46" s="58" t="str" cm="1">
        <f t="array" ref="N46">IF($D46,SAFEDIV(M46,L46),"")</f>
        <v/>
      </c>
      <c r="O46" s="84" t="str" cm="1">
        <f t="array" ref="O46">IF(AND($D46,_xlfn.XLOOKUP($C46,tbl_Class[class],tbl_Class[weather_model])="yes"),_xlfn.XLOOKUP($C46,$C$16:$C$17,$E$16:$E$17)*(INDEX($C$23:$N$23,MONTH($B46))-INDEX($C$21:$N$21,MONTH($B46)))+_xlfn.XLOOKUP($C46,$C$16:$C$17,$F$16:$F$17)*(INDEX($C$24:$N$24,MONTH($B46))-INDEX($C$22:$N$22,MONTH($B46))),IF($D46,0,""))</f>
        <v/>
      </c>
      <c r="P46" s="55" t="str">
        <f>IF($D46,IF(_xlfn.XLOOKUP($C46,tbl_Class[class],tbl_Class[weather_model])="yes",(K46-E46)*H46*I46,0),"")</f>
        <v/>
      </c>
      <c r="Q46" s="55" t="str">
        <f>IF($D46,IF(_xlfn.XLOOKUP($C46,tbl_Class[class],tbl_Class[weather_model])="yes",K46*O46*I46,0),"")</f>
        <v/>
      </c>
      <c r="R46" s="55" t="str" cm="1">
        <f t="array" ref="R46">IF($D46,IF(_xlfn.XLOOKUP($C46,tbl_Class[class],tbl_Class[weather_model])="yes",K46*(SAFEDIV(L46,K46)-H46-O46)*I46,(L46-G46)*I46),"")</f>
        <v/>
      </c>
      <c r="S46" s="55" t="str">
        <f t="shared" si="3"/>
        <v/>
      </c>
      <c r="T46" s="67" t="str">
        <f t="shared" si="4"/>
        <v/>
      </c>
    </row>
    <row r="47" spans="2:20" x14ac:dyDescent="0.3">
      <c r="B47" s="79">
        <f>DATE(PlanYear,MOD(ROWS($B$28:B47)-1,12)+1,1)</f>
        <v>46235</v>
      </c>
      <c r="C47" t="s">
        <v>95</v>
      </c>
      <c r="D47" t="b">
        <f>MONTH($B47)&lt;=PlanClosed</f>
        <v>0</v>
      </c>
      <c r="E47" s="54">
        <f t="shared" si="1"/>
        <v>110256.68930700772</v>
      </c>
      <c r="F47" s="81" cm="1">
        <f t="array" ref="F47">IF(_xlfn.XLOOKUP($C47,tbl_Class[class],tbl_Class[weather_model])="yes",_xlfn.XLOOKUP($C47,$C$16:$C$17,$D$16:$D$17)+_xlfn.XLOOKUP($C47,$C$16:$C$17,$E$16:$E$17)*INDEX($C$21:$N$21,MONTH($B47))+_xlfn.XLOOKUP($C47,$C$16:$C$17,$F$16:$F$17)*INDEX($C$22:$N$22,MONTH($B47))+_xlfn.XLOOKUP($C47,$C$16:$C$17,$G$16:$G$17)*TRENDYEARS($B47),"")</f>
        <v>5.2609475794592555</v>
      </c>
      <c r="G47" s="54">
        <f>IF(_xlfn.XLOOKUP($C47,tbl_Class[class],tbl_Class[weather_model])="yes",E47*F47,SUMIFS(tbl_Monthly[mwh],tbl_Monthly[class],$C47,tbl_Monthly[month],EDATE($B47,-12))*_xlfn.XLOOKUP($C47,$C$9:$C$12,$I$9:$I$12))</f>
        <v>580054.66272889345</v>
      </c>
      <c r="H47" s="81" cm="1">
        <f t="array" ref="H47">SAFEDIV(G47,E47)</f>
        <v>5.2609475794592555</v>
      </c>
      <c r="I47" s="58" cm="1">
        <f t="array" ref="I47">SAFEDIV(SUMIFS(tbl_Monthly[revenue],tbl_Monthly[class],$C47,tbl_Monthly[month],EDATE($B47,-12)),SUMIFS(tbl_Monthly[mwh],tbl_Monthly[class],$C47,tbl_Monthly[month],EDATE($B47,-12)))*_xlfn.XLOOKUP($C47,$C$9:$C$12,$L$9:$L$12)</f>
        <v>155.2186564939129</v>
      </c>
      <c r="J47" s="54">
        <f t="shared" si="2"/>
        <v>90035305.441808611</v>
      </c>
      <c r="K47" s="54" t="str">
        <f>IF($D47,SUMIFS(tbl_Monthly[customers],tbl_Monthly[class],$C47,tbl_Monthly[month],$B47),"")</f>
        <v/>
      </c>
      <c r="L47" s="54" t="str">
        <f>IF($D47,SUMIFS(tbl_Monthly[mwh],tbl_Monthly[class],$C47,tbl_Monthly[month],$B47),"")</f>
        <v/>
      </c>
      <c r="M47" s="54" t="str">
        <f>IF($D47,SUMIFS(tbl_Monthly[revenue],tbl_Monthly[class],$C47,tbl_Monthly[month],$B47),"")</f>
        <v/>
      </c>
      <c r="N47" s="58" t="str" cm="1">
        <f t="array" ref="N47">IF($D47,SAFEDIV(M47,L47),"")</f>
        <v/>
      </c>
      <c r="O47" s="84" t="str" cm="1">
        <f t="array" ref="O47">IF(AND($D47,_xlfn.XLOOKUP($C47,tbl_Class[class],tbl_Class[weather_model])="yes"),_xlfn.XLOOKUP($C47,$C$16:$C$17,$E$16:$E$17)*(INDEX($C$23:$N$23,MONTH($B47))-INDEX($C$21:$N$21,MONTH($B47)))+_xlfn.XLOOKUP($C47,$C$16:$C$17,$F$16:$F$17)*(INDEX($C$24:$N$24,MONTH($B47))-INDEX($C$22:$N$22,MONTH($B47))),IF($D47,0,""))</f>
        <v/>
      </c>
      <c r="P47" s="55" t="str">
        <f>IF($D47,IF(_xlfn.XLOOKUP($C47,tbl_Class[class],tbl_Class[weather_model])="yes",(K47-E47)*H47*I47,0),"")</f>
        <v/>
      </c>
      <c r="Q47" s="55" t="str">
        <f>IF($D47,IF(_xlfn.XLOOKUP($C47,tbl_Class[class],tbl_Class[weather_model])="yes",K47*O47*I47,0),"")</f>
        <v/>
      </c>
      <c r="R47" s="55" t="str" cm="1">
        <f t="array" ref="R47">IF($D47,IF(_xlfn.XLOOKUP($C47,tbl_Class[class],tbl_Class[weather_model])="yes",K47*(SAFEDIV(L47,K47)-H47-O47)*I47,(L47-G47)*I47),"")</f>
        <v/>
      </c>
      <c r="S47" s="55" t="str">
        <f t="shared" si="3"/>
        <v/>
      </c>
      <c r="T47" s="67" t="str">
        <f t="shared" si="4"/>
        <v/>
      </c>
    </row>
    <row r="48" spans="2:20" x14ac:dyDescent="0.3">
      <c r="B48" s="79">
        <f>DATE(PlanYear,MOD(ROWS($B$28:B48)-1,12)+1,1)</f>
        <v>46266</v>
      </c>
      <c r="C48" t="s">
        <v>95</v>
      </c>
      <c r="D48" t="b">
        <f>MONTH($B48)&lt;=PlanClosed</f>
        <v>0</v>
      </c>
      <c r="E48" s="54">
        <f t="shared" si="1"/>
        <v>110262.27674435469</v>
      </c>
      <c r="F48" s="81" cm="1">
        <f t="array" ref="F48">IF(_xlfn.XLOOKUP($C48,tbl_Class[class],tbl_Class[weather_model])="yes",_xlfn.XLOOKUP($C48,$C$16:$C$17,$D$16:$D$17)+_xlfn.XLOOKUP($C48,$C$16:$C$17,$E$16:$E$17)*INDEX($C$21:$N$21,MONTH($B48))+_xlfn.XLOOKUP($C48,$C$16:$C$17,$F$16:$F$17)*INDEX($C$22:$N$22,MONTH($B48))+_xlfn.XLOOKUP($C48,$C$16:$C$17,$G$16:$G$17)*TRENDYEARS($B48),"")</f>
        <v>4.6147595153580294</v>
      </c>
      <c r="G48" s="54">
        <f>IF(_xlfn.XLOOKUP($C48,tbl_Class[class],tbl_Class[weather_model])="yes",E48*F48,SUMIFS(tbl_Monthly[mwh],tbl_Monthly[class],$C48,tbl_Monthly[month],EDATE($B48,-12))*_xlfn.XLOOKUP($C48,$C$9:$C$12,$I$9:$I$12))</f>
        <v>508833.89079105115</v>
      </c>
      <c r="H48" s="81" cm="1">
        <f t="array" ref="H48">SAFEDIV(G48,E48)</f>
        <v>4.6147595153580294</v>
      </c>
      <c r="I48" s="58" cm="1">
        <f t="array" ref="I48">SAFEDIV(SUMIFS(tbl_Monthly[revenue],tbl_Monthly[class],$C48,tbl_Monthly[month],EDATE($B48,-12)),SUMIFS(tbl_Monthly[mwh],tbl_Monthly[class],$C48,tbl_Monthly[month],EDATE($B48,-12)))*_xlfn.XLOOKUP($C48,$C$9:$C$12,$L$9:$L$12)</f>
        <v>156.87669562285279</v>
      </c>
      <c r="J48" s="54">
        <f t="shared" si="2"/>
        <v>79824179.40821965</v>
      </c>
      <c r="K48" s="54" t="str">
        <f>IF($D48,SUMIFS(tbl_Monthly[customers],tbl_Monthly[class],$C48,tbl_Monthly[month],$B48),"")</f>
        <v/>
      </c>
      <c r="L48" s="54" t="str">
        <f>IF($D48,SUMIFS(tbl_Monthly[mwh],tbl_Monthly[class],$C48,tbl_Monthly[month],$B48),"")</f>
        <v/>
      </c>
      <c r="M48" s="54" t="str">
        <f>IF($D48,SUMIFS(tbl_Monthly[revenue],tbl_Monthly[class],$C48,tbl_Monthly[month],$B48),"")</f>
        <v/>
      </c>
      <c r="N48" s="58" t="str" cm="1">
        <f t="array" ref="N48">IF($D48,SAFEDIV(M48,L48),"")</f>
        <v/>
      </c>
      <c r="O48" s="84" t="str" cm="1">
        <f t="array" ref="O48">IF(AND($D48,_xlfn.XLOOKUP($C48,tbl_Class[class],tbl_Class[weather_model])="yes"),_xlfn.XLOOKUP($C48,$C$16:$C$17,$E$16:$E$17)*(INDEX($C$23:$N$23,MONTH($B48))-INDEX($C$21:$N$21,MONTH($B48)))+_xlfn.XLOOKUP($C48,$C$16:$C$17,$F$16:$F$17)*(INDEX($C$24:$N$24,MONTH($B48))-INDEX($C$22:$N$22,MONTH($B48))),IF($D48,0,""))</f>
        <v/>
      </c>
      <c r="P48" s="55" t="str">
        <f>IF($D48,IF(_xlfn.XLOOKUP($C48,tbl_Class[class],tbl_Class[weather_model])="yes",(K48-E48)*H48*I48,0),"")</f>
        <v/>
      </c>
      <c r="Q48" s="55" t="str">
        <f>IF($D48,IF(_xlfn.XLOOKUP($C48,tbl_Class[class],tbl_Class[weather_model])="yes",K48*O48*I48,0),"")</f>
        <v/>
      </c>
      <c r="R48" s="55" t="str" cm="1">
        <f t="array" ref="R48">IF($D48,IF(_xlfn.XLOOKUP($C48,tbl_Class[class],tbl_Class[weather_model])="yes",K48*(SAFEDIV(L48,K48)-H48-O48)*I48,(L48-G48)*I48),"")</f>
        <v/>
      </c>
      <c r="S48" s="55" t="str">
        <f t="shared" si="3"/>
        <v/>
      </c>
      <c r="T48" s="67" t="str">
        <f t="shared" si="4"/>
        <v/>
      </c>
    </row>
    <row r="49" spans="2:20" x14ac:dyDescent="0.3">
      <c r="B49" s="79">
        <f>DATE(PlanYear,MOD(ROWS($B$28:B49)-1,12)+1,1)</f>
        <v>46296</v>
      </c>
      <c r="C49" t="s">
        <v>95</v>
      </c>
      <c r="D49" t="b">
        <f>MONTH($B49)&lt;=PlanClosed</f>
        <v>0</v>
      </c>
      <c r="E49" s="54">
        <f t="shared" si="1"/>
        <v>110267.86446485415</v>
      </c>
      <c r="F49" s="81" cm="1">
        <f t="array" ref="F49">IF(_xlfn.XLOOKUP($C49,tbl_Class[class],tbl_Class[weather_model])="yes",_xlfn.XLOOKUP($C49,$C$16:$C$17,$D$16:$D$17)+_xlfn.XLOOKUP($C49,$C$16:$C$17,$E$16:$E$17)*INDEX($C$21:$N$21,MONTH($B49))+_xlfn.XLOOKUP($C49,$C$16:$C$17,$F$16:$F$17)*INDEX($C$22:$N$22,MONTH($B49))+_xlfn.XLOOKUP($C49,$C$16:$C$17,$G$16:$G$17)*TRENDYEARS($B49),"")</f>
        <v>4.5084190267218407</v>
      </c>
      <c r="G49" s="54">
        <f>IF(_xlfn.XLOOKUP($C49,tbl_Class[class],tbl_Class[weather_model])="yes",E49*F49,SUMIFS(tbl_Monthly[mwh],tbl_Monthly[class],$C49,tbl_Monthly[month],EDATE($B49,-12))*_xlfn.XLOOKUP($C49,$C$9:$C$12,$I$9:$I$12))</f>
        <v>497133.73818933358</v>
      </c>
      <c r="H49" s="81" cm="1">
        <f t="array" ref="H49">SAFEDIV(G49,E49)</f>
        <v>4.5084190267218407</v>
      </c>
      <c r="I49" s="58" cm="1">
        <f t="array" ref="I49">SAFEDIV(SUMIFS(tbl_Monthly[revenue],tbl_Monthly[class],$C49,tbl_Monthly[month],EDATE($B49,-12)),SUMIFS(tbl_Monthly[mwh],tbl_Monthly[class],$C49,tbl_Monthly[month],EDATE($B49,-12)))*_xlfn.XLOOKUP($C49,$C$9:$C$12,$L$9:$L$12)</f>
        <v>159.34263557304274</v>
      </c>
      <c r="J49" s="54">
        <f t="shared" si="2"/>
        <v>79214600.075367421</v>
      </c>
      <c r="K49" s="54" t="str">
        <f>IF($D49,SUMIFS(tbl_Monthly[customers],tbl_Monthly[class],$C49,tbl_Monthly[month],$B49),"")</f>
        <v/>
      </c>
      <c r="L49" s="54" t="str">
        <f>IF($D49,SUMIFS(tbl_Monthly[mwh],tbl_Monthly[class],$C49,tbl_Monthly[month],$B49),"")</f>
        <v/>
      </c>
      <c r="M49" s="54" t="str">
        <f>IF($D49,SUMIFS(tbl_Monthly[revenue],tbl_Monthly[class],$C49,tbl_Monthly[month],$B49),"")</f>
        <v/>
      </c>
      <c r="N49" s="58" t="str" cm="1">
        <f t="array" ref="N49">IF($D49,SAFEDIV(M49,L49),"")</f>
        <v/>
      </c>
      <c r="O49" s="84" t="str" cm="1">
        <f t="array" ref="O49">IF(AND($D49,_xlfn.XLOOKUP($C49,tbl_Class[class],tbl_Class[weather_model])="yes"),_xlfn.XLOOKUP($C49,$C$16:$C$17,$E$16:$E$17)*(INDEX($C$23:$N$23,MONTH($B49))-INDEX($C$21:$N$21,MONTH($B49)))+_xlfn.XLOOKUP($C49,$C$16:$C$17,$F$16:$F$17)*(INDEX($C$24:$N$24,MONTH($B49))-INDEX($C$22:$N$22,MONTH($B49))),IF($D49,0,""))</f>
        <v/>
      </c>
      <c r="P49" s="55" t="str">
        <f>IF($D49,IF(_xlfn.XLOOKUP($C49,tbl_Class[class],tbl_Class[weather_model])="yes",(K49-E49)*H49*I49,0),"")</f>
        <v/>
      </c>
      <c r="Q49" s="55" t="str">
        <f>IF($D49,IF(_xlfn.XLOOKUP($C49,tbl_Class[class],tbl_Class[weather_model])="yes",K49*O49*I49,0),"")</f>
        <v/>
      </c>
      <c r="R49" s="55" t="str" cm="1">
        <f t="array" ref="R49">IF($D49,IF(_xlfn.XLOOKUP($C49,tbl_Class[class],tbl_Class[weather_model])="yes",K49*(SAFEDIV(L49,K49)-H49-O49)*I49,(L49-G49)*I49),"")</f>
        <v/>
      </c>
      <c r="S49" s="55" t="str">
        <f t="shared" si="3"/>
        <v/>
      </c>
      <c r="T49" s="67" t="str">
        <f t="shared" si="4"/>
        <v/>
      </c>
    </row>
    <row r="50" spans="2:20" x14ac:dyDescent="0.3">
      <c r="B50" s="79">
        <f>DATE(PlanYear,MOD(ROWS($B$28:B50)-1,12)+1,1)</f>
        <v>46327</v>
      </c>
      <c r="C50" t="s">
        <v>95</v>
      </c>
      <c r="D50" t="b">
        <f>MONTH($B50)&lt;=PlanClosed</f>
        <v>0</v>
      </c>
      <c r="E50" s="54">
        <f t="shared" si="1"/>
        <v>110273.45246852042</v>
      </c>
      <c r="F50" s="81" cm="1">
        <f t="array" ref="F50">IF(_xlfn.XLOOKUP($C50,tbl_Class[class],tbl_Class[weather_model])="yes",_xlfn.XLOOKUP($C50,$C$16:$C$17,$D$16:$D$17)+_xlfn.XLOOKUP($C50,$C$16:$C$17,$E$16:$E$17)*INDEX($C$21:$N$21,MONTH($B50))+_xlfn.XLOOKUP($C50,$C$16:$C$17,$F$16:$F$17)*INDEX($C$22:$N$22,MONTH($B50))+_xlfn.XLOOKUP($C50,$C$16:$C$17,$G$16:$G$17)*TRENDYEARS($B50),"")</f>
        <v>4.6394557522326085</v>
      </c>
      <c r="G50" s="54">
        <f>IF(_xlfn.XLOOKUP($C50,tbl_Class[class],tbl_Class[weather_model])="yes",E50*F50,SUMIFS(tbl_Monthly[mwh],tbl_Monthly[class],$C50,tbl_Monthly[month],EDATE($B50,-12))*_xlfn.XLOOKUP($C50,$C$9:$C$12,$I$9:$I$12))</f>
        <v>511608.8033736262</v>
      </c>
      <c r="H50" s="81" cm="1">
        <f t="array" ref="H50">SAFEDIV(G50,E50)</f>
        <v>4.6394557522326085</v>
      </c>
      <c r="I50" s="58" cm="1">
        <f t="array" ref="I50">SAFEDIV(SUMIFS(tbl_Monthly[revenue],tbl_Monthly[class],$C50,tbl_Monthly[month],EDATE($B50,-12)),SUMIFS(tbl_Monthly[mwh],tbl_Monthly[class],$C50,tbl_Monthly[month],EDATE($B50,-12)))*_xlfn.XLOOKUP($C50,$C$9:$C$12,$L$9:$L$12)</f>
        <v>162.90690364402903</v>
      </c>
      <c r="J50" s="54">
        <f t="shared" si="2"/>
        <v>83344606.034624323</v>
      </c>
      <c r="K50" s="54" t="str">
        <f>IF($D50,SUMIFS(tbl_Monthly[customers],tbl_Monthly[class],$C50,tbl_Monthly[month],$B50),"")</f>
        <v/>
      </c>
      <c r="L50" s="54" t="str">
        <f>IF($D50,SUMIFS(tbl_Monthly[mwh],tbl_Monthly[class],$C50,tbl_Monthly[month],$B50),"")</f>
        <v/>
      </c>
      <c r="M50" s="54" t="str">
        <f>IF($D50,SUMIFS(tbl_Monthly[revenue],tbl_Monthly[class],$C50,tbl_Monthly[month],$B50),"")</f>
        <v/>
      </c>
      <c r="N50" s="58" t="str" cm="1">
        <f t="array" ref="N50">IF($D50,SAFEDIV(M50,L50),"")</f>
        <v/>
      </c>
      <c r="O50" s="84" t="str" cm="1">
        <f t="array" ref="O50">IF(AND($D50,_xlfn.XLOOKUP($C50,tbl_Class[class],tbl_Class[weather_model])="yes"),_xlfn.XLOOKUP($C50,$C$16:$C$17,$E$16:$E$17)*(INDEX($C$23:$N$23,MONTH($B50))-INDEX($C$21:$N$21,MONTH($B50)))+_xlfn.XLOOKUP($C50,$C$16:$C$17,$F$16:$F$17)*(INDEX($C$24:$N$24,MONTH($B50))-INDEX($C$22:$N$22,MONTH($B50))),IF($D50,0,""))</f>
        <v/>
      </c>
      <c r="P50" s="55" t="str">
        <f>IF($D50,IF(_xlfn.XLOOKUP($C50,tbl_Class[class],tbl_Class[weather_model])="yes",(K50-E50)*H50*I50,0),"")</f>
        <v/>
      </c>
      <c r="Q50" s="55" t="str">
        <f>IF($D50,IF(_xlfn.XLOOKUP($C50,tbl_Class[class],tbl_Class[weather_model])="yes",K50*O50*I50,0),"")</f>
        <v/>
      </c>
      <c r="R50" s="55" t="str" cm="1">
        <f t="array" ref="R50">IF($D50,IF(_xlfn.XLOOKUP($C50,tbl_Class[class],tbl_Class[weather_model])="yes",K50*(SAFEDIV(L50,K50)-H50-O50)*I50,(L50-G50)*I50),"")</f>
        <v/>
      </c>
      <c r="S50" s="55" t="str">
        <f t="shared" si="3"/>
        <v/>
      </c>
      <c r="T50" s="67" t="str">
        <f t="shared" si="4"/>
        <v/>
      </c>
    </row>
    <row r="51" spans="2:20" x14ac:dyDescent="0.3">
      <c r="B51" s="90">
        <f>DATE(PlanYear,MOD(ROWS($B$28:B51)-1,12)+1,1)</f>
        <v>46357</v>
      </c>
      <c r="C51" s="91" t="s">
        <v>95</v>
      </c>
      <c r="D51" s="91" t="b">
        <f>MONTH($B51)&lt;=PlanClosed</f>
        <v>0</v>
      </c>
      <c r="E51" s="92">
        <f t="shared" si="1"/>
        <v>110279.04075536791</v>
      </c>
      <c r="F51" s="93" cm="1">
        <f t="array" ref="F51">IF(_xlfn.XLOOKUP($C51,tbl_Class[class],tbl_Class[weather_model])="yes",_xlfn.XLOOKUP($C51,$C$16:$C$17,$D$16:$D$17)+_xlfn.XLOOKUP($C51,$C$16:$C$17,$E$16:$E$17)*INDEX($C$21:$N$21,MONTH($B51))+_xlfn.XLOOKUP($C51,$C$16:$C$17,$F$16:$F$17)*INDEX($C$22:$N$22,MONTH($B51))+_xlfn.XLOOKUP($C51,$C$16:$C$17,$G$16:$G$17)*TRENDYEARS($B51),"")</f>
        <v>4.7343055007523747</v>
      </c>
      <c r="G51" s="92">
        <f>IF(_xlfn.XLOOKUP($C51,tbl_Class[class],tbl_Class[weather_model])="yes",E51*F51,SUMIFS(tbl_Monthly[mwh],tbl_Monthly[class],$C51,tbl_Monthly[month],EDATE($B51,-12))*_xlfn.XLOOKUP($C51,$C$9:$C$12,$I$9:$I$12))</f>
        <v>522094.66926583363</v>
      </c>
      <c r="H51" s="93" cm="1">
        <f t="array" ref="H51">SAFEDIV(G51,E51)</f>
        <v>4.7343055007523747</v>
      </c>
      <c r="I51" s="94" cm="1">
        <f t="array" ref="I51">SAFEDIV(SUMIFS(tbl_Monthly[revenue],tbl_Monthly[class],$C51,tbl_Monthly[month],EDATE($B51,-12)),SUMIFS(tbl_Monthly[mwh],tbl_Monthly[class],$C51,tbl_Monthly[month],EDATE($B51,-12)))*_xlfn.XLOOKUP($C51,$C$9:$C$12,$L$9:$L$12)</f>
        <v>157.57666919832019</v>
      </c>
      <c r="J51" s="92">
        <f t="shared" si="2"/>
        <v>82269938.989108652</v>
      </c>
      <c r="K51" s="92" t="str">
        <f>IF($D51,SUMIFS(tbl_Monthly[customers],tbl_Monthly[class],$C51,tbl_Monthly[month],$B51),"")</f>
        <v/>
      </c>
      <c r="L51" s="92" t="str">
        <f>IF($D51,SUMIFS(tbl_Monthly[mwh],tbl_Monthly[class],$C51,tbl_Monthly[month],$B51),"")</f>
        <v/>
      </c>
      <c r="M51" s="92" t="str">
        <f>IF($D51,SUMIFS(tbl_Monthly[revenue],tbl_Monthly[class],$C51,tbl_Monthly[month],$B51),"")</f>
        <v/>
      </c>
      <c r="N51" s="94" t="str" cm="1">
        <f t="array" ref="N51">IF($D51,SAFEDIV(M51,L51),"")</f>
        <v/>
      </c>
      <c r="O51" s="95" t="str" cm="1">
        <f t="array" ref="O51">IF(AND($D51,_xlfn.XLOOKUP($C51,tbl_Class[class],tbl_Class[weather_model])="yes"),_xlfn.XLOOKUP($C51,$C$16:$C$17,$E$16:$E$17)*(INDEX($C$23:$N$23,MONTH($B51))-INDEX($C$21:$N$21,MONTH($B51)))+_xlfn.XLOOKUP($C51,$C$16:$C$17,$F$16:$F$17)*(INDEX($C$24:$N$24,MONTH($B51))-INDEX($C$22:$N$22,MONTH($B51))),IF($D51,0,""))</f>
        <v/>
      </c>
      <c r="P51" s="96" t="str">
        <f>IF($D51,IF(_xlfn.XLOOKUP($C51,tbl_Class[class],tbl_Class[weather_model])="yes",(K51-E51)*H51*I51,0),"")</f>
        <v/>
      </c>
      <c r="Q51" s="96" t="str">
        <f>IF($D51,IF(_xlfn.XLOOKUP($C51,tbl_Class[class],tbl_Class[weather_model])="yes",K51*O51*I51,0),"")</f>
        <v/>
      </c>
      <c r="R51" s="96" t="str" cm="1">
        <f t="array" ref="R51">IF($D51,IF(_xlfn.XLOOKUP($C51,tbl_Class[class],tbl_Class[weather_model])="yes",K51*(SAFEDIV(L51,K51)-H51-O51)*I51,(L51-G51)*I51),"")</f>
        <v/>
      </c>
      <c r="S51" s="96" t="str">
        <f t="shared" si="3"/>
        <v/>
      </c>
      <c r="T51" s="97" t="str">
        <f t="shared" si="4"/>
        <v/>
      </c>
    </row>
    <row r="52" spans="2:20" x14ac:dyDescent="0.3">
      <c r="B52" s="79">
        <f>DATE(PlanYear,MOD(ROWS($B$28:B52)-1,12)+1,1)</f>
        <v>46023</v>
      </c>
      <c r="C52" t="s">
        <v>97</v>
      </c>
      <c r="D52" t="b">
        <f>MONTH($B52)&lt;=PlanClosed</f>
        <v>1</v>
      </c>
      <c r="E52" s="54">
        <f t="shared" si="1"/>
        <v>4321.8102141031113</v>
      </c>
      <c r="F52" s="81" t="str" cm="1">
        <f t="array" ref="F52">IF(_xlfn.XLOOKUP($C52,tbl_Class[class],tbl_Class[weather_model])="yes",_xlfn.XLOOKUP($C52,$C$16:$C$17,$D$16:$D$17)+_xlfn.XLOOKUP($C52,$C$16:$C$17,$E$16:$E$17)*INDEX($C$21:$N$21,MONTH($B52))+_xlfn.XLOOKUP($C52,$C$16:$C$17,$F$16:$F$17)*INDEX($C$22:$N$22,MONTH($B52))+_xlfn.XLOOKUP($C52,$C$16:$C$17,$G$16:$G$17)*TRENDYEARS($B52),"")</f>
        <v/>
      </c>
      <c r="G52" s="54">
        <f>IF(_xlfn.XLOOKUP($C52,tbl_Class[class],tbl_Class[weather_model])="yes",E52*F52,SUMIFS(tbl_Monthly[mwh],tbl_Monthly[class],$C52,tbl_Monthly[month],EDATE($B52,-12))*_xlfn.XLOOKUP($C52,$C$9:$C$12,$I$9:$I$12))</f>
        <v>591715.44318004581</v>
      </c>
      <c r="H52" s="81" cm="1">
        <f t="array" ref="H52">SAFEDIV(G52,E52)</f>
        <v>136.91379627201937</v>
      </c>
      <c r="I52" s="58" cm="1">
        <f t="array" ref="I52">SAFEDIV(SUMIFS(tbl_Monthly[revenue],tbl_Monthly[class],$C52,tbl_Monthly[month],EDATE($B52,-12)),SUMIFS(tbl_Monthly[mwh],tbl_Monthly[class],$C52,tbl_Monthly[month],EDATE($B52,-12)))*_xlfn.XLOOKUP($C52,$C$9:$C$12,$L$9:$L$12)</f>
        <v>93.408642883238372</v>
      </c>
      <c r="J52" s="54">
        <f t="shared" si="2"/>
        <v>55271336.520502023</v>
      </c>
      <c r="K52" s="54">
        <f>IF($D52,SUMIFS(tbl_Monthly[customers],tbl_Monthly[class],$C52,tbl_Monthly[month],$B52),"")</f>
        <v>4310</v>
      </c>
      <c r="L52" s="54">
        <f>IF($D52,SUMIFS(tbl_Monthly[mwh],tbl_Monthly[class],$C52,tbl_Monthly[month],$B52),"")</f>
        <v>519616.38</v>
      </c>
      <c r="M52" s="54">
        <f>IF($D52,SUMIFS(tbl_Monthly[revenue],tbl_Monthly[class],$C52,tbl_Monthly[month],$B52),"")</f>
        <v>46629218</v>
      </c>
      <c r="N52" s="58" cm="1">
        <f t="array" ref="N52">IF($D52,SAFEDIV(M52,L52),"")</f>
        <v>89.737775394994287</v>
      </c>
      <c r="O52" s="84" cm="1">
        <f t="array" ref="O52">IF(AND($D52,_xlfn.XLOOKUP($C52,tbl_Class[class],tbl_Class[weather_model])="yes"),_xlfn.XLOOKUP($C52,$C$16:$C$17,$E$16:$E$17)*(INDEX($C$23:$N$23,MONTH($B52))-INDEX($C$21:$N$21,MONTH($B52)))+_xlfn.XLOOKUP($C52,$C$16:$C$17,$F$16:$F$17)*(INDEX($C$24:$N$24,MONTH($B52))-INDEX($C$22:$N$22,MONTH($B52))),IF($D52,0,""))</f>
        <v>0</v>
      </c>
      <c r="P52" s="55">
        <f>IF($D52,IF(_xlfn.XLOOKUP($C52,tbl_Class[class],tbl_Class[weather_model])="yes",(K52-E52)*H52*I52,0),"")</f>
        <v>0</v>
      </c>
      <c r="Q52" s="55">
        <f>IF($D52,IF(_xlfn.XLOOKUP($C52,tbl_Class[class],tbl_Class[weather_model])="yes",K52*O52*I52,0),"")</f>
        <v>0</v>
      </c>
      <c r="R52" s="55" cm="1">
        <f t="array" ref="R52">IF($D52,IF(_xlfn.XLOOKUP($C52,tbl_Class[class],tbl_Class[weather_model])="yes",K52*(SAFEDIV(L52,K52)-H52-O52)*I52,(L52-G52)*I52),"")</f>
        <v>-6734675.6448009396</v>
      </c>
      <c r="S52" s="55">
        <f t="shared" si="3"/>
        <v>-1907442.8757010838</v>
      </c>
      <c r="T52" s="67">
        <f t="shared" si="4"/>
        <v>0</v>
      </c>
    </row>
    <row r="53" spans="2:20" x14ac:dyDescent="0.3">
      <c r="B53" s="79">
        <f>DATE(PlanYear,MOD(ROWS($B$28:B53)-1,12)+1,1)</f>
        <v>46054</v>
      </c>
      <c r="C53" t="s">
        <v>97</v>
      </c>
      <c r="D53" t="b">
        <f>MONTH($B53)&lt;=PlanClosed</f>
        <v>1</v>
      </c>
      <c r="E53" s="54">
        <f t="shared" si="1"/>
        <v>4331.6427473854319</v>
      </c>
      <c r="F53" s="81" t="str" cm="1">
        <f t="array" ref="F53">IF(_xlfn.XLOOKUP($C53,tbl_Class[class],tbl_Class[weather_model])="yes",_xlfn.XLOOKUP($C53,$C$16:$C$17,$D$16:$D$17)+_xlfn.XLOOKUP($C53,$C$16:$C$17,$E$16:$E$17)*INDEX($C$21:$N$21,MONTH($B53))+_xlfn.XLOOKUP($C53,$C$16:$C$17,$F$16:$F$17)*INDEX($C$22:$N$22,MONTH($B53))+_xlfn.XLOOKUP($C53,$C$16:$C$17,$G$16:$G$17)*TRENDYEARS($B53),"")</f>
        <v/>
      </c>
      <c r="G53" s="54">
        <f>IF(_xlfn.XLOOKUP($C53,tbl_Class[class],tbl_Class[weather_model])="yes",E53*F53,SUMIFS(tbl_Monthly[mwh],tbl_Monthly[class],$C53,tbl_Monthly[month],EDATE($B53,-12))*_xlfn.XLOOKUP($C53,$C$9:$C$12,$I$9:$I$12))</f>
        <v>500778.98181511514</v>
      </c>
      <c r="H53" s="81" cm="1">
        <f t="array" ref="H53">SAFEDIV(G53,E53)</f>
        <v>115.60948375010474</v>
      </c>
      <c r="I53" s="58" cm="1">
        <f t="array" ref="I53">SAFEDIV(SUMIFS(tbl_Monthly[revenue],tbl_Monthly[class],$C53,tbl_Monthly[month],EDATE($B53,-12)),SUMIFS(tbl_Monthly[mwh],tbl_Monthly[class],$C53,tbl_Monthly[month],EDATE($B53,-12)))*_xlfn.XLOOKUP($C53,$C$9:$C$12,$L$9:$L$12)</f>
        <v>96.352229868610436</v>
      </c>
      <c r="J53" s="54">
        <f t="shared" si="2"/>
        <v>48251171.569218658</v>
      </c>
      <c r="K53" s="54">
        <f>IF($D53,SUMIFS(tbl_Monthly[customers],tbl_Monthly[class],$C53,tbl_Monthly[month],$B53),"")</f>
        <v>4303</v>
      </c>
      <c r="L53" s="54">
        <f>IF($D53,SUMIFS(tbl_Monthly[mwh],tbl_Monthly[class],$C53,tbl_Monthly[month],$B53),"")</f>
        <v>481164.26500000001</v>
      </c>
      <c r="M53" s="54">
        <f>IF($D53,SUMIFS(tbl_Monthly[revenue],tbl_Monthly[class],$C53,tbl_Monthly[month],$B53),"")</f>
        <v>43913196</v>
      </c>
      <c r="N53" s="58" cm="1">
        <f t="array" ref="N53">IF($D53,SAFEDIV(M53,L53),"")</f>
        <v>91.264458303028803</v>
      </c>
      <c r="O53" s="84" cm="1">
        <f t="array" ref="O53">IF(AND($D53,_xlfn.XLOOKUP($C53,tbl_Class[class],tbl_Class[weather_model])="yes"),_xlfn.XLOOKUP($C53,$C$16:$C$17,$E$16:$E$17)*(INDEX($C$23:$N$23,MONTH($B53))-INDEX($C$21:$N$21,MONTH($B53)))+_xlfn.XLOOKUP($C53,$C$16:$C$17,$F$16:$F$17)*(INDEX($C$24:$N$24,MONTH($B53))-INDEX($C$22:$N$22,MONTH($B53))),IF($D53,0,""))</f>
        <v>0</v>
      </c>
      <c r="P53" s="55">
        <f>IF($D53,IF(_xlfn.XLOOKUP($C53,tbl_Class[class],tbl_Class[weather_model])="yes",(K53-E53)*H53*I53,0),"")</f>
        <v>0</v>
      </c>
      <c r="Q53" s="55">
        <f>IF($D53,IF(_xlfn.XLOOKUP($C53,tbl_Class[class],tbl_Class[weather_model])="yes",K53*O53*I53,0),"")</f>
        <v>0</v>
      </c>
      <c r="R53" s="55" cm="1">
        <f t="array" ref="R53">IF($D53,IF(_xlfn.XLOOKUP($C53,tbl_Class[class],tbl_Class[weather_model])="yes",K53*(SAFEDIV(L53,K53)-H53-O53)*I53,(L53-G53)*I53),"")</f>
        <v>-1889921.7033776711</v>
      </c>
      <c r="S53" s="55">
        <f t="shared" si="3"/>
        <v>-2448053.8658409859</v>
      </c>
      <c r="T53" s="67">
        <f t="shared" si="4"/>
        <v>9.3132257461547852E-10</v>
      </c>
    </row>
    <row r="54" spans="2:20" x14ac:dyDescent="0.3">
      <c r="B54" s="79">
        <f>DATE(PlanYear,MOD(ROWS($B$28:B54)-1,12)+1,1)</f>
        <v>46082</v>
      </c>
      <c r="C54" t="s">
        <v>97</v>
      </c>
      <c r="D54" t="b">
        <f>MONTH($B54)&lt;=PlanClosed</f>
        <v>1</v>
      </c>
      <c r="E54" s="54">
        <f t="shared" si="1"/>
        <v>4341.4976506252387</v>
      </c>
      <c r="F54" s="81" t="str" cm="1">
        <f t="array" ref="F54">IF(_xlfn.XLOOKUP($C54,tbl_Class[class],tbl_Class[weather_model])="yes",_xlfn.XLOOKUP($C54,$C$16:$C$17,$D$16:$D$17)+_xlfn.XLOOKUP($C54,$C$16:$C$17,$E$16:$E$17)*INDEX($C$21:$N$21,MONTH($B54))+_xlfn.XLOOKUP($C54,$C$16:$C$17,$F$16:$F$17)*INDEX($C$22:$N$22,MONTH($B54))+_xlfn.XLOOKUP($C54,$C$16:$C$17,$G$16:$G$17)*TRENDYEARS($B54),"")</f>
        <v/>
      </c>
      <c r="G54" s="54">
        <f>IF(_xlfn.XLOOKUP($C54,tbl_Class[class],tbl_Class[weather_model])="yes",E54*F54,SUMIFS(tbl_Monthly[mwh],tbl_Monthly[class],$C54,tbl_Monthly[month],EDATE($B54,-12))*_xlfn.XLOOKUP($C54,$C$9:$C$12,$I$9:$I$12))</f>
        <v>547554.39386834949</v>
      </c>
      <c r="H54" s="81" cm="1">
        <f t="array" ref="H54">SAFEDIV(G54,E54)</f>
        <v>126.12108491858649</v>
      </c>
      <c r="I54" s="58" cm="1">
        <f t="array" ref="I54">SAFEDIV(SUMIFS(tbl_Monthly[revenue],tbl_Monthly[class],$C54,tbl_Monthly[month],EDATE($B54,-12)),SUMIFS(tbl_Monthly[mwh],tbl_Monthly[class],$C54,tbl_Monthly[month],EDATE($B54,-12)))*_xlfn.XLOOKUP($C54,$C$9:$C$12,$L$9:$L$12)</f>
        <v>96.455219947167961</v>
      </c>
      <c r="J54" s="54">
        <f t="shared" si="2"/>
        <v>52814479.493609883</v>
      </c>
      <c r="K54" s="54">
        <f>IF($D54,SUMIFS(tbl_Monthly[customers],tbl_Monthly[class],$C54,tbl_Monthly[month],$B54),"")</f>
        <v>4303</v>
      </c>
      <c r="L54" s="54">
        <f>IF($D54,SUMIFS(tbl_Monthly[mwh],tbl_Monthly[class],$C54,tbl_Monthly[month],$B54),"")</f>
        <v>527868.44499999995</v>
      </c>
      <c r="M54" s="54">
        <f>IF($D54,SUMIFS(tbl_Monthly[revenue],tbl_Monthly[class],$C54,tbl_Monthly[month],$B54),"")</f>
        <v>48486370</v>
      </c>
      <c r="N54" s="58" cm="1">
        <f t="array" ref="N54">IF($D54,SAFEDIV(M54,L54),"")</f>
        <v>91.853132081043427</v>
      </c>
      <c r="O54" s="84" cm="1">
        <f t="array" ref="O54">IF(AND($D54,_xlfn.XLOOKUP($C54,tbl_Class[class],tbl_Class[weather_model])="yes"),_xlfn.XLOOKUP($C54,$C$16:$C$17,$E$16:$E$17)*(INDEX($C$23:$N$23,MONTH($B54))-INDEX($C$21:$N$21,MONTH($B54)))+_xlfn.XLOOKUP($C54,$C$16:$C$17,$F$16:$F$17)*(INDEX($C$24:$N$24,MONTH($B54))-INDEX($C$22:$N$22,MONTH($B54))),IF($D54,0,""))</f>
        <v>0</v>
      </c>
      <c r="P54" s="55">
        <f>IF($D54,IF(_xlfn.XLOOKUP($C54,tbl_Class[class],tbl_Class[weather_model])="yes",(K54-E54)*H54*I54,0),"")</f>
        <v>0</v>
      </c>
      <c r="Q54" s="55">
        <f>IF($D54,IF(_xlfn.XLOOKUP($C54,tbl_Class[class],tbl_Class[weather_model])="yes",K54*O54*I54,0),"")</f>
        <v>0</v>
      </c>
      <c r="R54" s="55" cm="1">
        <f t="array" ref="R54">IF($D54,IF(_xlfn.XLOOKUP($C54,tbl_Class[class],tbl_Class[weather_model])="yes",K54*(SAFEDIV(L54,K54)-H54-O54)*I54,(L54-G54)*I54),"")</f>
        <v>-1898812.5279653575</v>
      </c>
      <c r="S54" s="55">
        <f t="shared" si="3"/>
        <v>-2429296.9656445263</v>
      </c>
      <c r="T54" s="67">
        <f t="shared" si="4"/>
        <v>-9.3132257461547852E-10</v>
      </c>
    </row>
    <row r="55" spans="2:20" x14ac:dyDescent="0.3">
      <c r="B55" s="79">
        <f>DATE(PlanYear,MOD(ROWS($B$28:B55)-1,12)+1,1)</f>
        <v>46113</v>
      </c>
      <c r="C55" t="s">
        <v>97</v>
      </c>
      <c r="D55" t="b">
        <f>MONTH($B55)&lt;=PlanClosed</f>
        <v>1</v>
      </c>
      <c r="E55" s="54">
        <f t="shared" si="1"/>
        <v>4351.3749747163301</v>
      </c>
      <c r="F55" s="81" t="str" cm="1">
        <f t="array" ref="F55">IF(_xlfn.XLOOKUP($C55,tbl_Class[class],tbl_Class[weather_model])="yes",_xlfn.XLOOKUP($C55,$C$16:$C$17,$D$16:$D$17)+_xlfn.XLOOKUP($C55,$C$16:$C$17,$E$16:$E$17)*INDEX($C$21:$N$21,MONTH($B55))+_xlfn.XLOOKUP($C55,$C$16:$C$17,$F$16:$F$17)*INDEX($C$22:$N$22,MONTH($B55))+_xlfn.XLOOKUP($C55,$C$16:$C$17,$G$16:$G$17)*TRENDYEARS($B55),"")</f>
        <v/>
      </c>
      <c r="G55" s="54">
        <f>IF(_xlfn.XLOOKUP($C55,tbl_Class[class],tbl_Class[weather_model])="yes",E55*F55,SUMIFS(tbl_Monthly[mwh],tbl_Monthly[class],$C55,tbl_Monthly[month],EDATE($B55,-12))*_xlfn.XLOOKUP($C55,$C$9:$C$12,$I$9:$I$12))</f>
        <v>541779.52674781799</v>
      </c>
      <c r="H55" s="81" cm="1">
        <f t="array" ref="H55">SAFEDIV(G55,E55)</f>
        <v>124.50766249652779</v>
      </c>
      <c r="I55" s="58" cm="1">
        <f t="array" ref="I55">SAFEDIV(SUMIFS(tbl_Monthly[revenue],tbl_Monthly[class],$C55,tbl_Monthly[month],EDATE($B55,-12)),SUMIFS(tbl_Monthly[mwh],tbl_Monthly[class],$C55,tbl_Monthly[month],EDATE($B55,-12)))*_xlfn.XLOOKUP($C55,$C$9:$C$12,$L$9:$L$12)</f>
        <v>95.601928873740576</v>
      </c>
      <c r="J55" s="54">
        <f t="shared" si="2"/>
        <v>51795167.781393722</v>
      </c>
      <c r="K55" s="54">
        <f>IF($D55,SUMIFS(tbl_Monthly[customers],tbl_Monthly[class],$C55,tbl_Monthly[month],$B55),"")</f>
        <v>4304</v>
      </c>
      <c r="L55" s="54">
        <f>IF($D55,SUMIFS(tbl_Monthly[mwh],tbl_Monthly[class],$C55,tbl_Monthly[month],$B55),"")</f>
        <v>569165.73899999994</v>
      </c>
      <c r="M55" s="54">
        <f>IF($D55,SUMIFS(tbl_Monthly[revenue],tbl_Monthly[class],$C55,tbl_Monthly[month],$B55),"")</f>
        <v>52052562</v>
      </c>
      <c r="N55" s="58" cm="1">
        <f t="array" ref="N55">IF($D55,SAFEDIV(M55,L55),"")</f>
        <v>91.454137930814568</v>
      </c>
      <c r="O55" s="84" cm="1">
        <f t="array" ref="O55">IF(AND($D55,_xlfn.XLOOKUP($C55,tbl_Class[class],tbl_Class[weather_model])="yes"),_xlfn.XLOOKUP($C55,$C$16:$C$17,$E$16:$E$17)*(INDEX($C$23:$N$23,MONTH($B55))-INDEX($C$21:$N$21,MONTH($B55)))+_xlfn.XLOOKUP($C55,$C$16:$C$17,$F$16:$F$17)*(INDEX($C$24:$N$24,MONTH($B55))-INDEX($C$22:$N$22,MONTH($B55))),IF($D55,0,""))</f>
        <v>0</v>
      </c>
      <c r="P55" s="55">
        <f>IF($D55,IF(_xlfn.XLOOKUP($C55,tbl_Class[class],tbl_Class[weather_model])="yes",(K55-E55)*H55*I55,0),"")</f>
        <v>0</v>
      </c>
      <c r="Q55" s="55">
        <f>IF($D55,IF(_xlfn.XLOOKUP($C55,tbl_Class[class],tbl_Class[weather_model])="yes",K55*O55*I55,0),"")</f>
        <v>0</v>
      </c>
      <c r="R55" s="55" cm="1">
        <f t="array" ref="R55">IF($D55,IF(_xlfn.XLOOKUP($C55,tbl_Class[class],tbl_Class[weather_model])="yes",K55*(SAFEDIV(L55,K55)-H55-O55)*I55,(L55-G55)*I55),"")</f>
        <v>2618174.715854262</v>
      </c>
      <c r="S55" s="55">
        <f t="shared" si="3"/>
        <v>-2360780.4972479879</v>
      </c>
      <c r="T55" s="67">
        <f t="shared" si="4"/>
        <v>-4.1909515857696533E-9</v>
      </c>
    </row>
    <row r="56" spans="2:20" x14ac:dyDescent="0.3">
      <c r="B56" s="79">
        <f>DATE(PlanYear,MOD(ROWS($B$28:B56)-1,12)+1,1)</f>
        <v>46143</v>
      </c>
      <c r="C56" t="s">
        <v>97</v>
      </c>
      <c r="D56" t="b">
        <f>MONTH($B56)&lt;=PlanClosed</f>
        <v>1</v>
      </c>
      <c r="E56" s="54">
        <f t="shared" si="1"/>
        <v>4361.2747706682994</v>
      </c>
      <c r="F56" s="81" t="str" cm="1">
        <f t="array" ref="F56">IF(_xlfn.XLOOKUP($C56,tbl_Class[class],tbl_Class[weather_model])="yes",_xlfn.XLOOKUP($C56,$C$16:$C$17,$D$16:$D$17)+_xlfn.XLOOKUP($C56,$C$16:$C$17,$E$16:$E$17)*INDEX($C$21:$N$21,MONTH($B56))+_xlfn.XLOOKUP($C56,$C$16:$C$17,$F$16:$F$17)*INDEX($C$22:$N$22,MONTH($B56))+_xlfn.XLOOKUP($C56,$C$16:$C$17,$G$16:$G$17)*TRENDYEARS($B56),"")</f>
        <v/>
      </c>
      <c r="G56" s="54">
        <f>IF(_xlfn.XLOOKUP($C56,tbl_Class[class],tbl_Class[weather_model])="yes",E56*F56,SUMIFS(tbl_Monthly[mwh],tbl_Monthly[class],$C56,tbl_Monthly[month],EDATE($B56,-12))*_xlfn.XLOOKUP($C56,$C$9:$C$12,$I$9:$I$12))</f>
        <v>565241.13729702798</v>
      </c>
      <c r="H56" s="81" cm="1">
        <f t="array" ref="H56">SAFEDIV(G56,E56)</f>
        <v>129.60456908116646</v>
      </c>
      <c r="I56" s="58" cm="1">
        <f t="array" ref="I56">SAFEDIV(SUMIFS(tbl_Monthly[revenue],tbl_Monthly[class],$C56,tbl_Monthly[month],EDATE($B56,-12)),SUMIFS(tbl_Monthly[mwh],tbl_Monthly[class],$C56,tbl_Monthly[month],EDATE($B56,-12)))*_xlfn.XLOOKUP($C56,$C$9:$C$12,$L$9:$L$12)</f>
        <v>97.896267552353308</v>
      </c>
      <c r="J56" s="54">
        <f t="shared" si="2"/>
        <v>55334997.608426318</v>
      </c>
      <c r="K56" s="54">
        <f>IF($D56,SUMIFS(tbl_Monthly[customers],tbl_Monthly[class],$C56,tbl_Monthly[month],$B56),"")</f>
        <v>4318</v>
      </c>
      <c r="L56" s="54">
        <f>IF($D56,SUMIFS(tbl_Monthly[mwh],tbl_Monthly[class],$C56,tbl_Monthly[month],$B56),"")</f>
        <v>549752.59199999995</v>
      </c>
      <c r="M56" s="54">
        <f>IF($D56,SUMIFS(tbl_Monthly[revenue],tbl_Monthly[class],$C56,tbl_Monthly[month],$B56),"")</f>
        <v>54607058</v>
      </c>
      <c r="N56" s="58" cm="1">
        <f t="array" ref="N56">IF($D56,SAFEDIV(M56,L56),"")</f>
        <v>99.330241993656671</v>
      </c>
      <c r="O56" s="84" cm="1">
        <f t="array" ref="O56">IF(AND($D56,_xlfn.XLOOKUP($C56,tbl_Class[class],tbl_Class[weather_model])="yes"),_xlfn.XLOOKUP($C56,$C$16:$C$17,$E$16:$E$17)*(INDEX($C$23:$N$23,MONTH($B56))-INDEX($C$21:$N$21,MONTH($B56)))+_xlfn.XLOOKUP($C56,$C$16:$C$17,$F$16:$F$17)*(INDEX($C$24:$N$24,MONTH($B56))-INDEX($C$22:$N$22,MONTH($B56))),IF($D56,0,""))</f>
        <v>0</v>
      </c>
      <c r="P56" s="55">
        <f>IF($D56,IF(_xlfn.XLOOKUP($C56,tbl_Class[class],tbl_Class[weather_model])="yes",(K56-E56)*H56*I56,0),"")</f>
        <v>0</v>
      </c>
      <c r="Q56" s="55">
        <f>IF($D56,IF(_xlfn.XLOOKUP($C56,tbl_Class[class],tbl_Class[weather_model])="yes",K56*O56*I56,0),"")</f>
        <v>0</v>
      </c>
      <c r="R56" s="55" cm="1">
        <f t="array" ref="R56">IF($D56,IF(_xlfn.XLOOKUP($C56,tbl_Class[class],tbl_Class[weather_model])="yes",K56*(SAFEDIV(L56,K56)-H56-O56)*I56,(L56-G56)*I56),"")</f>
        <v>-1516270.7743945997</v>
      </c>
      <c r="S56" s="55">
        <f t="shared" si="3"/>
        <v>788331.16596827551</v>
      </c>
      <c r="T56" s="67">
        <f t="shared" si="4"/>
        <v>-6.6356733441352844E-9</v>
      </c>
    </row>
    <row r="57" spans="2:20" x14ac:dyDescent="0.3">
      <c r="B57" s="79">
        <f>DATE(PlanYear,MOD(ROWS($B$28:B57)-1,12)+1,1)</f>
        <v>46174</v>
      </c>
      <c r="C57" t="s">
        <v>97</v>
      </c>
      <c r="D57" t="b">
        <f>MONTH($B57)&lt;=PlanClosed</f>
        <v>1</v>
      </c>
      <c r="E57" s="54">
        <f t="shared" si="1"/>
        <v>4371.1970896067869</v>
      </c>
      <c r="F57" s="81" t="str" cm="1">
        <f t="array" ref="F57">IF(_xlfn.XLOOKUP($C57,tbl_Class[class],tbl_Class[weather_model])="yes",_xlfn.XLOOKUP($C57,$C$16:$C$17,$D$16:$D$17)+_xlfn.XLOOKUP($C57,$C$16:$C$17,$E$16:$E$17)*INDEX($C$21:$N$21,MONTH($B57))+_xlfn.XLOOKUP($C57,$C$16:$C$17,$F$16:$F$17)*INDEX($C$22:$N$22,MONTH($B57))+_xlfn.XLOOKUP($C57,$C$16:$C$17,$G$16:$G$17)*TRENDYEARS($B57),"")</f>
        <v/>
      </c>
      <c r="G57" s="54">
        <f>IF(_xlfn.XLOOKUP($C57,tbl_Class[class],tbl_Class[weather_model])="yes",E57*F57,SUMIFS(tbl_Monthly[mwh],tbl_Monthly[class],$C57,tbl_Monthly[month],EDATE($B57,-12))*_xlfn.XLOOKUP($C57,$C$9:$C$12,$I$9:$I$12))</f>
        <v>574085.12039325526</v>
      </c>
      <c r="H57" s="81" cm="1">
        <f t="array" ref="H57">SAFEDIV(G57,E57)</f>
        <v>131.33361608384885</v>
      </c>
      <c r="I57" s="58" cm="1">
        <f t="array" ref="I57">SAFEDIV(SUMIFS(tbl_Monthly[revenue],tbl_Monthly[class],$C57,tbl_Monthly[month],EDATE($B57,-12)),SUMIFS(tbl_Monthly[mwh],tbl_Monthly[class],$C57,tbl_Monthly[month],EDATE($B57,-12)))*_xlfn.XLOOKUP($C57,$C$9:$C$12,$L$9:$L$12)</f>
        <v>98.890433100968224</v>
      </c>
      <c r="J57" s="54">
        <f t="shared" si="2"/>
        <v>56771526.192510501</v>
      </c>
      <c r="K57" s="54">
        <f>IF($D57,SUMIFS(tbl_Monthly[customers],tbl_Monthly[class],$C57,tbl_Monthly[month],$B57),"")</f>
        <v>4318</v>
      </c>
      <c r="L57" s="54">
        <f>IF($D57,SUMIFS(tbl_Monthly[mwh],tbl_Monthly[class],$C57,tbl_Monthly[month],$B57),"")</f>
        <v>529905.67200000002</v>
      </c>
      <c r="M57" s="54">
        <f>IF($D57,SUMIFS(tbl_Monthly[revenue],tbl_Monthly[class],$C57,tbl_Monthly[month],$B57),"")</f>
        <v>54132388</v>
      </c>
      <c r="N57" s="58" cm="1">
        <f t="array" ref="N57">IF($D57,SAFEDIV(M57,L57),"")</f>
        <v>102.15476236683875</v>
      </c>
      <c r="O57" s="84" cm="1">
        <f t="array" ref="O57">IF(AND($D57,_xlfn.XLOOKUP($C57,tbl_Class[class],tbl_Class[weather_model])="yes"),_xlfn.XLOOKUP($C57,$C$16:$C$17,$E$16:$E$17)*(INDEX($C$23:$N$23,MONTH($B57))-INDEX($C$21:$N$21,MONTH($B57)))+_xlfn.XLOOKUP($C57,$C$16:$C$17,$F$16:$F$17)*(INDEX($C$24:$N$24,MONTH($B57))-INDEX($C$22:$N$22,MONTH($B57))),IF($D57,0,""))</f>
        <v>0</v>
      </c>
      <c r="P57" s="55">
        <f>IF($D57,IF(_xlfn.XLOOKUP($C57,tbl_Class[class],tbl_Class[weather_model])="yes",(K57-E57)*H57*I57,0),"")</f>
        <v>0</v>
      </c>
      <c r="Q57" s="55">
        <f>IF($D57,IF(_xlfn.XLOOKUP($C57,tbl_Class[class],tbl_Class[weather_model])="yes",K57*O57*I57,0),"")</f>
        <v>0</v>
      </c>
      <c r="R57" s="55" cm="1">
        <f t="array" ref="R57">IF($D57,IF(_xlfn.XLOOKUP($C57,tbl_Class[class],tbl_Class[weather_model])="yes",K57*(SAFEDIV(L57,K57)-H57-O57)*I57,(L57-G57)*I57),"")</f>
        <v>-4368924.7857708856</v>
      </c>
      <c r="S57" s="55">
        <f t="shared" si="3"/>
        <v>1729786.5932603895</v>
      </c>
      <c r="T57" s="67">
        <f t="shared" si="4"/>
        <v>4.6566128730773926E-9</v>
      </c>
    </row>
    <row r="58" spans="2:20" x14ac:dyDescent="0.3">
      <c r="B58" s="79">
        <f>DATE(PlanYear,MOD(ROWS($B$28:B58)-1,12)+1,1)</f>
        <v>46204</v>
      </c>
      <c r="C58" t="s">
        <v>97</v>
      </c>
      <c r="D58" t="b">
        <f>MONTH($B58)&lt;=PlanClosed</f>
        <v>0</v>
      </c>
      <c r="E58" s="54">
        <f t="shared" si="1"/>
        <v>4381.1419827737491</v>
      </c>
      <c r="F58" s="81" t="str" cm="1">
        <f t="array" ref="F58">IF(_xlfn.XLOOKUP($C58,tbl_Class[class],tbl_Class[weather_model])="yes",_xlfn.XLOOKUP($C58,$C$16:$C$17,$D$16:$D$17)+_xlfn.XLOOKUP($C58,$C$16:$C$17,$E$16:$E$17)*INDEX($C$21:$N$21,MONTH($B58))+_xlfn.XLOOKUP($C58,$C$16:$C$17,$F$16:$F$17)*INDEX($C$22:$N$22,MONTH($B58))+_xlfn.XLOOKUP($C58,$C$16:$C$17,$G$16:$G$17)*TRENDYEARS($B58),"")</f>
        <v/>
      </c>
      <c r="G58" s="54">
        <f>IF(_xlfn.XLOOKUP($C58,tbl_Class[class],tbl_Class[weather_model])="yes",E58*F58,SUMIFS(tbl_Monthly[mwh],tbl_Monthly[class],$C58,tbl_Monthly[month],EDATE($B58,-12))*_xlfn.XLOOKUP($C58,$C$9:$C$12,$I$9:$I$12))</f>
        <v>619284.9303936353</v>
      </c>
      <c r="H58" s="81" cm="1">
        <f t="array" ref="H58">SAFEDIV(G58,E58)</f>
        <v>141.35239917551343</v>
      </c>
      <c r="I58" s="58" cm="1">
        <f t="array" ref="I58">SAFEDIV(SUMIFS(tbl_Monthly[revenue],tbl_Monthly[class],$C58,tbl_Monthly[month],EDATE($B58,-12)),SUMIFS(tbl_Monthly[mwh],tbl_Monthly[class],$C58,tbl_Monthly[month],EDATE($B58,-12)))*_xlfn.XLOOKUP($C58,$C$9:$C$12,$L$9:$L$12)</f>
        <v>99.236460528346669</v>
      </c>
      <c r="J58" s="54">
        <f t="shared" si="2"/>
        <v>61455644.550807901</v>
      </c>
      <c r="K58" s="54" t="str">
        <f>IF($D58,SUMIFS(tbl_Monthly[customers],tbl_Monthly[class],$C58,tbl_Monthly[month],$B58),"")</f>
        <v/>
      </c>
      <c r="L58" s="54" t="str">
        <f>IF($D58,SUMIFS(tbl_Monthly[mwh],tbl_Monthly[class],$C58,tbl_Monthly[month],$B58),"")</f>
        <v/>
      </c>
      <c r="M58" s="54" t="str">
        <f>IF($D58,SUMIFS(tbl_Monthly[revenue],tbl_Monthly[class],$C58,tbl_Monthly[month],$B58),"")</f>
        <v/>
      </c>
      <c r="N58" s="58" t="str" cm="1">
        <f t="array" ref="N58">IF($D58,SAFEDIV(M58,L58),"")</f>
        <v/>
      </c>
      <c r="O58" s="84" t="str" cm="1">
        <f t="array" ref="O58">IF(AND($D58,_xlfn.XLOOKUP($C58,tbl_Class[class],tbl_Class[weather_model])="yes"),_xlfn.XLOOKUP($C58,$C$16:$C$17,$E$16:$E$17)*(INDEX($C$23:$N$23,MONTH($B58))-INDEX($C$21:$N$21,MONTH($B58)))+_xlfn.XLOOKUP($C58,$C$16:$C$17,$F$16:$F$17)*(INDEX($C$24:$N$24,MONTH($B58))-INDEX($C$22:$N$22,MONTH($B58))),IF($D58,0,""))</f>
        <v/>
      </c>
      <c r="P58" s="55" t="str">
        <f>IF($D58,IF(_xlfn.XLOOKUP($C58,tbl_Class[class],tbl_Class[weather_model])="yes",(K58-E58)*H58*I58,0),"")</f>
        <v/>
      </c>
      <c r="Q58" s="55" t="str">
        <f>IF($D58,IF(_xlfn.XLOOKUP($C58,tbl_Class[class],tbl_Class[weather_model])="yes",K58*O58*I58,0),"")</f>
        <v/>
      </c>
      <c r="R58" s="55" t="str" cm="1">
        <f t="array" ref="R58">IF($D58,IF(_xlfn.XLOOKUP($C58,tbl_Class[class],tbl_Class[weather_model])="yes",K58*(SAFEDIV(L58,K58)-H58-O58)*I58,(L58-G58)*I58),"")</f>
        <v/>
      </c>
      <c r="S58" s="55" t="str">
        <f t="shared" si="3"/>
        <v/>
      </c>
      <c r="T58" s="67" t="str">
        <f t="shared" si="4"/>
        <v/>
      </c>
    </row>
    <row r="59" spans="2:20" x14ac:dyDescent="0.3">
      <c r="B59" s="79">
        <f>DATE(PlanYear,MOD(ROWS($B$28:B59)-1,12)+1,1)</f>
        <v>46235</v>
      </c>
      <c r="C59" t="s">
        <v>97</v>
      </c>
      <c r="D59" t="b">
        <f>MONTH($B59)&lt;=PlanClosed</f>
        <v>0</v>
      </c>
      <c r="E59" s="54">
        <f t="shared" si="1"/>
        <v>4391.1095015277242</v>
      </c>
      <c r="F59" s="81" t="str" cm="1">
        <f t="array" ref="F59">IF(_xlfn.XLOOKUP($C59,tbl_Class[class],tbl_Class[weather_model])="yes",_xlfn.XLOOKUP($C59,$C$16:$C$17,$D$16:$D$17)+_xlfn.XLOOKUP($C59,$C$16:$C$17,$E$16:$E$17)*INDEX($C$21:$N$21,MONTH($B59))+_xlfn.XLOOKUP($C59,$C$16:$C$17,$F$16:$F$17)*INDEX($C$22:$N$22,MONTH($B59))+_xlfn.XLOOKUP($C59,$C$16:$C$17,$G$16:$G$17)*TRENDYEARS($B59),"")</f>
        <v/>
      </c>
      <c r="G59" s="54">
        <f>IF(_xlfn.XLOOKUP($C59,tbl_Class[class],tbl_Class[weather_model])="yes",E59*F59,SUMIFS(tbl_Monthly[mwh],tbl_Monthly[class],$C59,tbl_Monthly[month],EDATE($B59,-12))*_xlfn.XLOOKUP($C59,$C$9:$C$12,$I$9:$I$12))</f>
        <v>642281.39245806157</v>
      </c>
      <c r="H59" s="81" cm="1">
        <f t="array" ref="H59">SAFEDIV(G59,E59)</f>
        <v>146.26858934731723</v>
      </c>
      <c r="I59" s="58" cm="1">
        <f t="array" ref="I59">SAFEDIV(SUMIFS(tbl_Monthly[revenue],tbl_Monthly[class],$C59,tbl_Monthly[month],EDATE($B59,-12)),SUMIFS(tbl_Monthly[mwh],tbl_Monthly[class],$C59,tbl_Monthly[month],EDATE($B59,-12)))*_xlfn.XLOOKUP($C59,$C$9:$C$12,$L$9:$L$12)</f>
        <v>97.872850440182546</v>
      </c>
      <c r="J59" s="54">
        <f t="shared" si="2"/>
        <v>62861910.66456005</v>
      </c>
      <c r="K59" s="54" t="str">
        <f>IF($D59,SUMIFS(tbl_Monthly[customers],tbl_Monthly[class],$C59,tbl_Monthly[month],$B59),"")</f>
        <v/>
      </c>
      <c r="L59" s="54" t="str">
        <f>IF($D59,SUMIFS(tbl_Monthly[mwh],tbl_Monthly[class],$C59,tbl_Monthly[month],$B59),"")</f>
        <v/>
      </c>
      <c r="M59" s="54" t="str">
        <f>IF($D59,SUMIFS(tbl_Monthly[revenue],tbl_Monthly[class],$C59,tbl_Monthly[month],$B59),"")</f>
        <v/>
      </c>
      <c r="N59" s="58" t="str" cm="1">
        <f t="array" ref="N59">IF($D59,SAFEDIV(M59,L59),"")</f>
        <v/>
      </c>
      <c r="O59" s="84" t="str" cm="1">
        <f t="array" ref="O59">IF(AND($D59,_xlfn.XLOOKUP($C59,tbl_Class[class],tbl_Class[weather_model])="yes"),_xlfn.XLOOKUP($C59,$C$16:$C$17,$E$16:$E$17)*(INDEX($C$23:$N$23,MONTH($B59))-INDEX($C$21:$N$21,MONTH($B59)))+_xlfn.XLOOKUP($C59,$C$16:$C$17,$F$16:$F$17)*(INDEX($C$24:$N$24,MONTH($B59))-INDEX($C$22:$N$22,MONTH($B59))),IF($D59,0,""))</f>
        <v/>
      </c>
      <c r="P59" s="55" t="str">
        <f>IF($D59,IF(_xlfn.XLOOKUP($C59,tbl_Class[class],tbl_Class[weather_model])="yes",(K59-E59)*H59*I59,0),"")</f>
        <v/>
      </c>
      <c r="Q59" s="55" t="str">
        <f>IF($D59,IF(_xlfn.XLOOKUP($C59,tbl_Class[class],tbl_Class[weather_model])="yes",K59*O59*I59,0),"")</f>
        <v/>
      </c>
      <c r="R59" s="55" t="str" cm="1">
        <f t="array" ref="R59">IF($D59,IF(_xlfn.XLOOKUP($C59,tbl_Class[class],tbl_Class[weather_model])="yes",K59*(SAFEDIV(L59,K59)-H59-O59)*I59,(L59-G59)*I59),"")</f>
        <v/>
      </c>
      <c r="S59" s="55" t="str">
        <f t="shared" si="3"/>
        <v/>
      </c>
      <c r="T59" s="67" t="str">
        <f t="shared" si="4"/>
        <v/>
      </c>
    </row>
    <row r="60" spans="2:20" x14ac:dyDescent="0.3">
      <c r="B60" s="79">
        <f>DATE(PlanYear,MOD(ROWS($B$28:B60)-1,12)+1,1)</f>
        <v>46266</v>
      </c>
      <c r="C60" t="s">
        <v>97</v>
      </c>
      <c r="D60" t="b">
        <f>MONTH($B60)&lt;=PlanClosed</f>
        <v>0</v>
      </c>
      <c r="E60" s="54">
        <f t="shared" si="1"/>
        <v>4401.0996973440961</v>
      </c>
      <c r="F60" s="81" t="str" cm="1">
        <f t="array" ref="F60">IF(_xlfn.XLOOKUP($C60,tbl_Class[class],tbl_Class[weather_model])="yes",_xlfn.XLOOKUP($C60,$C$16:$C$17,$D$16:$D$17)+_xlfn.XLOOKUP($C60,$C$16:$C$17,$E$16:$E$17)*INDEX($C$21:$N$21,MONTH($B60))+_xlfn.XLOOKUP($C60,$C$16:$C$17,$F$16:$F$17)*INDEX($C$22:$N$22,MONTH($B60))+_xlfn.XLOOKUP($C60,$C$16:$C$17,$G$16:$G$17)*TRENDYEARS($B60),"")</f>
        <v/>
      </c>
      <c r="G60" s="54">
        <f>IF(_xlfn.XLOOKUP($C60,tbl_Class[class],tbl_Class[weather_model])="yes",E60*F60,SUMIFS(tbl_Monthly[mwh],tbl_Monthly[class],$C60,tbl_Monthly[month],EDATE($B60,-12))*_xlfn.XLOOKUP($C60,$C$9:$C$12,$I$9:$I$12))</f>
        <v>622421.70518337435</v>
      </c>
      <c r="H60" s="81" cm="1">
        <f t="array" ref="H60">SAFEDIV(G60,E60)</f>
        <v>141.42413214565062</v>
      </c>
      <c r="I60" s="58" cm="1">
        <f t="array" ref="I60">SAFEDIV(SUMIFS(tbl_Monthly[revenue],tbl_Monthly[class],$C60,tbl_Monthly[month],EDATE($B60,-12)),SUMIFS(tbl_Monthly[mwh],tbl_Monthly[class],$C60,tbl_Monthly[month],EDATE($B60,-12)))*_xlfn.XLOOKUP($C60,$C$9:$C$12,$L$9:$L$12)</f>
        <v>99.271798675055209</v>
      </c>
      <c r="J60" s="54">
        <f t="shared" si="2"/>
        <v>61788922.207948506</v>
      </c>
      <c r="K60" s="54" t="str">
        <f>IF($D60,SUMIFS(tbl_Monthly[customers],tbl_Monthly[class],$C60,tbl_Monthly[month],$B60),"")</f>
        <v/>
      </c>
      <c r="L60" s="54" t="str">
        <f>IF($D60,SUMIFS(tbl_Monthly[mwh],tbl_Monthly[class],$C60,tbl_Monthly[month],$B60),"")</f>
        <v/>
      </c>
      <c r="M60" s="54" t="str">
        <f>IF($D60,SUMIFS(tbl_Monthly[revenue],tbl_Monthly[class],$C60,tbl_Monthly[month],$B60),"")</f>
        <v/>
      </c>
      <c r="N60" s="58" t="str" cm="1">
        <f t="array" ref="N60">IF($D60,SAFEDIV(M60,L60),"")</f>
        <v/>
      </c>
      <c r="O60" s="84" t="str" cm="1">
        <f t="array" ref="O60">IF(AND($D60,_xlfn.XLOOKUP($C60,tbl_Class[class],tbl_Class[weather_model])="yes"),_xlfn.XLOOKUP($C60,$C$16:$C$17,$E$16:$E$17)*(INDEX($C$23:$N$23,MONTH($B60))-INDEX($C$21:$N$21,MONTH($B60)))+_xlfn.XLOOKUP($C60,$C$16:$C$17,$F$16:$F$17)*(INDEX($C$24:$N$24,MONTH($B60))-INDEX($C$22:$N$22,MONTH($B60))),IF($D60,0,""))</f>
        <v/>
      </c>
      <c r="P60" s="55" t="str">
        <f>IF($D60,IF(_xlfn.XLOOKUP($C60,tbl_Class[class],tbl_Class[weather_model])="yes",(K60-E60)*H60*I60,0),"")</f>
        <v/>
      </c>
      <c r="Q60" s="55" t="str">
        <f>IF($D60,IF(_xlfn.XLOOKUP($C60,tbl_Class[class],tbl_Class[weather_model])="yes",K60*O60*I60,0),"")</f>
        <v/>
      </c>
      <c r="R60" s="55" t="str" cm="1">
        <f t="array" ref="R60">IF($D60,IF(_xlfn.XLOOKUP($C60,tbl_Class[class],tbl_Class[weather_model])="yes",K60*(SAFEDIV(L60,K60)-H60-O60)*I60,(L60-G60)*I60),"")</f>
        <v/>
      </c>
      <c r="S60" s="55" t="str">
        <f t="shared" si="3"/>
        <v/>
      </c>
      <c r="T60" s="67" t="str">
        <f t="shared" si="4"/>
        <v/>
      </c>
    </row>
    <row r="61" spans="2:20" x14ac:dyDescent="0.3">
      <c r="B61" s="79">
        <f>DATE(PlanYear,MOD(ROWS($B$28:B61)-1,12)+1,1)</f>
        <v>46296</v>
      </c>
      <c r="C61" t="s">
        <v>97</v>
      </c>
      <c r="D61" t="b">
        <f>MONTH($B61)&lt;=PlanClosed</f>
        <v>0</v>
      </c>
      <c r="E61" s="54">
        <f t="shared" si="1"/>
        <v>4411.1126218153595</v>
      </c>
      <c r="F61" s="81" t="str" cm="1">
        <f t="array" ref="F61">IF(_xlfn.XLOOKUP($C61,tbl_Class[class],tbl_Class[weather_model])="yes",_xlfn.XLOOKUP($C61,$C$16:$C$17,$D$16:$D$17)+_xlfn.XLOOKUP($C61,$C$16:$C$17,$E$16:$E$17)*INDEX($C$21:$N$21,MONTH($B61))+_xlfn.XLOOKUP($C61,$C$16:$C$17,$F$16:$F$17)*INDEX($C$22:$N$22,MONTH($B61))+_xlfn.XLOOKUP($C61,$C$16:$C$17,$G$16:$G$17)*TRENDYEARS($B61),"")</f>
        <v/>
      </c>
      <c r="G61" s="54">
        <f>IF(_xlfn.XLOOKUP($C61,tbl_Class[class],tbl_Class[weather_model])="yes",E61*F61,SUMIFS(tbl_Monthly[mwh],tbl_Monthly[class],$C61,tbl_Monthly[month],EDATE($B61,-12))*_xlfn.XLOOKUP($C61,$C$9:$C$12,$I$9:$I$12))</f>
        <v>608228.66164238786</v>
      </c>
      <c r="H61" s="81" cm="1">
        <f t="array" ref="H61">SAFEDIV(G61,E61)</f>
        <v>137.88554357790937</v>
      </c>
      <c r="I61" s="58" cm="1">
        <f t="array" ref="I61">SAFEDIV(SUMIFS(tbl_Monthly[revenue],tbl_Monthly[class],$C61,tbl_Monthly[month],EDATE($B61,-12)),SUMIFS(tbl_Monthly[mwh],tbl_Monthly[class],$C61,tbl_Monthly[month],EDATE($B61,-12)))*_xlfn.XLOOKUP($C61,$C$9:$C$12,$L$9:$L$12)</f>
        <v>96.463825299014147</v>
      </c>
      <c r="J61" s="54">
        <f t="shared" si="2"/>
        <v>58672063.358524486</v>
      </c>
      <c r="K61" s="54" t="str">
        <f>IF($D61,SUMIFS(tbl_Monthly[customers],tbl_Monthly[class],$C61,tbl_Monthly[month],$B61),"")</f>
        <v/>
      </c>
      <c r="L61" s="54" t="str">
        <f>IF($D61,SUMIFS(tbl_Monthly[mwh],tbl_Monthly[class],$C61,tbl_Monthly[month],$B61),"")</f>
        <v/>
      </c>
      <c r="M61" s="54" t="str">
        <f>IF($D61,SUMIFS(tbl_Monthly[revenue],tbl_Monthly[class],$C61,tbl_Monthly[month],$B61),"")</f>
        <v/>
      </c>
      <c r="N61" s="58" t="str" cm="1">
        <f t="array" ref="N61">IF($D61,SAFEDIV(M61,L61),"")</f>
        <v/>
      </c>
      <c r="O61" s="84" t="str" cm="1">
        <f t="array" ref="O61">IF(AND($D61,_xlfn.XLOOKUP($C61,tbl_Class[class],tbl_Class[weather_model])="yes"),_xlfn.XLOOKUP($C61,$C$16:$C$17,$E$16:$E$17)*(INDEX($C$23:$N$23,MONTH($B61))-INDEX($C$21:$N$21,MONTH($B61)))+_xlfn.XLOOKUP($C61,$C$16:$C$17,$F$16:$F$17)*(INDEX($C$24:$N$24,MONTH($B61))-INDEX($C$22:$N$22,MONTH($B61))),IF($D61,0,""))</f>
        <v/>
      </c>
      <c r="P61" s="55" t="str">
        <f>IF($D61,IF(_xlfn.XLOOKUP($C61,tbl_Class[class],tbl_Class[weather_model])="yes",(K61-E61)*H61*I61,0),"")</f>
        <v/>
      </c>
      <c r="Q61" s="55" t="str">
        <f>IF($D61,IF(_xlfn.XLOOKUP($C61,tbl_Class[class],tbl_Class[weather_model])="yes",K61*O61*I61,0),"")</f>
        <v/>
      </c>
      <c r="R61" s="55" t="str" cm="1">
        <f t="array" ref="R61">IF($D61,IF(_xlfn.XLOOKUP($C61,tbl_Class[class],tbl_Class[weather_model])="yes",K61*(SAFEDIV(L61,K61)-H61-O61)*I61,(L61-G61)*I61),"")</f>
        <v/>
      </c>
      <c r="S61" s="55" t="str">
        <f t="shared" si="3"/>
        <v/>
      </c>
      <c r="T61" s="67" t="str">
        <f t="shared" si="4"/>
        <v/>
      </c>
    </row>
    <row r="62" spans="2:20" x14ac:dyDescent="0.3">
      <c r="B62" s="79">
        <f>DATE(PlanYear,MOD(ROWS($B$28:B62)-1,12)+1,1)</f>
        <v>46327</v>
      </c>
      <c r="C62" t="s">
        <v>97</v>
      </c>
      <c r="D62" t="b">
        <f>MONTH($B62)&lt;=PlanClosed</f>
        <v>0</v>
      </c>
      <c r="E62" s="54">
        <f t="shared" si="1"/>
        <v>4421.1483266513869</v>
      </c>
      <c r="F62" s="81" t="str" cm="1">
        <f t="array" ref="F62">IF(_xlfn.XLOOKUP($C62,tbl_Class[class],tbl_Class[weather_model])="yes",_xlfn.XLOOKUP($C62,$C$16:$C$17,$D$16:$D$17)+_xlfn.XLOOKUP($C62,$C$16:$C$17,$E$16:$E$17)*INDEX($C$21:$N$21,MONTH($B62))+_xlfn.XLOOKUP($C62,$C$16:$C$17,$F$16:$F$17)*INDEX($C$22:$N$22,MONTH($B62))+_xlfn.XLOOKUP($C62,$C$16:$C$17,$G$16:$G$17)*TRENDYEARS($B62),"")</f>
        <v/>
      </c>
      <c r="G62" s="54">
        <f>IF(_xlfn.XLOOKUP($C62,tbl_Class[class],tbl_Class[weather_model])="yes",E62*F62,SUMIFS(tbl_Monthly[mwh],tbl_Monthly[class],$C62,tbl_Monthly[month],EDATE($B62,-12))*_xlfn.XLOOKUP($C62,$C$9:$C$12,$I$9:$I$12))</f>
        <v>575969.76162920264</v>
      </c>
      <c r="H62" s="81" cm="1">
        <f t="array" ref="H62">SAFEDIV(G62,E62)</f>
        <v>130.27605478811128</v>
      </c>
      <c r="I62" s="58" cm="1">
        <f t="array" ref="I62">SAFEDIV(SUMIFS(tbl_Monthly[revenue],tbl_Monthly[class],$C62,tbl_Monthly[month],EDATE($B62,-12)),SUMIFS(tbl_Monthly[mwh],tbl_Monthly[class],$C62,tbl_Monthly[month],EDATE($B62,-12)))*_xlfn.XLOOKUP($C62,$C$9:$C$12,$L$9:$L$12)</f>
        <v>96.302970006760319</v>
      </c>
      <c r="J62" s="54">
        <f t="shared" si="2"/>
        <v>55467598.678977989</v>
      </c>
      <c r="K62" s="54" t="str">
        <f>IF($D62,SUMIFS(tbl_Monthly[customers],tbl_Monthly[class],$C62,tbl_Monthly[month],$B62),"")</f>
        <v/>
      </c>
      <c r="L62" s="54" t="str">
        <f>IF($D62,SUMIFS(tbl_Monthly[mwh],tbl_Monthly[class],$C62,tbl_Monthly[month],$B62),"")</f>
        <v/>
      </c>
      <c r="M62" s="54" t="str">
        <f>IF($D62,SUMIFS(tbl_Monthly[revenue],tbl_Monthly[class],$C62,tbl_Monthly[month],$B62),"")</f>
        <v/>
      </c>
      <c r="N62" s="58" t="str" cm="1">
        <f t="array" ref="N62">IF($D62,SAFEDIV(M62,L62),"")</f>
        <v/>
      </c>
      <c r="O62" s="84" t="str" cm="1">
        <f t="array" ref="O62">IF(AND($D62,_xlfn.XLOOKUP($C62,tbl_Class[class],tbl_Class[weather_model])="yes"),_xlfn.XLOOKUP($C62,$C$16:$C$17,$E$16:$E$17)*(INDEX($C$23:$N$23,MONTH($B62))-INDEX($C$21:$N$21,MONTH($B62)))+_xlfn.XLOOKUP($C62,$C$16:$C$17,$F$16:$F$17)*(INDEX($C$24:$N$24,MONTH($B62))-INDEX($C$22:$N$22,MONTH($B62))),IF($D62,0,""))</f>
        <v/>
      </c>
      <c r="P62" s="55" t="str">
        <f>IF($D62,IF(_xlfn.XLOOKUP($C62,tbl_Class[class],tbl_Class[weather_model])="yes",(K62-E62)*H62*I62,0),"")</f>
        <v/>
      </c>
      <c r="Q62" s="55" t="str">
        <f>IF($D62,IF(_xlfn.XLOOKUP($C62,tbl_Class[class],tbl_Class[weather_model])="yes",K62*O62*I62,0),"")</f>
        <v/>
      </c>
      <c r="R62" s="55" t="str" cm="1">
        <f t="array" ref="R62">IF($D62,IF(_xlfn.XLOOKUP($C62,tbl_Class[class],tbl_Class[weather_model])="yes",K62*(SAFEDIV(L62,K62)-H62-O62)*I62,(L62-G62)*I62),"")</f>
        <v/>
      </c>
      <c r="S62" s="55" t="str">
        <f t="shared" si="3"/>
        <v/>
      </c>
      <c r="T62" s="67" t="str">
        <f t="shared" si="4"/>
        <v/>
      </c>
    </row>
    <row r="63" spans="2:20" x14ac:dyDescent="0.3">
      <c r="B63" s="90">
        <f>DATE(PlanYear,MOD(ROWS($B$28:B63)-1,12)+1,1)</f>
        <v>46357</v>
      </c>
      <c r="C63" s="91" t="s">
        <v>97</v>
      </c>
      <c r="D63" s="91" t="b">
        <f>MONTH($B63)&lt;=PlanClosed</f>
        <v>0</v>
      </c>
      <c r="E63" s="92">
        <f t="shared" si="1"/>
        <v>4431.2068636796948</v>
      </c>
      <c r="F63" s="93" t="str" cm="1">
        <f t="array" ref="F63">IF(_xlfn.XLOOKUP($C63,tbl_Class[class],tbl_Class[weather_model])="yes",_xlfn.XLOOKUP($C63,$C$16:$C$17,$D$16:$D$17)+_xlfn.XLOOKUP($C63,$C$16:$C$17,$E$16:$E$17)*INDEX($C$21:$N$21,MONTH($B63))+_xlfn.XLOOKUP($C63,$C$16:$C$17,$F$16:$F$17)*INDEX($C$22:$N$22,MONTH($B63))+_xlfn.XLOOKUP($C63,$C$16:$C$17,$G$16:$G$17)*TRENDYEARS($B63),"")</f>
        <v/>
      </c>
      <c r="G63" s="92">
        <f>IF(_xlfn.XLOOKUP($C63,tbl_Class[class],tbl_Class[weather_model])="yes",E63*F63,SUMIFS(tbl_Monthly[mwh],tbl_Monthly[class],$C63,tbl_Monthly[month],EDATE($B63,-12))*_xlfn.XLOOKUP($C63,$C$9:$C$12,$I$9:$I$12))</f>
        <v>616628.21641392645</v>
      </c>
      <c r="H63" s="93" cm="1">
        <f t="array" ref="H63">SAFEDIV(G63,E63)</f>
        <v>139.15581812894095</v>
      </c>
      <c r="I63" s="94" cm="1">
        <f t="array" ref="I63">SAFEDIV(SUMIFS(tbl_Monthly[revenue],tbl_Monthly[class],$C63,tbl_Monthly[month],EDATE($B63,-12)),SUMIFS(tbl_Monthly[mwh],tbl_Monthly[class],$C63,tbl_Monthly[month],EDATE($B63,-12)))*_xlfn.XLOOKUP($C63,$C$9:$C$12,$L$9:$L$12)</f>
        <v>96.805584463281576</v>
      </c>
      <c r="J63" s="92">
        <f t="shared" si="2"/>
        <v>59693054.886501029</v>
      </c>
      <c r="K63" s="92" t="str">
        <f>IF($D63,SUMIFS(tbl_Monthly[customers],tbl_Monthly[class],$C63,tbl_Monthly[month],$B63),"")</f>
        <v/>
      </c>
      <c r="L63" s="92" t="str">
        <f>IF($D63,SUMIFS(tbl_Monthly[mwh],tbl_Monthly[class],$C63,tbl_Monthly[month],$B63),"")</f>
        <v/>
      </c>
      <c r="M63" s="92" t="str">
        <f>IF($D63,SUMIFS(tbl_Monthly[revenue],tbl_Monthly[class],$C63,tbl_Monthly[month],$B63),"")</f>
        <v/>
      </c>
      <c r="N63" s="94" t="str" cm="1">
        <f t="array" ref="N63">IF($D63,SAFEDIV(M63,L63),"")</f>
        <v/>
      </c>
      <c r="O63" s="95" t="str" cm="1">
        <f t="array" ref="O63">IF(AND($D63,_xlfn.XLOOKUP($C63,tbl_Class[class],tbl_Class[weather_model])="yes"),_xlfn.XLOOKUP($C63,$C$16:$C$17,$E$16:$E$17)*(INDEX($C$23:$N$23,MONTH($B63))-INDEX($C$21:$N$21,MONTH($B63)))+_xlfn.XLOOKUP($C63,$C$16:$C$17,$F$16:$F$17)*(INDEX($C$24:$N$24,MONTH($B63))-INDEX($C$22:$N$22,MONTH($B63))),IF($D63,0,""))</f>
        <v/>
      </c>
      <c r="P63" s="96" t="str">
        <f>IF($D63,IF(_xlfn.XLOOKUP($C63,tbl_Class[class],tbl_Class[weather_model])="yes",(K63-E63)*H63*I63,0),"")</f>
        <v/>
      </c>
      <c r="Q63" s="96" t="str">
        <f>IF($D63,IF(_xlfn.XLOOKUP($C63,tbl_Class[class],tbl_Class[weather_model])="yes",K63*O63*I63,0),"")</f>
        <v/>
      </c>
      <c r="R63" s="96" t="str" cm="1">
        <f t="array" ref="R63">IF($D63,IF(_xlfn.XLOOKUP($C63,tbl_Class[class],tbl_Class[weather_model])="yes",K63*(SAFEDIV(L63,K63)-H63-O63)*I63,(L63-G63)*I63),"")</f>
        <v/>
      </c>
      <c r="S63" s="96" t="str">
        <f t="shared" si="3"/>
        <v/>
      </c>
      <c r="T63" s="97" t="str">
        <f t="shared" si="4"/>
        <v/>
      </c>
    </row>
    <row r="64" spans="2:20" x14ac:dyDescent="0.3">
      <c r="B64" s="79">
        <f>DATE(PlanYear,MOD(ROWS($B$28:B64)-1,12)+1,1)</f>
        <v>46023</v>
      </c>
      <c r="C64" t="s">
        <v>100</v>
      </c>
      <c r="D64" t="b">
        <f>MONTH($B64)&lt;=PlanClosed</f>
        <v>1</v>
      </c>
      <c r="E64" s="54">
        <f t="shared" si="1"/>
        <v>1</v>
      </c>
      <c r="F64" s="81" t="str" cm="1">
        <f t="array" ref="F64">IF(_xlfn.XLOOKUP($C64,tbl_Class[class],tbl_Class[weather_model])="yes",_xlfn.XLOOKUP($C64,$C$16:$C$17,$D$16:$D$17)+_xlfn.XLOOKUP($C64,$C$16:$C$17,$E$16:$E$17)*INDEX($C$21:$N$21,MONTH($B64))+_xlfn.XLOOKUP($C64,$C$16:$C$17,$F$16:$F$17)*INDEX($C$22:$N$22,MONTH($B64))+_xlfn.XLOOKUP($C64,$C$16:$C$17,$G$16:$G$17)*TRENDYEARS($B64),"")</f>
        <v/>
      </c>
      <c r="G64" s="54">
        <f>IF(_xlfn.XLOOKUP($C64,tbl_Class[class],tbl_Class[weather_model])="yes",E64*F64,SUMIFS(tbl_Monthly[mwh],tbl_Monthly[class],$C64,tbl_Monthly[month],EDATE($B64,-12))*_xlfn.XLOOKUP($C64,$C$9:$C$12,$I$9:$I$12))</f>
        <v>1161.989943540349</v>
      </c>
      <c r="H64" s="81" cm="1">
        <f t="array" ref="H64">SAFEDIV(G64,E64)</f>
        <v>1161.989943540349</v>
      </c>
      <c r="I64" s="58" cm="1">
        <f t="array" ref="I64">SAFEDIV(SUMIFS(tbl_Monthly[revenue],tbl_Monthly[class],$C64,tbl_Monthly[month],EDATE($B64,-12)),SUMIFS(tbl_Monthly[mwh],tbl_Monthly[class],$C64,tbl_Monthly[month],EDATE($B64,-12)))*_xlfn.XLOOKUP($C64,$C$9:$C$12,$L$9:$L$12)</f>
        <v>137.38593380854348</v>
      </c>
      <c r="J64" s="54">
        <f t="shared" si="2"/>
        <v>159641.07346942756</v>
      </c>
      <c r="K64" s="54">
        <f>IF($D64,SUMIFS(tbl_Monthly[customers],tbl_Monthly[class],$C64,tbl_Monthly[month],$B64),"")</f>
        <v>1</v>
      </c>
      <c r="L64" s="54">
        <f>IF($D64,SUMIFS(tbl_Monthly[mwh],tbl_Monthly[class],$C64,tbl_Monthly[month],$B64),"")</f>
        <v>1125.6659999999999</v>
      </c>
      <c r="M64" s="54">
        <f>IF($D64,SUMIFS(tbl_Monthly[revenue],tbl_Monthly[class],$C64,tbl_Monthly[month],$B64),"")</f>
        <v>137713</v>
      </c>
      <c r="N64" s="58" cm="1">
        <f t="array" ref="N64">IF($D64,SAFEDIV(M64,L64),"")</f>
        <v>122.33913079012781</v>
      </c>
      <c r="O64" s="84" cm="1">
        <f t="array" ref="O64">IF(AND($D64,_xlfn.XLOOKUP($C64,tbl_Class[class],tbl_Class[weather_model])="yes"),_xlfn.XLOOKUP($C64,$C$16:$C$17,$E$16:$E$17)*(INDEX($C$23:$N$23,MONTH($B64))-INDEX($C$21:$N$21,MONTH($B64)))+_xlfn.XLOOKUP($C64,$C$16:$C$17,$F$16:$F$17)*(INDEX($C$24:$N$24,MONTH($B64))-INDEX($C$22:$N$22,MONTH($B64))),IF($D64,0,""))</f>
        <v>0</v>
      </c>
      <c r="P64" s="55">
        <f>IF($D64,IF(_xlfn.XLOOKUP($C64,tbl_Class[class],tbl_Class[weather_model])="yes",(K64-E64)*H64*I64,0),"")</f>
        <v>0</v>
      </c>
      <c r="Q64" s="55">
        <f>IF($D64,IF(_xlfn.XLOOKUP($C64,tbl_Class[class],tbl_Class[weather_model])="yes",K64*O64*I64,0),"")</f>
        <v>0</v>
      </c>
      <c r="R64" s="55" cm="1">
        <f t="array" ref="R64">IF($D64,IF(_xlfn.XLOOKUP($C64,tbl_Class[class],tbl_Class[weather_model])="yes",K64*(SAFEDIV(L64,K64)-H64-O64)*I64,(L64-G64)*I64),"")</f>
        <v>-4990.3989028996712</v>
      </c>
      <c r="S64" s="55">
        <f t="shared" si="3"/>
        <v>-16937.674566527898</v>
      </c>
      <c r="T64" s="67">
        <f t="shared" si="4"/>
        <v>-7.2759576141834259E-12</v>
      </c>
    </row>
    <row r="65" spans="2:20" x14ac:dyDescent="0.3">
      <c r="B65" s="79">
        <f>DATE(PlanYear,MOD(ROWS($B$28:B65)-1,12)+1,1)</f>
        <v>46054</v>
      </c>
      <c r="C65" t="s">
        <v>100</v>
      </c>
      <c r="D65" t="b">
        <f>MONTH($B65)&lt;=PlanClosed</f>
        <v>1</v>
      </c>
      <c r="E65" s="54">
        <f t="shared" si="1"/>
        <v>1</v>
      </c>
      <c r="F65" s="81" t="str" cm="1">
        <f t="array" ref="F65">IF(_xlfn.XLOOKUP($C65,tbl_Class[class],tbl_Class[weather_model])="yes",_xlfn.XLOOKUP($C65,$C$16:$C$17,$D$16:$D$17)+_xlfn.XLOOKUP($C65,$C$16:$C$17,$E$16:$E$17)*INDEX($C$21:$N$21,MONTH($B65))+_xlfn.XLOOKUP($C65,$C$16:$C$17,$F$16:$F$17)*INDEX($C$22:$N$22,MONTH($B65))+_xlfn.XLOOKUP($C65,$C$16:$C$17,$G$16:$G$17)*TRENDYEARS($B65),"")</f>
        <v/>
      </c>
      <c r="G65" s="54">
        <f>IF(_xlfn.XLOOKUP($C65,tbl_Class[class],tbl_Class[weather_model])="yes",E65*F65,SUMIFS(tbl_Monthly[mwh],tbl_Monthly[class],$C65,tbl_Monthly[month],EDATE($B65,-12))*_xlfn.XLOOKUP($C65,$C$9:$C$12,$I$9:$I$12))</f>
        <v>1148.963395186875</v>
      </c>
      <c r="H65" s="81" cm="1">
        <f t="array" ref="H65">SAFEDIV(G65,E65)</f>
        <v>1148.963395186875</v>
      </c>
      <c r="I65" s="58" cm="1">
        <f t="array" ref="I65">SAFEDIV(SUMIFS(tbl_Monthly[revenue],tbl_Monthly[class],$C65,tbl_Monthly[month],EDATE($B65,-12)),SUMIFS(tbl_Monthly[mwh],tbl_Monthly[class],$C65,tbl_Monthly[month],EDATE($B65,-12)))*_xlfn.XLOOKUP($C65,$C$9:$C$12,$L$9:$L$12)</f>
        <v>139.1000860436485</v>
      </c>
      <c r="J65" s="54">
        <f t="shared" si="2"/>
        <v>159820.90713149682</v>
      </c>
      <c r="K65" s="54">
        <f>IF($D65,SUMIFS(tbl_Monthly[customers],tbl_Monthly[class],$C65,tbl_Monthly[month],$B65),"")</f>
        <v>1</v>
      </c>
      <c r="L65" s="54">
        <f>IF($D65,SUMIFS(tbl_Monthly[mwh],tbl_Monthly[class],$C65,tbl_Monthly[month],$B65),"")</f>
        <v>875.90599999999995</v>
      </c>
      <c r="M65" s="54">
        <f>IF($D65,SUMIFS(tbl_Monthly[revenue],tbl_Monthly[class],$C65,tbl_Monthly[month],$B65),"")</f>
        <v>115084</v>
      </c>
      <c r="N65" s="58" cm="1">
        <f t="array" ref="N65">IF($D65,SAFEDIV(M65,L65),"")</f>
        <v>131.38852799272982</v>
      </c>
      <c r="O65" s="84" cm="1">
        <f t="array" ref="O65">IF(AND($D65,_xlfn.XLOOKUP($C65,tbl_Class[class],tbl_Class[weather_model])="yes"),_xlfn.XLOOKUP($C65,$C$16:$C$17,$E$16:$E$17)*(INDEX($C$23:$N$23,MONTH($B65))-INDEX($C$21:$N$21,MONTH($B65)))+_xlfn.XLOOKUP($C65,$C$16:$C$17,$F$16:$F$17)*(INDEX($C$24:$N$24,MONTH($B65))-INDEX($C$22:$N$22,MONTH($B65))),IF($D65,0,""))</f>
        <v>0</v>
      </c>
      <c r="P65" s="55">
        <f>IF($D65,IF(_xlfn.XLOOKUP($C65,tbl_Class[class],tbl_Class[weather_model])="yes",(K65-E65)*H65*I65,0),"")</f>
        <v>0</v>
      </c>
      <c r="Q65" s="55">
        <f>IF($D65,IF(_xlfn.XLOOKUP($C65,tbl_Class[class],tbl_Class[weather_model])="yes",K65*O65*I65,0),"")</f>
        <v>0</v>
      </c>
      <c r="R65" s="55" cm="1">
        <f t="array" ref="R65">IF($D65,IF(_xlfn.XLOOKUP($C65,tbl_Class[class],tbl_Class[weather_model])="yes",K65*(SAFEDIV(L65,K65)-H65-O65)*I65,(L65-G65)*I65),"")</f>
        <v>-37982.307165348851</v>
      </c>
      <c r="S65" s="55">
        <f t="shared" si="3"/>
        <v>-6754.5999661479791</v>
      </c>
      <c r="T65" s="67">
        <f t="shared" si="4"/>
        <v>-1.4551915228366852E-11</v>
      </c>
    </row>
    <row r="66" spans="2:20" x14ac:dyDescent="0.3">
      <c r="B66" s="79">
        <f>DATE(PlanYear,MOD(ROWS($B$28:B66)-1,12)+1,1)</f>
        <v>46082</v>
      </c>
      <c r="C66" t="s">
        <v>100</v>
      </c>
      <c r="D66" t="b">
        <f>MONTH($B66)&lt;=PlanClosed</f>
        <v>1</v>
      </c>
      <c r="E66" s="54">
        <f t="shared" si="1"/>
        <v>1</v>
      </c>
      <c r="F66" s="81" t="str" cm="1">
        <f t="array" ref="F66">IF(_xlfn.XLOOKUP($C66,tbl_Class[class],tbl_Class[weather_model])="yes",_xlfn.XLOOKUP($C66,$C$16:$C$17,$D$16:$D$17)+_xlfn.XLOOKUP($C66,$C$16:$C$17,$E$16:$E$17)*INDEX($C$21:$N$21,MONTH($B66))+_xlfn.XLOOKUP($C66,$C$16:$C$17,$F$16:$F$17)*INDEX($C$22:$N$22,MONTH($B66))+_xlfn.XLOOKUP($C66,$C$16:$C$17,$G$16:$G$17)*TRENDYEARS($B66),"")</f>
        <v/>
      </c>
      <c r="G66" s="54">
        <f>IF(_xlfn.XLOOKUP($C66,tbl_Class[class],tbl_Class[weather_model])="yes",E66*F66,SUMIFS(tbl_Monthly[mwh],tbl_Monthly[class],$C66,tbl_Monthly[month],EDATE($B66,-12))*_xlfn.XLOOKUP($C66,$C$9:$C$12,$I$9:$I$12))</f>
        <v>984.76339470174923</v>
      </c>
      <c r="H66" s="81" cm="1">
        <f t="array" ref="H66">SAFEDIV(G66,E66)</f>
        <v>984.76339470174923</v>
      </c>
      <c r="I66" s="58" cm="1">
        <f t="array" ref="I66">SAFEDIV(SUMIFS(tbl_Monthly[revenue],tbl_Monthly[class],$C66,tbl_Monthly[month],EDATE($B66,-12)),SUMIFS(tbl_Monthly[mwh],tbl_Monthly[class],$C66,tbl_Monthly[month],EDATE($B66,-12)))*_xlfn.XLOOKUP($C66,$C$9:$C$12,$L$9:$L$12)</f>
        <v>138.93156385362118</v>
      </c>
      <c r="J66" s="54">
        <f t="shared" si="2"/>
        <v>136814.71845171484</v>
      </c>
      <c r="K66" s="54">
        <f>IF($D66,SUMIFS(tbl_Monthly[customers],tbl_Monthly[class],$C66,tbl_Monthly[month],$B66),"")</f>
        <v>1</v>
      </c>
      <c r="L66" s="54">
        <f>IF($D66,SUMIFS(tbl_Monthly[mwh],tbl_Monthly[class],$C66,tbl_Monthly[month],$B66),"")</f>
        <v>809.50900000000001</v>
      </c>
      <c r="M66" s="54">
        <f>IF($D66,SUMIFS(tbl_Monthly[revenue],tbl_Monthly[class],$C66,tbl_Monthly[month],$B66),"")</f>
        <v>112528</v>
      </c>
      <c r="N66" s="58" cm="1">
        <f t="array" ref="N66">IF($D66,SAFEDIV(M66,L66),"")</f>
        <v>139.0077194941625</v>
      </c>
      <c r="O66" s="84" cm="1">
        <f t="array" ref="O66">IF(AND($D66,_xlfn.XLOOKUP($C66,tbl_Class[class],tbl_Class[weather_model])="yes"),_xlfn.XLOOKUP($C66,$C$16:$C$17,$E$16:$E$17)*(INDEX($C$23:$N$23,MONTH($B66))-INDEX($C$21:$N$21,MONTH($B66)))+_xlfn.XLOOKUP($C66,$C$16:$C$17,$F$16:$F$17)*(INDEX($C$24:$N$24,MONTH($B66))-INDEX($C$22:$N$22,MONTH($B66))),IF($D66,0,""))</f>
        <v>0</v>
      </c>
      <c r="P66" s="55">
        <f>IF($D66,IF(_xlfn.XLOOKUP($C66,tbl_Class[class],tbl_Class[weather_model])="yes",(K66-E66)*H66*I66,0),"")</f>
        <v>0</v>
      </c>
      <c r="Q66" s="55">
        <f>IF($D66,IF(_xlfn.XLOOKUP($C66,tbl_Class[class],tbl_Class[weather_model])="yes",K66*O66*I66,0),"")</f>
        <v>0</v>
      </c>
      <c r="R66" s="55" cm="1">
        <f t="array" ref="R66">IF($D66,IF(_xlfn.XLOOKUP($C66,tbl_Class[class],tbl_Class[weather_model])="yes",K66*(SAFEDIV(L66,K66)-H66-O66)*I66,(L66-G66)*I66),"")</f>
        <v>-24348.367128133803</v>
      </c>
      <c r="S66" s="55">
        <f t="shared" si="3"/>
        <v>61.648676418960143</v>
      </c>
      <c r="T66" s="67">
        <f t="shared" si="4"/>
        <v>0</v>
      </c>
    </row>
    <row r="67" spans="2:20" x14ac:dyDescent="0.3">
      <c r="B67" s="79">
        <f>DATE(PlanYear,MOD(ROWS($B$28:B67)-1,12)+1,1)</f>
        <v>46113</v>
      </c>
      <c r="C67" t="s">
        <v>100</v>
      </c>
      <c r="D67" t="b">
        <f>MONTH($B67)&lt;=PlanClosed</f>
        <v>1</v>
      </c>
      <c r="E67" s="54">
        <f t="shared" si="1"/>
        <v>1</v>
      </c>
      <c r="F67" s="81" t="str" cm="1">
        <f t="array" ref="F67">IF(_xlfn.XLOOKUP($C67,tbl_Class[class],tbl_Class[weather_model])="yes",_xlfn.XLOOKUP($C67,$C$16:$C$17,$D$16:$D$17)+_xlfn.XLOOKUP($C67,$C$16:$C$17,$E$16:$E$17)*INDEX($C$21:$N$21,MONTH($B67))+_xlfn.XLOOKUP($C67,$C$16:$C$17,$F$16:$F$17)*INDEX($C$22:$N$22,MONTH($B67))+_xlfn.XLOOKUP($C67,$C$16:$C$17,$G$16:$G$17)*TRENDYEARS($B67),"")</f>
        <v/>
      </c>
      <c r="G67" s="54">
        <f>IF(_xlfn.XLOOKUP($C67,tbl_Class[class],tbl_Class[weather_model])="yes",E67*F67,SUMIFS(tbl_Monthly[mwh],tbl_Monthly[class],$C67,tbl_Monthly[month],EDATE($B67,-12))*_xlfn.XLOOKUP($C67,$C$9:$C$12,$I$9:$I$12))</f>
        <v>898.27537494687044</v>
      </c>
      <c r="H67" s="81" cm="1">
        <f t="array" ref="H67">SAFEDIV(G67,E67)</f>
        <v>898.27537494687044</v>
      </c>
      <c r="I67" s="58" cm="1">
        <f t="array" ref="I67">SAFEDIV(SUMIFS(tbl_Monthly[revenue],tbl_Monthly[class],$C67,tbl_Monthly[month],EDATE($B67,-12)),SUMIFS(tbl_Monthly[mwh],tbl_Monthly[class],$C67,tbl_Monthly[month],EDATE($B67,-12)))*_xlfn.XLOOKUP($C67,$C$9:$C$12,$L$9:$L$12)</f>
        <v>135.42689319589601</v>
      </c>
      <c r="J67" s="54">
        <f t="shared" si="2"/>
        <v>121650.64326343327</v>
      </c>
      <c r="K67" s="54">
        <f>IF($D67,SUMIFS(tbl_Monthly[customers],tbl_Monthly[class],$C67,tbl_Monthly[month],$B67),"")</f>
        <v>1</v>
      </c>
      <c r="L67" s="54">
        <f>IF($D67,SUMIFS(tbl_Monthly[mwh],tbl_Monthly[class],$C67,tbl_Monthly[month],$B67),"")</f>
        <v>771.29300000000001</v>
      </c>
      <c r="M67" s="54">
        <f>IF($D67,SUMIFS(tbl_Monthly[revenue],tbl_Monthly[class],$C67,tbl_Monthly[month],$B67),"")</f>
        <v>104870</v>
      </c>
      <c r="N67" s="58" cm="1">
        <f t="array" ref="N67">IF($D67,SAFEDIV(M67,L67),"")</f>
        <v>135.96648744381187</v>
      </c>
      <c r="O67" s="84" cm="1">
        <f t="array" ref="O67">IF(AND($D67,_xlfn.XLOOKUP($C67,tbl_Class[class],tbl_Class[weather_model])="yes"),_xlfn.XLOOKUP($C67,$C$16:$C$17,$E$16:$E$17)*(INDEX($C$23:$N$23,MONTH($B67))-INDEX($C$21:$N$21,MONTH($B67)))+_xlfn.XLOOKUP($C67,$C$16:$C$17,$F$16:$F$17)*(INDEX($C$24:$N$24,MONTH($B67))-INDEX($C$22:$N$22,MONTH($B67))),IF($D67,0,""))</f>
        <v>0</v>
      </c>
      <c r="P67" s="55">
        <f>IF($D67,IF(_xlfn.XLOOKUP($C67,tbl_Class[class],tbl_Class[weather_model])="yes",(K67-E67)*H67*I67,0),"")</f>
        <v>0</v>
      </c>
      <c r="Q67" s="55">
        <f>IF($D67,IF(_xlfn.XLOOKUP($C67,tbl_Class[class],tbl_Class[weather_model])="yes",K67*O67*I67,0),"")</f>
        <v>0</v>
      </c>
      <c r="R67" s="55" cm="1">
        <f t="array" ref="R67">IF($D67,IF(_xlfn.XLOOKUP($C67,tbl_Class[class],tbl_Class[weather_model])="yes",K67*(SAFEDIV(L67,K67)-H67-O67)*I67,(L67-G67)*I67),"")</f>
        <v>-17196.828529691044</v>
      </c>
      <c r="S67" s="55">
        <f t="shared" si="3"/>
        <v>416.18526625776565</v>
      </c>
      <c r="T67" s="67">
        <f t="shared" si="4"/>
        <v>-3.637978807091713E-12</v>
      </c>
    </row>
    <row r="68" spans="2:20" x14ac:dyDescent="0.3">
      <c r="B68" s="79">
        <f>DATE(PlanYear,MOD(ROWS($B$28:B68)-1,12)+1,1)</f>
        <v>46143</v>
      </c>
      <c r="C68" t="s">
        <v>100</v>
      </c>
      <c r="D68" t="b">
        <f>MONTH($B68)&lt;=PlanClosed</f>
        <v>1</v>
      </c>
      <c r="E68" s="54">
        <f t="shared" si="1"/>
        <v>1</v>
      </c>
      <c r="F68" s="81" t="str" cm="1">
        <f t="array" ref="F68">IF(_xlfn.XLOOKUP($C68,tbl_Class[class],tbl_Class[weather_model])="yes",_xlfn.XLOOKUP($C68,$C$16:$C$17,$D$16:$D$17)+_xlfn.XLOOKUP($C68,$C$16:$C$17,$E$16:$E$17)*INDEX($C$21:$N$21,MONTH($B68))+_xlfn.XLOOKUP($C68,$C$16:$C$17,$F$16:$F$17)*INDEX($C$22:$N$22,MONTH($B68))+_xlfn.XLOOKUP($C68,$C$16:$C$17,$G$16:$G$17)*TRENDYEARS($B68),"")</f>
        <v/>
      </c>
      <c r="G68" s="54">
        <f>IF(_xlfn.XLOOKUP($C68,tbl_Class[class],tbl_Class[weather_model])="yes",E68*F68,SUMIFS(tbl_Monthly[mwh],tbl_Monthly[class],$C68,tbl_Monthly[month],EDATE($B68,-12))*_xlfn.XLOOKUP($C68,$C$9:$C$12,$I$9:$I$12))</f>
        <v>959.30100321874863</v>
      </c>
      <c r="H68" s="81" cm="1">
        <f t="array" ref="H68">SAFEDIV(G68,E68)</f>
        <v>959.30100321874863</v>
      </c>
      <c r="I68" s="58" cm="1">
        <f t="array" ref="I68">SAFEDIV(SUMIFS(tbl_Monthly[revenue],tbl_Monthly[class],$C68,tbl_Monthly[month],EDATE($B68,-12)),SUMIFS(tbl_Monthly[mwh],tbl_Monthly[class],$C68,tbl_Monthly[month],EDATE($B68,-12)))*_xlfn.XLOOKUP($C68,$C$9:$C$12,$L$9:$L$12)</f>
        <v>129.30928668747839</v>
      </c>
      <c r="J68" s="54">
        <f t="shared" si="2"/>
        <v>124046.52844479879</v>
      </c>
      <c r="K68" s="54">
        <f>IF($D68,SUMIFS(tbl_Monthly[customers],tbl_Monthly[class],$C68,tbl_Monthly[month],$B68),"")</f>
        <v>1</v>
      </c>
      <c r="L68" s="54">
        <f>IF($D68,SUMIFS(tbl_Monthly[mwh],tbl_Monthly[class],$C68,tbl_Monthly[month],$B68),"")</f>
        <v>852.08199999999999</v>
      </c>
      <c r="M68" s="54">
        <f>IF($D68,SUMIFS(tbl_Monthly[revenue],tbl_Monthly[class],$C68,tbl_Monthly[month],$B68),"")</f>
        <v>112552</v>
      </c>
      <c r="N68" s="58" cm="1">
        <f t="array" ref="N68">IF($D68,SAFEDIV(M68,L68),"")</f>
        <v>132.0905734424621</v>
      </c>
      <c r="O68" s="84" cm="1">
        <f t="array" ref="O68">IF(AND($D68,_xlfn.XLOOKUP($C68,tbl_Class[class],tbl_Class[weather_model])="yes"),_xlfn.XLOOKUP($C68,$C$16:$C$17,$E$16:$E$17)*(INDEX($C$23:$N$23,MONTH($B68))-INDEX($C$21:$N$21,MONTH($B68)))+_xlfn.XLOOKUP($C68,$C$16:$C$17,$F$16:$F$17)*(INDEX($C$24:$N$24,MONTH($B68))-INDEX($C$22:$N$22,MONTH($B68))),IF($D68,0,""))</f>
        <v>0</v>
      </c>
      <c r="P68" s="55">
        <f>IF($D68,IF(_xlfn.XLOOKUP($C68,tbl_Class[class],tbl_Class[weather_model])="yes",(K68-E68)*H68*I68,0),"")</f>
        <v>0</v>
      </c>
      <c r="Q68" s="55">
        <f>IF($D68,IF(_xlfn.XLOOKUP($C68,tbl_Class[class],tbl_Class[weather_model])="yes",K68*O68*I68,0),"")</f>
        <v>0</v>
      </c>
      <c r="R68" s="55" cm="1">
        <f t="array" ref="R68">IF($D68,IF(_xlfn.XLOOKUP($C68,tbl_Class[class],tbl_Class[weather_model])="yes",K68*(SAFEDIV(L68,K68)-H68-O68)*I68,(L68-G68)*I68),"")</f>
        <v>-13864.412825558837</v>
      </c>
      <c r="S68" s="55">
        <f t="shared" si="3"/>
        <v>2369.8843807600301</v>
      </c>
      <c r="T68" s="67">
        <f t="shared" si="4"/>
        <v>-1.2732925824820995E-11</v>
      </c>
    </row>
    <row r="69" spans="2:20" x14ac:dyDescent="0.3">
      <c r="B69" s="79">
        <f>DATE(PlanYear,MOD(ROWS($B$28:B69)-1,12)+1,1)</f>
        <v>46174</v>
      </c>
      <c r="C69" t="s">
        <v>100</v>
      </c>
      <c r="D69" t="b">
        <f>MONTH($B69)&lt;=PlanClosed</f>
        <v>1</v>
      </c>
      <c r="E69" s="54">
        <f t="shared" si="1"/>
        <v>1</v>
      </c>
      <c r="F69" s="81" t="str" cm="1">
        <f t="array" ref="F69">IF(_xlfn.XLOOKUP($C69,tbl_Class[class],tbl_Class[weather_model])="yes",_xlfn.XLOOKUP($C69,$C$16:$C$17,$D$16:$D$17)+_xlfn.XLOOKUP($C69,$C$16:$C$17,$E$16:$E$17)*INDEX($C$21:$N$21,MONTH($B69))+_xlfn.XLOOKUP($C69,$C$16:$C$17,$F$16:$F$17)*INDEX($C$22:$N$22,MONTH($B69))+_xlfn.XLOOKUP($C69,$C$16:$C$17,$G$16:$G$17)*TRENDYEARS($B69),"")</f>
        <v/>
      </c>
      <c r="G69" s="54">
        <f>IF(_xlfn.XLOOKUP($C69,tbl_Class[class],tbl_Class[weather_model])="yes",E69*F69,SUMIFS(tbl_Monthly[mwh],tbl_Monthly[class],$C69,tbl_Monthly[month],EDATE($B69,-12))*_xlfn.XLOOKUP($C69,$C$9:$C$12,$I$9:$I$12))</f>
        <v>918.29086499890207</v>
      </c>
      <c r="H69" s="81" cm="1">
        <f t="array" ref="H69">SAFEDIV(G69,E69)</f>
        <v>918.29086499890207</v>
      </c>
      <c r="I69" s="58" cm="1">
        <f t="array" ref="I69">SAFEDIV(SUMIFS(tbl_Monthly[revenue],tbl_Monthly[class],$C69,tbl_Monthly[month],EDATE($B69,-12)),SUMIFS(tbl_Monthly[mwh],tbl_Monthly[class],$C69,tbl_Monthly[month],EDATE($B69,-12)))*_xlfn.XLOOKUP($C69,$C$9:$C$12,$L$9:$L$12)</f>
        <v>137.80971595897282</v>
      </c>
      <c r="J69" s="54">
        <f t="shared" si="2"/>
        <v>126549.40327321815</v>
      </c>
      <c r="K69" s="54">
        <f>IF($D69,SUMIFS(tbl_Monthly[customers],tbl_Monthly[class],$C69,tbl_Monthly[month],$B69),"")</f>
        <v>1</v>
      </c>
      <c r="L69" s="54">
        <f>IF($D69,SUMIFS(tbl_Monthly[mwh],tbl_Monthly[class],$C69,tbl_Monthly[month],$B69),"")</f>
        <v>806.32</v>
      </c>
      <c r="M69" s="54">
        <f>IF($D69,SUMIFS(tbl_Monthly[revenue],tbl_Monthly[class],$C69,tbl_Monthly[month],$B69),"")</f>
        <v>108748</v>
      </c>
      <c r="N69" s="58" cm="1">
        <f t="array" ref="N69">IF($D69,SAFEDIV(M69,L69),"")</f>
        <v>134.86953070741143</v>
      </c>
      <c r="O69" s="84" cm="1">
        <f t="array" ref="O69">IF(AND($D69,_xlfn.XLOOKUP($C69,tbl_Class[class],tbl_Class[weather_model])="yes"),_xlfn.XLOOKUP($C69,$C$16:$C$17,$E$16:$E$17)*(INDEX($C$23:$N$23,MONTH($B69))-INDEX($C$21:$N$21,MONTH($B69)))+_xlfn.XLOOKUP($C69,$C$16:$C$17,$F$16:$F$17)*(INDEX($C$24:$N$24,MONTH($B69))-INDEX($C$22:$N$22,MONTH($B69))),IF($D69,0,""))</f>
        <v>0</v>
      </c>
      <c r="P69" s="55">
        <f>IF($D69,IF(_xlfn.XLOOKUP($C69,tbl_Class[class],tbl_Class[weather_model])="yes",(K69-E69)*H69*I69,0),"")</f>
        <v>0</v>
      </c>
      <c r="Q69" s="55">
        <f>IF($D69,IF(_xlfn.XLOOKUP($C69,tbl_Class[class],tbl_Class[weather_model])="yes",K69*O69*I69,0),"")</f>
        <v>0</v>
      </c>
      <c r="R69" s="55" cm="1">
        <f t="array" ref="R69">IF($D69,IF(_xlfn.XLOOKUP($C69,tbl_Class[class],tbl_Class[weather_model])="yes",K69*(SAFEDIV(L69,K69)-H69-O69)*I69,(L69-G69)*I69),"")</f>
        <v>-15430.673101179178</v>
      </c>
      <c r="S69" s="55">
        <f t="shared" si="3"/>
        <v>-2370.7301720389787</v>
      </c>
      <c r="T69" s="67">
        <f t="shared" si="4"/>
        <v>-7.2759576141834259E-12</v>
      </c>
    </row>
    <row r="70" spans="2:20" x14ac:dyDescent="0.3">
      <c r="B70" s="79">
        <f>DATE(PlanYear,MOD(ROWS($B$28:B70)-1,12)+1,1)</f>
        <v>46204</v>
      </c>
      <c r="C70" t="s">
        <v>100</v>
      </c>
      <c r="D70" t="b">
        <f>MONTH($B70)&lt;=PlanClosed</f>
        <v>0</v>
      </c>
      <c r="E70" s="54">
        <f t="shared" si="1"/>
        <v>1</v>
      </c>
      <c r="F70" s="81" t="str" cm="1">
        <f t="array" ref="F70">IF(_xlfn.XLOOKUP($C70,tbl_Class[class],tbl_Class[weather_model])="yes",_xlfn.XLOOKUP($C70,$C$16:$C$17,$D$16:$D$17)+_xlfn.XLOOKUP($C70,$C$16:$C$17,$E$16:$E$17)*INDEX($C$21:$N$21,MONTH($B70))+_xlfn.XLOOKUP($C70,$C$16:$C$17,$F$16:$F$17)*INDEX($C$22:$N$22,MONTH($B70))+_xlfn.XLOOKUP($C70,$C$16:$C$17,$G$16:$G$17)*TRENDYEARS($B70),"")</f>
        <v/>
      </c>
      <c r="G70" s="54">
        <f>IF(_xlfn.XLOOKUP($C70,tbl_Class[class],tbl_Class[weather_model])="yes",E70*F70,SUMIFS(tbl_Monthly[mwh],tbl_Monthly[class],$C70,tbl_Monthly[month],EDATE($B70,-12))*_xlfn.XLOOKUP($C70,$C$9:$C$12,$I$9:$I$12))</f>
        <v>968.66988770364685</v>
      </c>
      <c r="H70" s="81" cm="1">
        <f t="array" ref="H70">SAFEDIV(G70,E70)</f>
        <v>968.66988770364685</v>
      </c>
      <c r="I70" s="58" cm="1">
        <f t="array" ref="I70">SAFEDIV(SUMIFS(tbl_Monthly[revenue],tbl_Monthly[class],$C70,tbl_Monthly[month],EDATE($B70,-12)),SUMIFS(tbl_Monthly[mwh],tbl_Monthly[class],$C70,tbl_Monthly[month],EDATE($B70,-12)))*_xlfn.XLOOKUP($C70,$C$9:$C$12,$L$9:$L$12)</f>
        <v>131.72109635417004</v>
      </c>
      <c r="J70" s="54">
        <f t="shared" si="2"/>
        <v>127594.25961359515</v>
      </c>
      <c r="K70" s="54" t="str">
        <f>IF($D70,SUMIFS(tbl_Monthly[customers],tbl_Monthly[class],$C70,tbl_Monthly[month],$B70),"")</f>
        <v/>
      </c>
      <c r="L70" s="54" t="str">
        <f>IF($D70,SUMIFS(tbl_Monthly[mwh],tbl_Monthly[class],$C70,tbl_Monthly[month],$B70),"")</f>
        <v/>
      </c>
      <c r="M70" s="54" t="str">
        <f>IF($D70,SUMIFS(tbl_Monthly[revenue],tbl_Monthly[class],$C70,tbl_Monthly[month],$B70),"")</f>
        <v/>
      </c>
      <c r="N70" s="58" t="str" cm="1">
        <f t="array" ref="N70">IF($D70,SAFEDIV(M70,L70),"")</f>
        <v/>
      </c>
      <c r="O70" s="84" t="str" cm="1">
        <f t="array" ref="O70">IF(AND($D70,_xlfn.XLOOKUP($C70,tbl_Class[class],tbl_Class[weather_model])="yes"),_xlfn.XLOOKUP($C70,$C$16:$C$17,$E$16:$E$17)*(INDEX($C$23:$N$23,MONTH($B70))-INDEX($C$21:$N$21,MONTH($B70)))+_xlfn.XLOOKUP($C70,$C$16:$C$17,$F$16:$F$17)*(INDEX($C$24:$N$24,MONTH($B70))-INDEX($C$22:$N$22,MONTH($B70))),IF($D70,0,""))</f>
        <v/>
      </c>
      <c r="P70" s="55" t="str">
        <f>IF($D70,IF(_xlfn.XLOOKUP($C70,tbl_Class[class],tbl_Class[weather_model])="yes",(K70-E70)*H70*I70,0),"")</f>
        <v/>
      </c>
      <c r="Q70" s="55" t="str">
        <f>IF($D70,IF(_xlfn.XLOOKUP($C70,tbl_Class[class],tbl_Class[weather_model])="yes",K70*O70*I70,0),"")</f>
        <v/>
      </c>
      <c r="R70" s="55" t="str" cm="1">
        <f t="array" ref="R70">IF($D70,IF(_xlfn.XLOOKUP($C70,tbl_Class[class],tbl_Class[weather_model])="yes",K70*(SAFEDIV(L70,K70)-H70-O70)*I70,(L70-G70)*I70),"")</f>
        <v/>
      </c>
      <c r="S70" s="55" t="str">
        <f t="shared" si="3"/>
        <v/>
      </c>
      <c r="T70" s="67" t="str">
        <f t="shared" si="4"/>
        <v/>
      </c>
    </row>
    <row r="71" spans="2:20" x14ac:dyDescent="0.3">
      <c r="B71" s="79">
        <f>DATE(PlanYear,MOD(ROWS($B$28:B71)-1,12)+1,1)</f>
        <v>46235</v>
      </c>
      <c r="C71" t="s">
        <v>100</v>
      </c>
      <c r="D71" t="b">
        <f>MONTH($B71)&lt;=PlanClosed</f>
        <v>0</v>
      </c>
      <c r="E71" s="54">
        <f t="shared" si="1"/>
        <v>1</v>
      </c>
      <c r="F71" s="81" t="str" cm="1">
        <f t="array" ref="F71">IF(_xlfn.XLOOKUP($C71,tbl_Class[class],tbl_Class[weather_model])="yes",_xlfn.XLOOKUP($C71,$C$16:$C$17,$D$16:$D$17)+_xlfn.XLOOKUP($C71,$C$16:$C$17,$E$16:$E$17)*INDEX($C$21:$N$21,MONTH($B71))+_xlfn.XLOOKUP($C71,$C$16:$C$17,$F$16:$F$17)*INDEX($C$22:$N$22,MONTH($B71))+_xlfn.XLOOKUP($C71,$C$16:$C$17,$G$16:$G$17)*TRENDYEARS($B71),"")</f>
        <v/>
      </c>
      <c r="G71" s="54">
        <f>IF(_xlfn.XLOOKUP($C71,tbl_Class[class],tbl_Class[weather_model])="yes",E71*F71,SUMIFS(tbl_Monthly[mwh],tbl_Monthly[class],$C71,tbl_Monthly[month],EDATE($B71,-12))*_xlfn.XLOOKUP($C71,$C$9:$C$12,$I$9:$I$12))</f>
        <v>984.3867131096664</v>
      </c>
      <c r="H71" s="81" cm="1">
        <f t="array" ref="H71">SAFEDIV(G71,E71)</f>
        <v>984.3867131096664</v>
      </c>
      <c r="I71" s="58" cm="1">
        <f t="array" ref="I71">SAFEDIV(SUMIFS(tbl_Monthly[revenue],tbl_Monthly[class],$C71,tbl_Monthly[month],EDATE($B71,-12)),SUMIFS(tbl_Monthly[mwh],tbl_Monthly[class],$C71,tbl_Monthly[month],EDATE($B71,-12)))*_xlfn.XLOOKUP($C71,$C$9:$C$12,$L$9:$L$12)</f>
        <v>135.44894357427864</v>
      </c>
      <c r="J71" s="54">
        <f t="shared" si="2"/>
        <v>133334.14035926081</v>
      </c>
      <c r="K71" s="54" t="str">
        <f>IF($D71,SUMIFS(tbl_Monthly[customers],tbl_Monthly[class],$C71,tbl_Monthly[month],$B71),"")</f>
        <v/>
      </c>
      <c r="L71" s="54" t="str">
        <f>IF($D71,SUMIFS(tbl_Monthly[mwh],tbl_Monthly[class],$C71,tbl_Monthly[month],$B71),"")</f>
        <v/>
      </c>
      <c r="M71" s="54" t="str">
        <f>IF($D71,SUMIFS(tbl_Monthly[revenue],tbl_Monthly[class],$C71,tbl_Monthly[month],$B71),"")</f>
        <v/>
      </c>
      <c r="N71" s="58" t="str" cm="1">
        <f t="array" ref="N71">IF($D71,SAFEDIV(M71,L71),"")</f>
        <v/>
      </c>
      <c r="O71" s="84" t="str" cm="1">
        <f t="array" ref="O71">IF(AND($D71,_xlfn.XLOOKUP($C71,tbl_Class[class],tbl_Class[weather_model])="yes"),_xlfn.XLOOKUP($C71,$C$16:$C$17,$E$16:$E$17)*(INDEX($C$23:$N$23,MONTH($B71))-INDEX($C$21:$N$21,MONTH($B71)))+_xlfn.XLOOKUP($C71,$C$16:$C$17,$F$16:$F$17)*(INDEX($C$24:$N$24,MONTH($B71))-INDEX($C$22:$N$22,MONTH($B71))),IF($D71,0,""))</f>
        <v/>
      </c>
      <c r="P71" s="55" t="str">
        <f>IF($D71,IF(_xlfn.XLOOKUP($C71,tbl_Class[class],tbl_Class[weather_model])="yes",(K71-E71)*H71*I71,0),"")</f>
        <v/>
      </c>
      <c r="Q71" s="55" t="str">
        <f>IF($D71,IF(_xlfn.XLOOKUP($C71,tbl_Class[class],tbl_Class[weather_model])="yes",K71*O71*I71,0),"")</f>
        <v/>
      </c>
      <c r="R71" s="55" t="str" cm="1">
        <f t="array" ref="R71">IF($D71,IF(_xlfn.XLOOKUP($C71,tbl_Class[class],tbl_Class[weather_model])="yes",K71*(SAFEDIV(L71,K71)-H71-O71)*I71,(L71-G71)*I71),"")</f>
        <v/>
      </c>
      <c r="S71" s="55" t="str">
        <f t="shared" si="3"/>
        <v/>
      </c>
      <c r="T71" s="67" t="str">
        <f t="shared" si="4"/>
        <v/>
      </c>
    </row>
    <row r="72" spans="2:20" x14ac:dyDescent="0.3">
      <c r="B72" s="79">
        <f>DATE(PlanYear,MOD(ROWS($B$28:B72)-1,12)+1,1)</f>
        <v>46266</v>
      </c>
      <c r="C72" t="s">
        <v>100</v>
      </c>
      <c r="D72" t="b">
        <f>MONTH($B72)&lt;=PlanClosed</f>
        <v>0</v>
      </c>
      <c r="E72" s="54">
        <f t="shared" si="1"/>
        <v>1</v>
      </c>
      <c r="F72" s="81" t="str" cm="1">
        <f t="array" ref="F72">IF(_xlfn.XLOOKUP($C72,tbl_Class[class],tbl_Class[weather_model])="yes",_xlfn.XLOOKUP($C72,$C$16:$C$17,$D$16:$D$17)+_xlfn.XLOOKUP($C72,$C$16:$C$17,$E$16:$E$17)*INDEX($C$21:$N$21,MONTH($B72))+_xlfn.XLOOKUP($C72,$C$16:$C$17,$F$16:$F$17)*INDEX($C$22:$N$22,MONTH($B72))+_xlfn.XLOOKUP($C72,$C$16:$C$17,$G$16:$G$17)*TRENDYEARS($B72),"")</f>
        <v/>
      </c>
      <c r="G72" s="54">
        <f>IF(_xlfn.XLOOKUP($C72,tbl_Class[class],tbl_Class[weather_model])="yes",E72*F72,SUMIFS(tbl_Monthly[mwh],tbl_Monthly[class],$C72,tbl_Monthly[month],EDATE($B72,-12))*_xlfn.XLOOKUP($C72,$C$9:$C$12,$I$9:$I$12))</f>
        <v>822.49174713972877</v>
      </c>
      <c r="H72" s="81" cm="1">
        <f t="array" ref="H72">SAFEDIV(G72,E72)</f>
        <v>822.49174713972877</v>
      </c>
      <c r="I72" s="58" cm="1">
        <f t="array" ref="I72">SAFEDIV(SUMIFS(tbl_Monthly[revenue],tbl_Monthly[class],$C72,tbl_Monthly[month],EDATE($B72,-12)),SUMIFS(tbl_Monthly[mwh],tbl_Monthly[class],$C72,tbl_Monthly[month],EDATE($B72,-12)))*_xlfn.XLOOKUP($C72,$C$9:$C$12,$L$9:$L$12)</f>
        <v>132.33000901083346</v>
      </c>
      <c r="J72" s="54">
        <f t="shared" si="2"/>
        <v>108840.34031033647</v>
      </c>
      <c r="K72" s="54" t="str">
        <f>IF($D72,SUMIFS(tbl_Monthly[customers],tbl_Monthly[class],$C72,tbl_Monthly[month],$B72),"")</f>
        <v/>
      </c>
      <c r="L72" s="54" t="str">
        <f>IF($D72,SUMIFS(tbl_Monthly[mwh],tbl_Monthly[class],$C72,tbl_Monthly[month],$B72),"")</f>
        <v/>
      </c>
      <c r="M72" s="54" t="str">
        <f>IF($D72,SUMIFS(tbl_Monthly[revenue],tbl_Monthly[class],$C72,tbl_Monthly[month],$B72),"")</f>
        <v/>
      </c>
      <c r="N72" s="58" t="str" cm="1">
        <f t="array" ref="N72">IF($D72,SAFEDIV(M72,L72),"")</f>
        <v/>
      </c>
      <c r="O72" s="84" t="str" cm="1">
        <f t="array" ref="O72">IF(AND($D72,_xlfn.XLOOKUP($C72,tbl_Class[class],tbl_Class[weather_model])="yes"),_xlfn.XLOOKUP($C72,$C$16:$C$17,$E$16:$E$17)*(INDEX($C$23:$N$23,MONTH($B72))-INDEX($C$21:$N$21,MONTH($B72)))+_xlfn.XLOOKUP($C72,$C$16:$C$17,$F$16:$F$17)*(INDEX($C$24:$N$24,MONTH($B72))-INDEX($C$22:$N$22,MONTH($B72))),IF($D72,0,""))</f>
        <v/>
      </c>
      <c r="P72" s="55" t="str">
        <f>IF($D72,IF(_xlfn.XLOOKUP($C72,tbl_Class[class],tbl_Class[weather_model])="yes",(K72-E72)*H72*I72,0),"")</f>
        <v/>
      </c>
      <c r="Q72" s="55" t="str">
        <f>IF($D72,IF(_xlfn.XLOOKUP($C72,tbl_Class[class],tbl_Class[weather_model])="yes",K72*O72*I72,0),"")</f>
        <v/>
      </c>
      <c r="R72" s="55" t="str" cm="1">
        <f t="array" ref="R72">IF($D72,IF(_xlfn.XLOOKUP($C72,tbl_Class[class],tbl_Class[weather_model])="yes",K72*(SAFEDIV(L72,K72)-H72-O72)*I72,(L72-G72)*I72),"")</f>
        <v/>
      </c>
      <c r="S72" s="55" t="str">
        <f t="shared" si="3"/>
        <v/>
      </c>
      <c r="T72" s="67" t="str">
        <f t="shared" si="4"/>
        <v/>
      </c>
    </row>
    <row r="73" spans="2:20" x14ac:dyDescent="0.3">
      <c r="B73" s="79">
        <f>DATE(PlanYear,MOD(ROWS($B$28:B73)-1,12)+1,1)</f>
        <v>46296</v>
      </c>
      <c r="C73" t="s">
        <v>100</v>
      </c>
      <c r="D73" t="b">
        <f>MONTH($B73)&lt;=PlanClosed</f>
        <v>0</v>
      </c>
      <c r="E73" s="54">
        <f t="shared" si="1"/>
        <v>1</v>
      </c>
      <c r="F73" s="81" t="str" cm="1">
        <f t="array" ref="F73">IF(_xlfn.XLOOKUP($C73,tbl_Class[class],tbl_Class[weather_model])="yes",_xlfn.XLOOKUP($C73,$C$16:$C$17,$D$16:$D$17)+_xlfn.XLOOKUP($C73,$C$16:$C$17,$E$16:$E$17)*INDEX($C$21:$N$21,MONTH($B73))+_xlfn.XLOOKUP($C73,$C$16:$C$17,$F$16:$F$17)*INDEX($C$22:$N$22,MONTH($B73))+_xlfn.XLOOKUP($C73,$C$16:$C$17,$G$16:$G$17)*TRENDYEARS($B73),"")</f>
        <v/>
      </c>
      <c r="G73" s="54">
        <f>IF(_xlfn.XLOOKUP($C73,tbl_Class[class],tbl_Class[weather_model])="yes",E73*F73,SUMIFS(tbl_Monthly[mwh],tbl_Monthly[class],$C73,tbl_Monthly[month],EDATE($B73,-12))*_xlfn.XLOOKUP($C73,$C$9:$C$12,$I$9:$I$12))</f>
        <v>988.55589345840019</v>
      </c>
      <c r="H73" s="81" cm="1">
        <f t="array" ref="H73">SAFEDIV(G73,E73)</f>
        <v>988.55589345840019</v>
      </c>
      <c r="I73" s="58" cm="1">
        <f t="array" ref="I73">SAFEDIV(SUMIFS(tbl_Monthly[revenue],tbl_Monthly[class],$C73,tbl_Monthly[month],EDATE($B73,-12)),SUMIFS(tbl_Monthly[mwh],tbl_Monthly[class],$C73,tbl_Monthly[month],EDATE($B73,-12)))*_xlfn.XLOOKUP($C73,$C$9:$C$12,$L$9:$L$12)</f>
        <v>144.85196199000782</v>
      </c>
      <c r="J73" s="54">
        <f t="shared" si="2"/>
        <v>143194.26070423442</v>
      </c>
      <c r="K73" s="54" t="str">
        <f>IF($D73,SUMIFS(tbl_Monthly[customers],tbl_Monthly[class],$C73,tbl_Monthly[month],$B73),"")</f>
        <v/>
      </c>
      <c r="L73" s="54" t="str">
        <f>IF($D73,SUMIFS(tbl_Monthly[mwh],tbl_Monthly[class],$C73,tbl_Monthly[month],$B73),"")</f>
        <v/>
      </c>
      <c r="M73" s="54" t="str">
        <f>IF($D73,SUMIFS(tbl_Monthly[revenue],tbl_Monthly[class],$C73,tbl_Monthly[month],$B73),"")</f>
        <v/>
      </c>
      <c r="N73" s="58" t="str" cm="1">
        <f t="array" ref="N73">IF($D73,SAFEDIV(M73,L73),"")</f>
        <v/>
      </c>
      <c r="O73" s="84" t="str" cm="1">
        <f t="array" ref="O73">IF(AND($D73,_xlfn.XLOOKUP($C73,tbl_Class[class],tbl_Class[weather_model])="yes"),_xlfn.XLOOKUP($C73,$C$16:$C$17,$E$16:$E$17)*(INDEX($C$23:$N$23,MONTH($B73))-INDEX($C$21:$N$21,MONTH($B73)))+_xlfn.XLOOKUP($C73,$C$16:$C$17,$F$16:$F$17)*(INDEX($C$24:$N$24,MONTH($B73))-INDEX($C$22:$N$22,MONTH($B73))),IF($D73,0,""))</f>
        <v/>
      </c>
      <c r="P73" s="55" t="str">
        <f>IF($D73,IF(_xlfn.XLOOKUP($C73,tbl_Class[class],tbl_Class[weather_model])="yes",(K73-E73)*H73*I73,0),"")</f>
        <v/>
      </c>
      <c r="Q73" s="55" t="str">
        <f>IF($D73,IF(_xlfn.XLOOKUP($C73,tbl_Class[class],tbl_Class[weather_model])="yes",K73*O73*I73,0),"")</f>
        <v/>
      </c>
      <c r="R73" s="55" t="str" cm="1">
        <f t="array" ref="R73">IF($D73,IF(_xlfn.XLOOKUP($C73,tbl_Class[class],tbl_Class[weather_model])="yes",K73*(SAFEDIV(L73,K73)-H73-O73)*I73,(L73-G73)*I73),"")</f>
        <v/>
      </c>
      <c r="S73" s="55" t="str">
        <f t="shared" si="3"/>
        <v/>
      </c>
      <c r="T73" s="67" t="str">
        <f t="shared" si="4"/>
        <v/>
      </c>
    </row>
    <row r="74" spans="2:20" x14ac:dyDescent="0.3">
      <c r="B74" s="79">
        <f>DATE(PlanYear,MOD(ROWS($B$28:B74)-1,12)+1,1)</f>
        <v>46327</v>
      </c>
      <c r="C74" t="s">
        <v>100</v>
      </c>
      <c r="D74" t="b">
        <f>MONTH($B74)&lt;=PlanClosed</f>
        <v>0</v>
      </c>
      <c r="E74" s="54">
        <f t="shared" si="1"/>
        <v>1</v>
      </c>
      <c r="F74" s="81" t="str" cm="1">
        <f t="array" ref="F74">IF(_xlfn.XLOOKUP($C74,tbl_Class[class],tbl_Class[weather_model])="yes",_xlfn.XLOOKUP($C74,$C$16:$C$17,$D$16:$D$17)+_xlfn.XLOOKUP($C74,$C$16:$C$17,$E$16:$E$17)*INDEX($C$21:$N$21,MONTH($B74))+_xlfn.XLOOKUP($C74,$C$16:$C$17,$F$16:$F$17)*INDEX($C$22:$N$22,MONTH($B74))+_xlfn.XLOOKUP($C74,$C$16:$C$17,$G$16:$G$17)*TRENDYEARS($B74),"")</f>
        <v/>
      </c>
      <c r="G74" s="54">
        <f>IF(_xlfn.XLOOKUP($C74,tbl_Class[class],tbl_Class[weather_model])="yes",E74*F74,SUMIFS(tbl_Monthly[mwh],tbl_Monthly[class],$C74,tbl_Monthly[month],EDATE($B74,-12))*_xlfn.XLOOKUP($C74,$C$9:$C$12,$I$9:$I$12))</f>
        <v>854.53001471178686</v>
      </c>
      <c r="H74" s="81" cm="1">
        <f t="array" ref="H74">SAFEDIV(G74,E74)</f>
        <v>854.53001471178686</v>
      </c>
      <c r="I74" s="58" cm="1">
        <f t="array" ref="I74">SAFEDIV(SUMIFS(tbl_Monthly[revenue],tbl_Monthly[class],$C74,tbl_Monthly[month],EDATE($B74,-12)),SUMIFS(tbl_Monthly[mwh],tbl_Monthly[class],$C74,tbl_Monthly[month],EDATE($B74,-12)))*_xlfn.XLOOKUP($C74,$C$9:$C$12,$L$9:$L$12)</f>
        <v>140.51229893430852</v>
      </c>
      <c r="J74" s="54">
        <f t="shared" si="2"/>
        <v>120071.97687552165</v>
      </c>
      <c r="K74" s="54" t="str">
        <f>IF($D74,SUMIFS(tbl_Monthly[customers],tbl_Monthly[class],$C74,tbl_Monthly[month],$B74),"")</f>
        <v/>
      </c>
      <c r="L74" s="54" t="str">
        <f>IF($D74,SUMIFS(tbl_Monthly[mwh],tbl_Monthly[class],$C74,tbl_Monthly[month],$B74),"")</f>
        <v/>
      </c>
      <c r="M74" s="54" t="str">
        <f>IF($D74,SUMIFS(tbl_Monthly[revenue],tbl_Monthly[class],$C74,tbl_Monthly[month],$B74),"")</f>
        <v/>
      </c>
      <c r="N74" s="58" t="str" cm="1">
        <f t="array" ref="N74">IF($D74,SAFEDIV(M74,L74),"")</f>
        <v/>
      </c>
      <c r="O74" s="84" t="str" cm="1">
        <f t="array" ref="O74">IF(AND($D74,_xlfn.XLOOKUP($C74,tbl_Class[class],tbl_Class[weather_model])="yes"),_xlfn.XLOOKUP($C74,$C$16:$C$17,$E$16:$E$17)*(INDEX($C$23:$N$23,MONTH($B74))-INDEX($C$21:$N$21,MONTH($B74)))+_xlfn.XLOOKUP($C74,$C$16:$C$17,$F$16:$F$17)*(INDEX($C$24:$N$24,MONTH($B74))-INDEX($C$22:$N$22,MONTH($B74))),IF($D74,0,""))</f>
        <v/>
      </c>
      <c r="P74" s="55" t="str">
        <f>IF($D74,IF(_xlfn.XLOOKUP($C74,tbl_Class[class],tbl_Class[weather_model])="yes",(K74-E74)*H74*I74,0),"")</f>
        <v/>
      </c>
      <c r="Q74" s="55" t="str">
        <f>IF($D74,IF(_xlfn.XLOOKUP($C74,tbl_Class[class],tbl_Class[weather_model])="yes",K74*O74*I74,0),"")</f>
        <v/>
      </c>
      <c r="R74" s="55" t="str" cm="1">
        <f t="array" ref="R74">IF($D74,IF(_xlfn.XLOOKUP($C74,tbl_Class[class],tbl_Class[weather_model])="yes",K74*(SAFEDIV(L74,K74)-H74-O74)*I74,(L74-G74)*I74),"")</f>
        <v/>
      </c>
      <c r="S74" s="55" t="str">
        <f t="shared" si="3"/>
        <v/>
      </c>
      <c r="T74" s="67" t="str">
        <f t="shared" si="4"/>
        <v/>
      </c>
    </row>
    <row r="75" spans="2:20" x14ac:dyDescent="0.3">
      <c r="B75" s="79">
        <f>DATE(PlanYear,MOD(ROWS($B$28:B75)-1,12)+1,1)</f>
        <v>46357</v>
      </c>
      <c r="C75" t="s">
        <v>100</v>
      </c>
      <c r="D75" t="b">
        <f>MONTH($B75)&lt;=PlanClosed</f>
        <v>0</v>
      </c>
      <c r="E75" s="54">
        <f t="shared" si="1"/>
        <v>1</v>
      </c>
      <c r="F75" s="81" t="str" cm="1">
        <f t="array" ref="F75">IF(_xlfn.XLOOKUP($C75,tbl_Class[class],tbl_Class[weather_model])="yes",_xlfn.XLOOKUP($C75,$C$16:$C$17,$D$16:$D$17)+_xlfn.XLOOKUP($C75,$C$16:$C$17,$E$16:$E$17)*INDEX($C$21:$N$21,MONTH($B75))+_xlfn.XLOOKUP($C75,$C$16:$C$17,$F$16:$F$17)*INDEX($C$22:$N$22,MONTH($B75))+_xlfn.XLOOKUP($C75,$C$16:$C$17,$G$16:$G$17)*TRENDYEARS($B75),"")</f>
        <v/>
      </c>
      <c r="G75" s="54">
        <f>IF(_xlfn.XLOOKUP($C75,tbl_Class[class],tbl_Class[weather_model])="yes",E75*F75,SUMIFS(tbl_Monthly[mwh],tbl_Monthly[class],$C75,tbl_Monthly[month],EDATE($B75,-12))*_xlfn.XLOOKUP($C75,$C$9:$C$12,$I$9:$I$12))</f>
        <v>992.03591771252798</v>
      </c>
      <c r="H75" s="81" cm="1">
        <f t="array" ref="H75">SAFEDIV(G75,E75)</f>
        <v>992.03591771252798</v>
      </c>
      <c r="I75" s="58" cm="1">
        <f t="array" ref="I75">SAFEDIV(SUMIFS(tbl_Monthly[revenue],tbl_Monthly[class],$C75,tbl_Monthly[month],EDATE($B75,-12)),SUMIFS(tbl_Monthly[mwh],tbl_Monthly[class],$C75,tbl_Monthly[month],EDATE($B75,-12)))*_xlfn.XLOOKUP($C75,$C$9:$C$12,$L$9:$L$12)</f>
        <v>133.54520272967008</v>
      </c>
      <c r="J75" s="54">
        <f t="shared" si="2"/>
        <v>132481.63774603384</v>
      </c>
      <c r="K75" s="54" t="str">
        <f>IF($D75,SUMIFS(tbl_Monthly[customers],tbl_Monthly[class],$C75,tbl_Monthly[month],$B75),"")</f>
        <v/>
      </c>
      <c r="L75" s="54" t="str">
        <f>IF($D75,SUMIFS(tbl_Monthly[mwh],tbl_Monthly[class],$C75,tbl_Monthly[month],$B75),"")</f>
        <v/>
      </c>
      <c r="M75" s="54" t="str">
        <f>IF($D75,SUMIFS(tbl_Monthly[revenue],tbl_Monthly[class],$C75,tbl_Monthly[month],$B75),"")</f>
        <v/>
      </c>
      <c r="N75" s="58" t="str" cm="1">
        <f t="array" ref="N75">IF($D75,SAFEDIV(M75,L75),"")</f>
        <v/>
      </c>
      <c r="O75" s="84" t="str" cm="1">
        <f t="array" ref="O75">IF(AND($D75,_xlfn.XLOOKUP($C75,tbl_Class[class],tbl_Class[weather_model])="yes"),_xlfn.XLOOKUP($C75,$C$16:$C$17,$E$16:$E$17)*(INDEX($C$23:$N$23,MONTH($B75))-INDEX($C$21:$N$21,MONTH($B75)))+_xlfn.XLOOKUP($C75,$C$16:$C$17,$F$16:$F$17)*(INDEX($C$24:$N$24,MONTH($B75))-INDEX($C$22:$N$22,MONTH($B75))),IF($D75,0,""))</f>
        <v/>
      </c>
      <c r="P75" s="55" t="str">
        <f>IF($D75,IF(_xlfn.XLOOKUP($C75,tbl_Class[class],tbl_Class[weather_model])="yes",(K75-E75)*H75*I75,0),"")</f>
        <v/>
      </c>
      <c r="Q75" s="55" t="str">
        <f>IF($D75,IF(_xlfn.XLOOKUP($C75,tbl_Class[class],tbl_Class[weather_model])="yes",K75*O75*I75,0),"")</f>
        <v/>
      </c>
      <c r="R75" s="55" t="str" cm="1">
        <f t="array" ref="R75">IF($D75,IF(_xlfn.XLOOKUP($C75,tbl_Class[class],tbl_Class[weather_model])="yes",K75*(SAFEDIV(L75,K75)-H75-O75)*I75,(L75-G75)*I75),"")</f>
        <v/>
      </c>
      <c r="S75" s="55" t="str">
        <f t="shared" si="3"/>
        <v/>
      </c>
      <c r="T75" s="67" t="str">
        <f t="shared" si="4"/>
        <v/>
      </c>
    </row>
    <row r="78" spans="2:20" ht="18" customHeight="1" x14ac:dyDescent="0.3">
      <c r="B78" s="7" t="str">
        <f>"Plan to actual, "&amp;TEXT(DATE(PlanYear,1,1),"mmm")&amp;"–"&amp;TEXT(DATE(PlanYear,MAX(PlanClosed,1),1),"mmm yyyy")</f>
        <v>Plan to actual, Jan–Jun 2026</v>
      </c>
      <c r="C78" s="7"/>
      <c r="D78" s="7"/>
      <c r="E78" s="7"/>
      <c r="F78" s="7"/>
      <c r="G78" s="7"/>
      <c r="H78" s="7"/>
      <c r="I78" s="7"/>
      <c r="J78" s="7"/>
      <c r="K78" s="7"/>
      <c r="L78" s="7"/>
    </row>
    <row r="79" spans="2:20" ht="26" x14ac:dyDescent="0.3">
      <c r="B79" s="64" t="s">
        <v>208</v>
      </c>
      <c r="C79" s="65" t="s">
        <v>279</v>
      </c>
      <c r="D79" s="65" t="s">
        <v>359</v>
      </c>
      <c r="E79" s="65" t="s">
        <v>355</v>
      </c>
      <c r="F79" s="65" t="s">
        <v>356</v>
      </c>
      <c r="G79" s="65" t="s">
        <v>357</v>
      </c>
      <c r="H79" s="65" t="s">
        <v>271</v>
      </c>
      <c r="I79" s="65" t="s">
        <v>360</v>
      </c>
      <c r="J79" s="65" t="s">
        <v>361</v>
      </c>
      <c r="K79" s="65" t="s">
        <v>362</v>
      </c>
      <c r="L79" s="65" t="s">
        <v>358</v>
      </c>
      <c r="N79" s="61" t="str">
        <f>"Plan "&amp;PlanYear</f>
        <v>Plan 2026</v>
      </c>
      <c r="O79" s="104">
        <f>D84</f>
        <v>1570903132.3769724</v>
      </c>
    </row>
    <row r="80" spans="2:20" x14ac:dyDescent="0.3">
      <c r="B80" t="s">
        <v>93</v>
      </c>
      <c r="C80" s="61" t="s">
        <v>92</v>
      </c>
      <c r="D80" s="54">
        <f t="shared" ref="D80:D83" si="5">SUMIFS($J$28:$J$75,$C$28:$C$75,$C80,$D$28:$D$75,TRUE)</f>
        <v>761249286.89959991</v>
      </c>
      <c r="E80" s="55">
        <f t="shared" ref="E80:E83" si="6">SUMIFS($P$28:$P$75,$C$28:$C$75,$C80,$D$28:$D$75,TRUE)</f>
        <v>-868626.89737694175</v>
      </c>
      <c r="F80" s="55">
        <f t="shared" ref="F80:F83" si="7">SUMIFS($Q$28:$Q$75,$C$28:$C$75,$C80,$D$28:$D$75,TRUE)</f>
        <v>-37427570.089256138</v>
      </c>
      <c r="G80" s="55">
        <f t="shared" ref="G80:G83" si="8">SUMIFS($R$28:$R$75,$C$28:$C$75,$C80,$D$28:$D$75,TRUE)</f>
        <v>-9827363.0582676269</v>
      </c>
      <c r="H80" s="55">
        <f t="shared" ref="H80:H83" si="9">SUMIFS($S$28:$S$75,$C$28:$C$75,$C80,$D$28:$D$75,TRUE)</f>
        <v>-17980964.85469918</v>
      </c>
      <c r="I80" s="54">
        <f t="shared" ref="I80:I83" si="10">SUMIFS($M$28:$M$75,$C$28:$C$75,$C80,$D$28:$D$75,TRUE)</f>
        <v>695144762</v>
      </c>
      <c r="J80" s="55">
        <f t="shared" ref="J80:J84" si="11">I80-D80</f>
        <v>-66104524.89959991</v>
      </c>
      <c r="K80" s="39" cm="1">
        <f t="array" ref="K80">SAFEDIV(J80,D80)</f>
        <v>-8.683689566243015E-2</v>
      </c>
      <c r="L80" s="67">
        <f t="shared" ref="L80:L84" si="12">SUM(E80:H80)-J80</f>
        <v>0</v>
      </c>
      <c r="N80" s="61" t="s">
        <v>355</v>
      </c>
      <c r="O80" s="104">
        <f>E84</f>
        <v>79021.506732932292</v>
      </c>
    </row>
    <row r="81" spans="2:15" x14ac:dyDescent="0.3">
      <c r="B81" t="s">
        <v>96</v>
      </c>
      <c r="C81" s="61" t="s">
        <v>95</v>
      </c>
      <c r="D81" s="54">
        <f t="shared" si="5"/>
        <v>488586643.03767747</v>
      </c>
      <c r="E81" s="55">
        <f t="shared" si="6"/>
        <v>947648.40410987404</v>
      </c>
      <c r="F81" s="55">
        <f t="shared" si="7"/>
        <v>-2998393.5384718347</v>
      </c>
      <c r="G81" s="55">
        <f t="shared" si="8"/>
        <v>5424225.8524143752</v>
      </c>
      <c r="H81" s="55">
        <f t="shared" si="9"/>
        <v>-17655017.755729813</v>
      </c>
      <c r="I81" s="54">
        <f t="shared" si="10"/>
        <v>474305106</v>
      </c>
      <c r="J81" s="55">
        <f t="shared" si="11"/>
        <v>-14281537.037677467</v>
      </c>
      <c r="K81" s="39" cm="1">
        <f t="array" ref="K81">SAFEDIV(J81,D81)</f>
        <v>-2.9230305906205754E-2</v>
      </c>
      <c r="L81" s="67">
        <f t="shared" si="12"/>
        <v>6.7055225372314453E-8</v>
      </c>
      <c r="N81" s="61" t="s">
        <v>356</v>
      </c>
      <c r="O81" s="104">
        <f>F84</f>
        <v>-40425963.62772797</v>
      </c>
    </row>
    <row r="82" spans="2:15" x14ac:dyDescent="0.3">
      <c r="B82" t="s">
        <v>98</v>
      </c>
      <c r="C82" s="61" t="s">
        <v>97</v>
      </c>
      <c r="D82" s="54">
        <f t="shared" si="5"/>
        <v>320238679.1656611</v>
      </c>
      <c r="E82" s="55">
        <f t="shared" si="6"/>
        <v>0</v>
      </c>
      <c r="F82" s="55">
        <f t="shared" si="7"/>
        <v>0</v>
      </c>
      <c r="G82" s="55">
        <f t="shared" si="8"/>
        <v>-13790430.720455192</v>
      </c>
      <c r="H82" s="55">
        <f t="shared" si="9"/>
        <v>-6627456.4452059176</v>
      </c>
      <c r="I82" s="54">
        <f t="shared" si="10"/>
        <v>299820792</v>
      </c>
      <c r="J82" s="55">
        <f t="shared" si="11"/>
        <v>-20417887.165661097</v>
      </c>
      <c r="K82" s="39" cm="1">
        <f t="array" ref="K82">SAFEDIV(J82,D82)</f>
        <v>-6.3758341805734281E-2</v>
      </c>
      <c r="L82" s="67">
        <f t="shared" si="12"/>
        <v>0</v>
      </c>
      <c r="N82" s="61" t="s">
        <v>357</v>
      </c>
      <c r="O82" s="104">
        <f>G84</f>
        <v>-18307380.913961258</v>
      </c>
    </row>
    <row r="83" spans="2:15" x14ac:dyDescent="0.3">
      <c r="B83" t="s">
        <v>101</v>
      </c>
      <c r="C83" s="61" t="s">
        <v>100</v>
      </c>
      <c r="D83" s="54">
        <f t="shared" si="5"/>
        <v>828523.27403408941</v>
      </c>
      <c r="E83" s="55">
        <f t="shared" si="6"/>
        <v>0</v>
      </c>
      <c r="F83" s="55">
        <f t="shared" si="7"/>
        <v>0</v>
      </c>
      <c r="G83" s="55">
        <f t="shared" si="8"/>
        <v>-113812.9876528114</v>
      </c>
      <c r="H83" s="55">
        <f t="shared" si="9"/>
        <v>-23215.2863812781</v>
      </c>
      <c r="I83" s="54">
        <f t="shared" si="10"/>
        <v>691495</v>
      </c>
      <c r="J83" s="55">
        <f t="shared" si="11"/>
        <v>-137028.27403408941</v>
      </c>
      <c r="K83" s="39" cm="1">
        <f t="array" ref="K83">SAFEDIV(J83,D83)</f>
        <v>-0.16538856339773916</v>
      </c>
      <c r="L83" s="67">
        <f t="shared" si="12"/>
        <v>0</v>
      </c>
      <c r="N83" s="61" t="s">
        <v>271</v>
      </c>
      <c r="O83" s="104">
        <f>H84</f>
        <v>-42286654.342016183</v>
      </c>
    </row>
    <row r="84" spans="2:15" ht="13.5" thickBot="1" x14ac:dyDescent="0.35">
      <c r="B84" s="50" t="s">
        <v>207</v>
      </c>
      <c r="C84" s="50"/>
      <c r="D84" s="70">
        <f t="shared" ref="D84:I84" si="13">SUM(D80:D83)</f>
        <v>1570903132.3769724</v>
      </c>
      <c r="E84" s="72">
        <f t="shared" si="13"/>
        <v>79021.506732932292</v>
      </c>
      <c r="F84" s="72">
        <f t="shared" si="13"/>
        <v>-40425963.62772797</v>
      </c>
      <c r="G84" s="72">
        <f t="shared" si="13"/>
        <v>-18307380.913961258</v>
      </c>
      <c r="H84" s="72">
        <f t="shared" si="13"/>
        <v>-42286654.342016183</v>
      </c>
      <c r="I84" s="70">
        <f t="shared" si="13"/>
        <v>1469962155</v>
      </c>
      <c r="J84" s="72">
        <f t="shared" si="11"/>
        <v>-100940977.37697244</v>
      </c>
      <c r="K84" s="52" cm="1">
        <f t="array" ref="K84">SAFEDIV(J84,D84)</f>
        <v>-6.4256652938387199E-2</v>
      </c>
      <c r="L84" s="73">
        <f t="shared" si="12"/>
        <v>0</v>
      </c>
      <c r="N84" s="61" t="s">
        <v>360</v>
      </c>
      <c r="O84" s="104">
        <f>I84</f>
        <v>1469962155</v>
      </c>
    </row>
    <row r="85" spans="2:15" ht="13.5" thickTop="1" x14ac:dyDescent="0.3"/>
    <row r="87" spans="2:15" ht="18" customHeight="1" x14ac:dyDescent="0.3">
      <c r="B87" s="7" t="s">
        <v>363</v>
      </c>
      <c r="C87" s="7"/>
      <c r="D87" s="7"/>
      <c r="E87" s="7"/>
      <c r="F87" s="7"/>
      <c r="G87" s="7"/>
      <c r="H87" s="7"/>
      <c r="I87" s="7"/>
      <c r="J87" s="7"/>
      <c r="K87" s="7"/>
      <c r="L87" s="7"/>
    </row>
    <row r="88" spans="2:15" ht="26" x14ac:dyDescent="0.3">
      <c r="B88" s="64" t="s">
        <v>299</v>
      </c>
      <c r="C88" s="65" t="s">
        <v>343</v>
      </c>
      <c r="D88" s="65" t="s">
        <v>349</v>
      </c>
      <c r="E88" s="65" t="s">
        <v>352</v>
      </c>
      <c r="F88" s="65" t="s">
        <v>364</v>
      </c>
      <c r="G88" s="65" t="s">
        <v>346</v>
      </c>
      <c r="H88" s="65" t="s">
        <v>351</v>
      </c>
      <c r="I88" s="65" t="s">
        <v>364</v>
      </c>
    </row>
    <row r="89" spans="2:15" x14ac:dyDescent="0.3">
      <c r="B89" s="79">
        <f>DATE(PlanYear,ROWS($B$89:B89),1)</f>
        <v>46023</v>
      </c>
      <c r="C89" t="b">
        <f>MONTH(B89)&lt;=PlanClosed</f>
        <v>1</v>
      </c>
      <c r="D89" s="54">
        <f t="shared" ref="D89:D100" si="14">SUMIFS($J$28:$J$75,$B$28:$B$75,B89)</f>
        <v>283013384.4544363</v>
      </c>
      <c r="E89" s="54">
        <f t="shared" ref="E89:E100" si="15">IF(C89,SUMIFS($M$28:$M$75,$B$28:$B$75,B89),"")</f>
        <v>271495430</v>
      </c>
      <c r="F89" s="54">
        <f t="shared" ref="F89:F100" si="16">IF(C89,ABS(E89-D89),"")</f>
        <v>11517954.454436302</v>
      </c>
      <c r="G89" s="54">
        <f t="shared" ref="G89:G100" si="17">SUMIFS($G$28:$G$75,$B$28:$B$75,B89)</f>
        <v>1911169.6221665523</v>
      </c>
      <c r="H89" s="54">
        <f t="shared" ref="H89:H100" si="18">IF(C89,SUMIFS($L$28:$L$75,$B$28:$B$75,B89),"")</f>
        <v>1881429.8090000001</v>
      </c>
      <c r="I89" s="54">
        <f t="shared" ref="I89:I100" si="19">IF(C89,ABS(H89-G89),"")</f>
        <v>29739.813166552223</v>
      </c>
    </row>
    <row r="90" spans="2:15" x14ac:dyDescent="0.3">
      <c r="B90" s="79">
        <f>DATE(PlanYear,ROWS($B$89:B90),1)</f>
        <v>46054</v>
      </c>
      <c r="C90" t="b">
        <f>MONTH(B90)&lt;=PlanClosed</f>
        <v>1</v>
      </c>
      <c r="D90" s="54">
        <f t="shared" si="14"/>
        <v>278331997.90309078</v>
      </c>
      <c r="E90" s="54">
        <f t="shared" si="15"/>
        <v>236446919</v>
      </c>
      <c r="F90" s="54">
        <f t="shared" si="16"/>
        <v>41885078.903090775</v>
      </c>
      <c r="G90" s="54">
        <f t="shared" si="17"/>
        <v>1775711.5557198429</v>
      </c>
      <c r="H90" s="54">
        <f t="shared" si="18"/>
        <v>1640403.7409999999</v>
      </c>
      <c r="I90" s="54">
        <f t="shared" si="19"/>
        <v>135307.81471984298</v>
      </c>
    </row>
    <row r="91" spans="2:15" x14ac:dyDescent="0.3">
      <c r="B91" s="79">
        <f>DATE(PlanYear,ROWS($B$89:B91),1)</f>
        <v>46082</v>
      </c>
      <c r="C91" t="b">
        <f>MONTH(B91)&lt;=PlanClosed</f>
        <v>1</v>
      </c>
      <c r="D91" s="54">
        <f t="shared" si="14"/>
        <v>278534819.09507304</v>
      </c>
      <c r="E91" s="54">
        <f t="shared" si="15"/>
        <v>241516825</v>
      </c>
      <c r="F91" s="54">
        <f t="shared" si="16"/>
        <v>37017994.095073044</v>
      </c>
      <c r="G91" s="54">
        <f t="shared" si="17"/>
        <v>1797157.9761488701</v>
      </c>
      <c r="H91" s="54">
        <f t="shared" si="18"/>
        <v>1686365.1630000002</v>
      </c>
      <c r="I91" s="54">
        <f t="shared" si="19"/>
        <v>110792.8131488699</v>
      </c>
    </row>
    <row r="92" spans="2:15" x14ac:dyDescent="0.3">
      <c r="B92" s="79">
        <f>DATE(PlanYear,ROWS($B$89:B92),1)</f>
        <v>46113</v>
      </c>
      <c r="C92" t="b">
        <f>MONTH(B92)&lt;=PlanClosed</f>
        <v>1</v>
      </c>
      <c r="D92" s="54">
        <f t="shared" si="14"/>
        <v>258377317.47637573</v>
      </c>
      <c r="E92" s="54">
        <f t="shared" si="15"/>
        <v>233585146</v>
      </c>
      <c r="F92" s="54">
        <f t="shared" si="16"/>
        <v>24792171.476375729</v>
      </c>
      <c r="G92" s="54">
        <f t="shared" si="17"/>
        <v>1679285.6384209238</v>
      </c>
      <c r="H92" s="54">
        <f t="shared" si="18"/>
        <v>1571289.0240000002</v>
      </c>
      <c r="I92" s="54">
        <f t="shared" si="19"/>
        <v>107996.61442092364</v>
      </c>
    </row>
    <row r="93" spans="2:15" x14ac:dyDescent="0.3">
      <c r="B93" s="79">
        <f>DATE(PlanYear,ROWS($B$89:B93),1)</f>
        <v>46143</v>
      </c>
      <c r="C93" t="b">
        <f>MONTH(B93)&lt;=PlanClosed</f>
        <v>1</v>
      </c>
      <c r="D93" s="54">
        <f t="shared" si="14"/>
        <v>241140122.72129312</v>
      </c>
      <c r="E93" s="54">
        <f t="shared" si="15"/>
        <v>239271154</v>
      </c>
      <c r="F93" s="54">
        <f t="shared" si="16"/>
        <v>1868968.7212931216</v>
      </c>
      <c r="G93" s="54">
        <f t="shared" si="17"/>
        <v>1599006.6792410645</v>
      </c>
      <c r="H93" s="54">
        <f t="shared" si="18"/>
        <v>1569703.088</v>
      </c>
      <c r="I93" s="54">
        <f t="shared" si="19"/>
        <v>29303.591241064481</v>
      </c>
    </row>
    <row r="94" spans="2:15" x14ac:dyDescent="0.3">
      <c r="B94" s="79">
        <f>DATE(PlanYear,ROWS($B$89:B94),1)</f>
        <v>46174</v>
      </c>
      <c r="C94" t="b">
        <f>MONTH(B94)&lt;=PlanClosed</f>
        <v>1</v>
      </c>
      <c r="D94" s="54">
        <f t="shared" si="14"/>
        <v>231505490.72670346</v>
      </c>
      <c r="E94" s="54">
        <f t="shared" si="15"/>
        <v>247646681</v>
      </c>
      <c r="F94" s="54">
        <f t="shared" si="16"/>
        <v>16141190.273296535</v>
      </c>
      <c r="G94" s="54">
        <f t="shared" si="17"/>
        <v>1564678.408157943</v>
      </c>
      <c r="H94" s="54">
        <f t="shared" si="18"/>
        <v>1611751.746</v>
      </c>
      <c r="I94" s="54">
        <f t="shared" si="19"/>
        <v>47073.337842056993</v>
      </c>
    </row>
    <row r="95" spans="2:15" x14ac:dyDescent="0.3">
      <c r="B95" s="79">
        <f>DATE(PlanYear,ROWS($B$89:B95),1)</f>
        <v>46204</v>
      </c>
      <c r="C95" t="b">
        <f>MONTH(B95)&lt;=PlanClosed</f>
        <v>0</v>
      </c>
      <c r="D95" s="54">
        <f t="shared" si="14"/>
        <v>271905951.22630715</v>
      </c>
      <c r="E95" s="54" t="str">
        <f t="shared" si="15"/>
        <v/>
      </c>
      <c r="F95" s="54" t="str">
        <f t="shared" si="16"/>
        <v/>
      </c>
      <c r="G95" s="54">
        <f t="shared" si="17"/>
        <v>1828722.6061688683</v>
      </c>
      <c r="H95" s="54" t="str">
        <f t="shared" si="18"/>
        <v/>
      </c>
      <c r="I95" s="54" t="str">
        <f t="shared" si="19"/>
        <v/>
      </c>
    </row>
    <row r="96" spans="2:15" x14ac:dyDescent="0.3">
      <c r="B96" s="79">
        <f>DATE(PlanYear,ROWS($B$89:B96),1)</f>
        <v>46235</v>
      </c>
      <c r="C96" t="b">
        <f>MONTH(B96)&lt;=PlanClosed</f>
        <v>0</v>
      </c>
      <c r="D96" s="54">
        <f t="shared" si="14"/>
        <v>282850946.04563272</v>
      </c>
      <c r="E96" s="54" t="str">
        <f t="shared" si="15"/>
        <v/>
      </c>
      <c r="F96" s="54" t="str">
        <f t="shared" si="16"/>
        <v/>
      </c>
      <c r="G96" s="54">
        <f t="shared" si="17"/>
        <v>1894700.3675004465</v>
      </c>
      <c r="H96" s="54" t="str">
        <f t="shared" si="18"/>
        <v/>
      </c>
      <c r="I96" s="54" t="str">
        <f t="shared" si="19"/>
        <v/>
      </c>
    </row>
    <row r="97" spans="2:12" x14ac:dyDescent="0.3">
      <c r="B97" s="79">
        <f>DATE(PlanYear,ROWS($B$89:B97),1)</f>
        <v>46266</v>
      </c>
      <c r="C97" t="b">
        <f>MONTH(B97)&lt;=PlanClosed</f>
        <v>0</v>
      </c>
      <c r="D97" s="54">
        <f t="shared" si="14"/>
        <v>242720940.82044315</v>
      </c>
      <c r="E97" s="54" t="str">
        <f t="shared" si="15"/>
        <v/>
      </c>
      <c r="F97" s="54" t="str">
        <f t="shared" si="16"/>
        <v/>
      </c>
      <c r="G97" s="54">
        <f t="shared" si="17"/>
        <v>1641594.2821144045</v>
      </c>
      <c r="H97" s="54" t="str">
        <f t="shared" si="18"/>
        <v/>
      </c>
      <c r="I97" s="54" t="str">
        <f t="shared" si="19"/>
        <v/>
      </c>
    </row>
    <row r="98" spans="2:12" x14ac:dyDescent="0.3">
      <c r="B98" s="79">
        <f>DATE(PlanYear,ROWS($B$89:B98),1)</f>
        <v>46296</v>
      </c>
      <c r="C98" t="b">
        <f>MONTH(B98)&lt;=PlanClosed</f>
        <v>0</v>
      </c>
      <c r="D98" s="54">
        <f t="shared" si="14"/>
        <v>252029999.89322755</v>
      </c>
      <c r="E98" s="54" t="str">
        <f t="shared" si="15"/>
        <v/>
      </c>
      <c r="F98" s="54" t="str">
        <f t="shared" si="16"/>
        <v/>
      </c>
      <c r="G98" s="54">
        <f t="shared" si="17"/>
        <v>1683887.2276636474</v>
      </c>
      <c r="H98" s="54" t="str">
        <f t="shared" si="18"/>
        <v/>
      </c>
      <c r="I98" s="54" t="str">
        <f t="shared" si="19"/>
        <v/>
      </c>
    </row>
    <row r="99" spans="2:12" x14ac:dyDescent="0.3">
      <c r="B99" s="79">
        <f>DATE(PlanYear,ROWS($B$89:B99),1)</f>
        <v>46327</v>
      </c>
      <c r="C99" t="b">
        <f>MONTH(B99)&lt;=PlanClosed</f>
        <v>0</v>
      </c>
      <c r="D99" s="54">
        <f t="shared" si="14"/>
        <v>276514241.51783502</v>
      </c>
      <c r="E99" s="54" t="str">
        <f t="shared" si="15"/>
        <v/>
      </c>
      <c r="F99" s="54" t="str">
        <f t="shared" si="16"/>
        <v/>
      </c>
      <c r="G99" s="54">
        <f t="shared" si="17"/>
        <v>1791490.5008127119</v>
      </c>
      <c r="H99" s="54" t="str">
        <f t="shared" si="18"/>
        <v/>
      </c>
      <c r="I99" s="54" t="str">
        <f t="shared" si="19"/>
        <v/>
      </c>
    </row>
    <row r="100" spans="2:12" x14ac:dyDescent="0.3">
      <c r="B100" s="79">
        <f>DATE(PlanYear,ROWS($B$89:B100),1)</f>
        <v>46357</v>
      </c>
      <c r="C100" t="b">
        <f>MONTH(B100)&lt;=PlanClosed</f>
        <v>0</v>
      </c>
      <c r="D100" s="54">
        <f t="shared" si="14"/>
        <v>294983141.47881377</v>
      </c>
      <c r="E100" s="54" t="str">
        <f t="shared" si="15"/>
        <v/>
      </c>
      <c r="F100" s="54" t="str">
        <f t="shared" si="16"/>
        <v/>
      </c>
      <c r="G100" s="54">
        <f t="shared" si="17"/>
        <v>1935204.5524414133</v>
      </c>
      <c r="H100" s="54" t="str">
        <f t="shared" si="18"/>
        <v/>
      </c>
      <c r="I100" s="54" t="str">
        <f t="shared" si="19"/>
        <v/>
      </c>
    </row>
    <row r="102" spans="2:12" x14ac:dyDescent="0.3">
      <c r="B102" t="s">
        <v>365</v>
      </c>
      <c r="C102" s="33">
        <f>PlanClosed</f>
        <v>6</v>
      </c>
    </row>
    <row r="103" spans="2:12" x14ac:dyDescent="0.3">
      <c r="B103" t="s">
        <v>366</v>
      </c>
      <c r="C103" s="68">
        <f>SUMIFS(D89:D100,C89:C100,TRUE)</f>
        <v>1570903132.3769724</v>
      </c>
    </row>
    <row r="104" spans="2:12" x14ac:dyDescent="0.3">
      <c r="B104" t="s">
        <v>352</v>
      </c>
      <c r="C104" s="68">
        <f>SUM(E89:E100)</f>
        <v>1469962155</v>
      </c>
    </row>
    <row r="105" spans="2:12" x14ac:dyDescent="0.3">
      <c r="B105" t="s">
        <v>367</v>
      </c>
      <c r="C105" s="41" cm="1">
        <f t="array" ref="C105">SAFEDIV(C104-C103,C103)</f>
        <v>-6.4256652938387199E-2</v>
      </c>
    </row>
    <row r="106" spans="2:12" x14ac:dyDescent="0.3">
      <c r="B106" t="s">
        <v>368</v>
      </c>
      <c r="C106" s="99" cm="1">
        <f t="array" ref="C106">SAFEDIV(SUM(F89:F100),SUM(E89:E100))</f>
        <v>9.0630467914029733E-2</v>
      </c>
    </row>
    <row r="107" spans="2:12" x14ac:dyDescent="0.3">
      <c r="B107" t="s">
        <v>369</v>
      </c>
      <c r="C107" s="99" cm="1">
        <f t="array" ref="C107">SAFEDIV(SUM(I89:I100),SUM(H89:H100))</f>
        <v>4.6201851005462473E-2</v>
      </c>
    </row>
    <row r="110" spans="2:12" ht="18" customHeight="1" x14ac:dyDescent="0.3">
      <c r="B110" s="7" t="s">
        <v>370</v>
      </c>
      <c r="C110" s="7"/>
      <c r="D110" s="7"/>
      <c r="E110" s="7"/>
      <c r="F110" s="7"/>
      <c r="G110" s="7"/>
      <c r="H110" s="7"/>
      <c r="I110" s="7"/>
      <c r="J110" s="7"/>
      <c r="K110" s="7"/>
      <c r="L110" s="7"/>
    </row>
    <row r="111" spans="2:12" ht="26" x14ac:dyDescent="0.3">
      <c r="B111" s="64" t="s">
        <v>330</v>
      </c>
      <c r="C111" s="65" t="s">
        <v>313</v>
      </c>
      <c r="D111" s="65" t="s">
        <v>349</v>
      </c>
      <c r="E111" s="65" t="s">
        <v>352</v>
      </c>
      <c r="F111" s="65" t="s">
        <v>361</v>
      </c>
      <c r="G111" s="65" t="s">
        <v>371</v>
      </c>
      <c r="H111" s="65" t="s">
        <v>372</v>
      </c>
    </row>
    <row r="112" spans="2:12" x14ac:dyDescent="0.3">
      <c r="B112" s="47" t="s">
        <v>373</v>
      </c>
      <c r="C112" s="100">
        <f>C102</f>
        <v>6</v>
      </c>
      <c r="D112" s="101">
        <f>C103</f>
        <v>1570903132.3769724</v>
      </c>
      <c r="E112" s="101">
        <f>C104</f>
        <v>1469962155</v>
      </c>
      <c r="F112" s="49">
        <f>C105</f>
        <v>-6.4256652938387199E-2</v>
      </c>
      <c r="G112" s="102">
        <f>C106</f>
        <v>9.0630467914029733E-2</v>
      </c>
      <c r="H112" s="102">
        <f>C107</f>
        <v>4.6201851005462473E-2</v>
      </c>
    </row>
    <row r="113" spans="2:8" x14ac:dyDescent="0.3">
      <c r="B113">
        <v>2023</v>
      </c>
      <c r="C113" s="4">
        <f t="dataTable" ref="C113:H116" dt2D="0" dtr="0" r1="C4"/>
        <v>12</v>
      </c>
      <c r="D113" s="54">
        <v>2178526477.1490908</v>
      </c>
      <c r="E113" s="54">
        <v>2353829725</v>
      </c>
      <c r="F113" s="39">
        <v>8.046872493389122E-2</v>
      </c>
      <c r="G113" s="98">
        <v>7.4475755824227829E-2</v>
      </c>
      <c r="H113" s="98">
        <v>2.518374907217626E-2</v>
      </c>
    </row>
    <row r="114" spans="2:8" x14ac:dyDescent="0.3">
      <c r="B114">
        <v>2024</v>
      </c>
      <c r="C114" s="4">
        <v>12</v>
      </c>
      <c r="D114" s="54">
        <v>2618198322.1750269</v>
      </c>
      <c r="E114" s="54">
        <v>2751081902</v>
      </c>
      <c r="F114" s="39">
        <v>5.0753825139793908E-2</v>
      </c>
      <c r="G114" s="98">
        <v>5.6739250123985112E-2</v>
      </c>
      <c r="H114" s="98">
        <v>3.6728780479541097E-2</v>
      </c>
    </row>
    <row r="115" spans="2:8" x14ac:dyDescent="0.3">
      <c r="B115">
        <v>2025</v>
      </c>
      <c r="C115" s="4">
        <v>12</v>
      </c>
      <c r="D115" s="54">
        <v>3323531658.06634</v>
      </c>
      <c r="E115" s="54">
        <v>2928179950</v>
      </c>
      <c r="F115" s="39">
        <v>-0.11895530078878776</v>
      </c>
      <c r="G115" s="98">
        <v>0.13501619258964606</v>
      </c>
      <c r="H115" s="98">
        <v>3.9300231329420163E-2</v>
      </c>
    </row>
    <row r="116" spans="2:8" x14ac:dyDescent="0.3">
      <c r="B116">
        <v>2026</v>
      </c>
      <c r="C116" s="4">
        <v>6</v>
      </c>
      <c r="D116" s="54">
        <v>1570903132.3769724</v>
      </c>
      <c r="E116" s="54">
        <v>1469962155</v>
      </c>
      <c r="F116" s="39">
        <v>-6.4256652938387199E-2</v>
      </c>
      <c r="G116" s="98">
        <v>9.0630467914029733E-2</v>
      </c>
      <c r="H116" s="98">
        <v>4.6201851005462473E-2</v>
      </c>
    </row>
    <row r="117" spans="2:8" x14ac:dyDescent="0.3">
      <c r="B117" s="47" t="s">
        <v>374</v>
      </c>
    </row>
  </sheetData>
  <mergeCells count="1">
    <mergeCell ref="B2:U2"/>
  </mergeCells>
  <conditionalFormatting sqref="P28:S75">
    <cfRule type="cellIs" dxfId="37" priority="1" stopIfTrue="1" operator="greaterThan">
      <formula>0</formula>
    </cfRule>
    <cfRule type="cellIs" dxfId="36" priority="2" stopIfTrue="1" operator="lessThan">
      <formula>0</formula>
    </cfRule>
  </conditionalFormatting>
  <conditionalFormatting sqref="B28:T75">
    <cfRule type="expression" dxfId="35" priority="3" stopIfTrue="1">
      <formula>NOT($D28)</formula>
    </cfRule>
  </conditionalFormatting>
  <conditionalFormatting sqref="E80:K84">
    <cfRule type="cellIs" dxfId="34" priority="4" stopIfTrue="1" operator="greaterThan">
      <formula>0</formula>
    </cfRule>
    <cfRule type="cellIs" dxfId="33" priority="5" stopIfTrue="1" operator="lessThan">
      <formula>0</formula>
    </cfRule>
  </conditionalFormatting>
  <conditionalFormatting sqref="F113:F116">
    <cfRule type="cellIs" dxfId="32" priority="6" stopIfTrue="1" operator="greaterThan">
      <formula>0</formula>
    </cfRule>
    <cfRule type="cellIs" dxfId="31" priority="7" stopIfTrue="1" operator="lessThan">
      <formula>0</formula>
    </cfRule>
  </conditionalFormatting>
  <printOptions horizontalCentered="1"/>
  <pageMargins left="0.35" right="0.35" top="0.44999999999999996" bottom="0.5" header="0.3" footer="0.2"/>
  <pageSetup scale="59" fitToHeight="2" orientation="landscape" r:id="rId1"/>
  <headerFooter>
    <oddFooter>&amp;C&amp;8&amp;A&amp;L&amp;8Portland General Electric utility FP&amp;&amp;A model · public data (EIA, FERC via PUDL, NOAA)&amp;R&amp;8Page &amp;P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E3F79-2671-4787-A552-D88CFD4786CB}">
  <sheetPr>
    <tabColor rgb="FF0F766E"/>
    <pageSetUpPr fitToPage="1"/>
  </sheetPr>
  <dimension ref="B1:Q216"/>
  <sheetViews>
    <sheetView showGridLines="0" zoomScale="90" zoomScaleNormal="90" workbookViewId="0"/>
  </sheetViews>
  <sheetFormatPr defaultRowHeight="13" x14ac:dyDescent="0.3"/>
  <cols>
    <col min="1" max="1" width="2.69921875" customWidth="1"/>
    <col min="2" max="2" width="14.69921875" customWidth="1"/>
    <col min="3" max="17" width="12.69921875" customWidth="1"/>
  </cols>
  <sheetData>
    <row r="1" spans="2:17" ht="30" customHeight="1" x14ac:dyDescent="0.55000000000000004">
      <c r="B1" s="1" t="str">
        <f>"Rolling forecast: "&amp;TEXT(AsOfMonth,"mmmm yyyy")&amp;" actuals, "&amp;(12-MonthsClosed)&amp;" months forecast"</f>
        <v>Rolling forecast: June 2026 actuals, 6 months forecast</v>
      </c>
    </row>
    <row r="2" spans="2:17" ht="28" customHeight="1" x14ac:dyDescent="0.3">
      <c r="B2" s="32" t="s">
        <v>375</v>
      </c>
      <c r="C2" s="32"/>
      <c r="D2" s="32"/>
      <c r="E2" s="32"/>
      <c r="F2" s="32"/>
      <c r="G2" s="32"/>
      <c r="H2" s="32"/>
      <c r="I2" s="32"/>
      <c r="J2" s="32"/>
      <c r="K2" s="32"/>
      <c r="L2" s="32"/>
      <c r="M2" s="32"/>
      <c r="N2" s="32"/>
      <c r="O2" s="32"/>
      <c r="P2" s="32"/>
      <c r="Q2" s="32"/>
    </row>
    <row r="4" spans="2:17" ht="18" customHeight="1" x14ac:dyDescent="0.3">
      <c r="B4" s="7" t="s">
        <v>376</v>
      </c>
      <c r="C4" s="7"/>
      <c r="D4" s="7"/>
      <c r="E4" s="7"/>
      <c r="F4" s="7"/>
      <c r="G4" s="7"/>
      <c r="H4" s="7"/>
      <c r="I4" s="7"/>
      <c r="J4" s="7"/>
      <c r="K4" s="7"/>
      <c r="L4" s="7"/>
      <c r="M4" s="7"/>
    </row>
    <row r="5" spans="2:17" ht="30" customHeight="1" x14ac:dyDescent="0.3">
      <c r="B5" s="64" t="s">
        <v>208</v>
      </c>
      <c r="C5" s="65" t="s">
        <v>279</v>
      </c>
      <c r="D5" s="65" t="s">
        <v>283</v>
      </c>
      <c r="E5" s="65" t="s">
        <v>284</v>
      </c>
      <c r="F5" s="65" t="s">
        <v>334</v>
      </c>
      <c r="G5" s="65" t="s">
        <v>377</v>
      </c>
      <c r="H5" s="65" t="s">
        <v>378</v>
      </c>
      <c r="I5" s="65" t="s">
        <v>337</v>
      </c>
      <c r="J5" s="65" t="s">
        <v>379</v>
      </c>
      <c r="K5" s="65" t="s">
        <v>378</v>
      </c>
      <c r="L5" s="65" t="s">
        <v>339</v>
      </c>
    </row>
    <row r="6" spans="2:17" x14ac:dyDescent="0.3">
      <c r="B6" t="s">
        <v>93</v>
      </c>
      <c r="C6" s="61" t="s">
        <v>92</v>
      </c>
      <c r="D6" s="54">
        <f>SUMIFS(tbl_Monthly[customers],tbl_Monthly[class],$C6,tbl_Monthly[month],AsOfMonth)</f>
        <v>846477</v>
      </c>
      <c r="E6" s="54">
        <f>SUMIFS(tbl_Monthly[customers],tbl_Monthly[class],$C6,tbl_Monthly[month],EDATE(AsOfMonth,-12))</f>
        <v>840422</v>
      </c>
      <c r="F6" s="88" cm="1">
        <f t="array" ref="F6">SAFEDIV(D6,E6)</f>
        <v>1.0072047138223417</v>
      </c>
      <c r="G6" s="54">
        <f>SUMIFS(tbl_Monthly[mwh],tbl_Monthly[class],$C6,tbl_Monthly[month],"&gt;="&amp;FYStart,tbl_Monthly[month],"&lt;="&amp;AsOfMonth)</f>
        <v>3677698.2180000003</v>
      </c>
      <c r="H6" s="54">
        <f>SUMIFS(tbl_Monthly[mwh],tbl_Monthly[class],$C6,tbl_Monthly[month],"&gt;="&amp;EDATE(FYStart,-12),tbl_Monthly[month],"&lt;="&amp;EDATE(AsOfMonth,-12))</f>
        <v>3797252.4870000002</v>
      </c>
      <c r="I6" s="88" cm="1">
        <f t="array" ref="I6">SAFEDIV(G6,H6)</f>
        <v>0.96851558609565802</v>
      </c>
      <c r="J6" s="58" cm="1">
        <f t="array" ref="J6">SAFEDIV(SUMIFS(tbl_Monthly[revenue],tbl_Monthly[class],$C6,tbl_Monthly[month],"&gt;="&amp;FYStart,tbl_Monthly[month],"&lt;="&amp;AsOfMonth),G6)</f>
        <v>189.01625984364549</v>
      </c>
      <c r="K6" s="58" cm="1">
        <f t="array" ref="K6">SAFEDIV(SUMIFS(tbl_Monthly[revenue],tbl_Monthly[class],$C6,tbl_Monthly[month],"&gt;="&amp;EDATE(FYStart,-12),tbl_Monthly[month],"&lt;="&amp;EDATE(AsOfMonth,-12)),H6)</f>
        <v>187.58126999417513</v>
      </c>
      <c r="L6" s="88" cm="1">
        <f t="array" ref="L6">SAFEDIV(J6,K6)</f>
        <v>1.007649963397278</v>
      </c>
    </row>
    <row r="7" spans="2:17" x14ac:dyDescent="0.3">
      <c r="B7" t="s">
        <v>96</v>
      </c>
      <c r="C7" s="61" t="s">
        <v>95</v>
      </c>
      <c r="D7" s="54">
        <f>SUMIFS(tbl_Monthly[customers],tbl_Monthly[class],$C7,tbl_Monthly[month],AsOfMonth)</f>
        <v>110492</v>
      </c>
      <c r="E7" s="54">
        <f>SUMIFS(tbl_Monthly[customers],tbl_Monthly[class],$C7,tbl_Monthly[month],EDATE(AsOfMonth,-12))</f>
        <v>110061</v>
      </c>
      <c r="F7" s="88" cm="1">
        <f t="array" ref="F7">SAFEDIV(D7,E7)</f>
        <v>1.0039160102125184</v>
      </c>
      <c r="G7" s="54">
        <f>SUMIFS(tbl_Monthly[mwh],tbl_Monthly[class],$C7,tbl_Monthly[month],"&gt;="&amp;FYStart,tbl_Monthly[month],"&lt;="&amp;AsOfMonth)</f>
        <v>3100530.4840000002</v>
      </c>
      <c r="H7" s="54">
        <f>SUMIFS(tbl_Monthly[mwh],tbl_Monthly[class],$C7,tbl_Monthly[month],"&gt;="&amp;EDATE(FYStart,-12),tbl_Monthly[month],"&lt;="&amp;EDATE(AsOfMonth,-12))</f>
        <v>3153190.4670000002</v>
      </c>
      <c r="I7" s="88" cm="1">
        <f t="array" ref="I7">SAFEDIV(G7,H7)</f>
        <v>0.98329946016546799</v>
      </c>
      <c r="J7" s="58" cm="1">
        <f t="array" ref="J7">SAFEDIV(SUMIFS(tbl_Monthly[revenue],tbl_Monthly[class],$C7,tbl_Monthly[month],"&gt;="&amp;FYStart,tbl_Monthly[month],"&lt;="&amp;AsOfMonth),G7)</f>
        <v>152.97546934229723</v>
      </c>
      <c r="K7" s="58" cm="1">
        <f t="array" ref="K7">SAFEDIV(SUMIFS(tbl_Monthly[revenue],tbl_Monthly[class],$C7,tbl_Monthly[month],"&gt;="&amp;EDATE(FYStart,-12),tbl_Monthly[month],"&lt;="&amp;EDATE(AsOfMonth,-12)),H7)</f>
        <v>148.5951644544281</v>
      </c>
      <c r="L7" s="88" cm="1">
        <f t="array" ref="L7">SAFEDIV(J7,K7)</f>
        <v>1.0294781119153611</v>
      </c>
    </row>
    <row r="8" spans="2:17" x14ac:dyDescent="0.3">
      <c r="B8" t="s">
        <v>98</v>
      </c>
      <c r="C8" s="61" t="s">
        <v>97</v>
      </c>
      <c r="D8" s="54">
        <f>SUMIFS(tbl_Monthly[customers],tbl_Monthly[class],$C8,tbl_Monthly[month],AsOfMonth)</f>
        <v>4318</v>
      </c>
      <c r="E8" s="54">
        <f>SUMIFS(tbl_Monthly[customers],tbl_Monthly[class],$C8,tbl_Monthly[month],EDATE(AsOfMonth,-12))</f>
        <v>4362</v>
      </c>
      <c r="F8" s="88" cm="1">
        <f t="array" ref="F8">SAFEDIV(D8,E8)</f>
        <v>0.98991288399816602</v>
      </c>
      <c r="G8" s="54">
        <f>SUMIFS(tbl_Monthly[mwh],tbl_Monthly[class],$C8,tbl_Monthly[month],"&gt;="&amp;FYStart,tbl_Monthly[month],"&lt;="&amp;AsOfMonth)</f>
        <v>3177473.0930000003</v>
      </c>
      <c r="H8" s="54">
        <f>SUMIFS(tbl_Monthly[mwh],tbl_Monthly[class],$C8,tbl_Monthly[month],"&gt;="&amp;EDATE(FYStart,-12),tbl_Monthly[month],"&lt;="&amp;EDATE(AsOfMonth,-12))</f>
        <v>2832897.3419999997</v>
      </c>
      <c r="I8" s="88" cm="1">
        <f t="array" ref="I8">SAFEDIV(G8,H8)</f>
        <v>1.1216336878472035</v>
      </c>
      <c r="J8" s="58" cm="1">
        <f t="array" ref="J8">SAFEDIV(SUMIFS(tbl_Monthly[revenue],tbl_Monthly[class],$C8,tbl_Monthly[month],"&gt;="&amp;FYStart,tbl_Monthly[month],"&lt;="&amp;AsOfMonth),G8)</f>
        <v>94.358247331978262</v>
      </c>
      <c r="K8" s="58" cm="1">
        <f t="array" ref="K8">SAFEDIV(SUMIFS(tbl_Monthly[revenue],tbl_Monthly[class],$C8,tbl_Monthly[month],"&gt;="&amp;EDATE(FYStart,-12),tbl_Monthly[month],"&lt;="&amp;EDATE(AsOfMonth,-12)),H8)</f>
        <v>92.059242011177702</v>
      </c>
      <c r="L8" s="88" cm="1">
        <f t="array" ref="L8">SAFEDIV(J8,K8)</f>
        <v>1.0249731072141721</v>
      </c>
    </row>
    <row r="9" spans="2:17" x14ac:dyDescent="0.3">
      <c r="B9" t="s">
        <v>101</v>
      </c>
      <c r="C9" s="61" t="s">
        <v>100</v>
      </c>
      <c r="D9" s="54">
        <f>SUMIFS(tbl_Monthly[customers],tbl_Monthly[class],$C9,tbl_Monthly[month],AsOfMonth)</f>
        <v>1</v>
      </c>
      <c r="E9" s="54">
        <f>SUMIFS(tbl_Monthly[customers],tbl_Monthly[class],$C9,tbl_Monthly[month],EDATE(AsOfMonth,-12))</f>
        <v>1</v>
      </c>
      <c r="F9" s="88" cm="1">
        <f t="array" ref="F9">SAFEDIV(D9,E9)</f>
        <v>1</v>
      </c>
      <c r="G9" s="54">
        <f>SUMIFS(tbl_Monthly[mwh],tbl_Monthly[class],$C9,tbl_Monthly[month],"&gt;="&amp;FYStart,tbl_Monthly[month],"&lt;="&amp;AsOfMonth)</f>
        <v>5240.7759999999998</v>
      </c>
      <c r="H9" s="54">
        <f>SUMIFS(tbl_Monthly[mwh],tbl_Monthly[class],$C9,tbl_Monthly[month],"&gt;="&amp;EDATE(FYStart,-12),tbl_Monthly[month],"&lt;="&amp;EDATE(AsOfMonth,-12))</f>
        <v>5673.7510000000002</v>
      </c>
      <c r="I9" s="88" cm="1">
        <f t="array" ref="I9">SAFEDIV(G9,H9)</f>
        <v>0.92368805046255986</v>
      </c>
      <c r="J9" s="58" cm="1">
        <f t="array" ref="J9">SAFEDIV(SUMIFS(tbl_Monthly[revenue],tbl_Monthly[class],$C9,tbl_Monthly[month],"&gt;="&amp;FYStart,tbl_Monthly[month],"&lt;="&amp;AsOfMonth),G9)</f>
        <v>131.94515468701582</v>
      </c>
      <c r="K9" s="58" cm="1">
        <f t="array" ref="K9">SAFEDIV(SUMIFS(tbl_Monthly[revenue],tbl_Monthly[class],$C9,tbl_Monthly[month],"&gt;="&amp;EDATE(FYStart,-12),tbl_Monthly[month],"&lt;="&amp;EDATE(AsOfMonth,-12)),H9)</f>
        <v>128.29819285336984</v>
      </c>
      <c r="L9" s="88" cm="1">
        <f t="array" ref="L9">SAFEDIV(J9,K9)</f>
        <v>1.0284256679890575</v>
      </c>
    </row>
    <row r="11" spans="2:17" ht="18" customHeight="1" x14ac:dyDescent="0.3">
      <c r="B11" s="7" t="s">
        <v>380</v>
      </c>
      <c r="C11" s="7"/>
      <c r="D11" s="7"/>
      <c r="E11" s="7"/>
      <c r="F11" s="7"/>
      <c r="G11" s="7"/>
      <c r="H11" s="7"/>
      <c r="I11" s="7"/>
      <c r="J11" s="7"/>
      <c r="K11" s="7"/>
      <c r="L11" s="7"/>
      <c r="M11" s="7"/>
      <c r="N11" s="7"/>
      <c r="O11" s="7"/>
    </row>
    <row r="12" spans="2:17" x14ac:dyDescent="0.3">
      <c r="B12" s="24" t="s">
        <v>299</v>
      </c>
      <c r="C12" s="105">
        <f>DATE(FiscalYear,COLUMN()-2,1)</f>
        <v>46023</v>
      </c>
      <c r="D12" s="105">
        <f>DATE(FiscalYear,COLUMN()-2,1)</f>
        <v>46054</v>
      </c>
      <c r="E12" s="105">
        <f>DATE(FiscalYear,COLUMN()-2,1)</f>
        <v>46082</v>
      </c>
      <c r="F12" s="105">
        <f>DATE(FiscalYear,COLUMN()-2,1)</f>
        <v>46113</v>
      </c>
      <c r="G12" s="105">
        <f>DATE(FiscalYear,COLUMN()-2,1)</f>
        <v>46143</v>
      </c>
      <c r="H12" s="105">
        <f>DATE(FiscalYear,COLUMN()-2,1)</f>
        <v>46174</v>
      </c>
      <c r="I12" s="105">
        <f>DATE(FiscalYear,COLUMN()-2,1)</f>
        <v>46204</v>
      </c>
      <c r="J12" s="105">
        <f>DATE(FiscalYear,COLUMN()-2,1)</f>
        <v>46235</v>
      </c>
      <c r="K12" s="105">
        <f>DATE(FiscalYear,COLUMN()-2,1)</f>
        <v>46266</v>
      </c>
      <c r="L12" s="105">
        <f>DATE(FiscalYear,COLUMN()-2,1)</f>
        <v>46296</v>
      </c>
      <c r="M12" s="105">
        <f>DATE(FiscalYear,COLUMN()-2,1)</f>
        <v>46327</v>
      </c>
      <c r="N12" s="105">
        <f>DATE(FiscalYear,COLUMN()-2,1)</f>
        <v>46357</v>
      </c>
    </row>
    <row r="13" spans="2:17" x14ac:dyDescent="0.3">
      <c r="B13" t="s">
        <v>381</v>
      </c>
      <c r="C13" s="106" cm="1">
        <f t="array" ref="C13">_xlfn.XLOOKUP(C$12,tbl_Weather[month],tbl_Weather[hdd],INDEX(normal_hdd,COLUMN()-2)*HddScale)</f>
        <v>701</v>
      </c>
      <c r="D13" s="106" cm="1">
        <f t="array" ref="D13">_xlfn.XLOOKUP(D$12,tbl_Weather[month],tbl_Weather[hdd],INDEX(normal_hdd,COLUMN()-2)*HddScale)</f>
        <v>599</v>
      </c>
      <c r="E13" s="106" cm="1">
        <f t="array" ref="E13">_xlfn.XLOOKUP(E$12,tbl_Weather[month],tbl_Weather[hdd],INDEX(normal_hdd,COLUMN()-2)*HddScale)</f>
        <v>524</v>
      </c>
      <c r="F13" s="106" cm="1">
        <f t="array" ref="F13">_xlfn.XLOOKUP(F$12,tbl_Weather[month],tbl_Weather[hdd],INDEX(normal_hdd,COLUMN()-2)*HddScale)</f>
        <v>408</v>
      </c>
      <c r="G13" s="106" cm="1">
        <f t="array" ref="G13">_xlfn.XLOOKUP(G$12,tbl_Weather[month],tbl_Weather[hdd],INDEX(normal_hdd,COLUMN()-2)*HddScale)</f>
        <v>241</v>
      </c>
      <c r="H13" s="106" cm="1">
        <f t="array" ref="H13">_xlfn.XLOOKUP(H$12,tbl_Weather[month],tbl_Weather[hdd],INDEX(normal_hdd,COLUMN()-2)*HddScale)</f>
        <v>109</v>
      </c>
      <c r="I13" s="106" cm="1">
        <f t="array" ref="I13">_xlfn.XLOOKUP(I$12,tbl_Weather[month],tbl_Weather[hdd],INDEX(normal_hdd,COLUMN()-2)*HddScale)</f>
        <v>41</v>
      </c>
      <c r="J13" s="106" cm="1">
        <f t="array" ref="J13">_xlfn.XLOOKUP(J$12,tbl_Weather[month],tbl_Weather[hdd],INDEX(normal_hdd,COLUMN()-2)*HddScale)</f>
        <v>27</v>
      </c>
      <c r="K13" s="106" cm="1">
        <f t="array" ref="K13">_xlfn.XLOOKUP(K$12,tbl_Weather[month],tbl_Weather[hdd],INDEX(normal_hdd,COLUMN()-2)*HddScale)</f>
        <v>117.1</v>
      </c>
      <c r="L13" s="106" cm="1">
        <f t="array" ref="L13">_xlfn.XLOOKUP(L$12,tbl_Weather[month],tbl_Weather[hdd],INDEX(normal_hdd,COLUMN()-2)*HddScale)</f>
        <v>376.5</v>
      </c>
      <c r="M13" s="106" cm="1">
        <f t="array" ref="M13">_xlfn.XLOOKUP(M$12,tbl_Weather[month],tbl_Weather[hdd],INDEX(normal_hdd,COLUMN()-2)*HddScale)</f>
        <v>593.70000000000005</v>
      </c>
      <c r="N13" s="106" cm="1">
        <f t="array" ref="N13">_xlfn.XLOOKUP(N$12,tbl_Weather[month],tbl_Weather[hdd],INDEX(normal_hdd,COLUMN()-2)*HddScale)</f>
        <v>753.3</v>
      </c>
    </row>
    <row r="14" spans="2:17" x14ac:dyDescent="0.3">
      <c r="B14" t="s">
        <v>382</v>
      </c>
      <c r="C14" s="106" cm="1">
        <f t="array" ref="C14">_xlfn.XLOOKUP(C$12,tbl_Weather[month],tbl_Weather[cdd],INDEX(normal_cdd,COLUMN()-2)*CddScale)</f>
        <v>0</v>
      </c>
      <c r="D14" s="106" cm="1">
        <f t="array" ref="D14">_xlfn.XLOOKUP(D$12,tbl_Weather[month],tbl_Weather[cdd],INDEX(normal_cdd,COLUMN()-2)*CddScale)</f>
        <v>0</v>
      </c>
      <c r="E14" s="106" cm="1">
        <f t="array" ref="E14">_xlfn.XLOOKUP(E$12,tbl_Weather[month],tbl_Weather[cdd],INDEX(normal_cdd,COLUMN()-2)*CddScale)</f>
        <v>0</v>
      </c>
      <c r="F14" s="106" cm="1">
        <f t="array" ref="F14">_xlfn.XLOOKUP(F$12,tbl_Weather[month],tbl_Weather[cdd],INDEX(normal_cdd,COLUMN()-2)*CddScale)</f>
        <v>0</v>
      </c>
      <c r="G14" s="106" cm="1">
        <f t="array" ref="G14">_xlfn.XLOOKUP(G$12,tbl_Weather[month],tbl_Weather[cdd],INDEX(normal_cdd,COLUMN()-2)*CddScale)</f>
        <v>8</v>
      </c>
      <c r="H14" s="106" cm="1">
        <f t="array" ref="H14">_xlfn.XLOOKUP(H$12,tbl_Weather[month],tbl_Weather[cdd],INDEX(normal_cdd,COLUMN()-2)*CddScale)</f>
        <v>28</v>
      </c>
      <c r="I14" s="106" cm="1">
        <f t="array" ref="I14">_xlfn.XLOOKUP(I$12,tbl_Weather[month],tbl_Weather[cdd],INDEX(normal_cdd,COLUMN()-2)*CddScale)</f>
        <v>91</v>
      </c>
      <c r="J14" s="106" cm="1">
        <f t="array" ref="J14">_xlfn.XLOOKUP(J$12,tbl_Weather[month],tbl_Weather[cdd],INDEX(normal_cdd,COLUMN()-2)*CddScale)</f>
        <v>111</v>
      </c>
      <c r="K14" s="106" cm="1">
        <f t="array" ref="K14">_xlfn.XLOOKUP(K$12,tbl_Weather[month],tbl_Weather[cdd],INDEX(normal_cdd,COLUMN()-2)*CddScale)</f>
        <v>35.799999999999997</v>
      </c>
      <c r="L14" s="106" cm="1">
        <f t="array" ref="L14">_xlfn.XLOOKUP(L$12,tbl_Weather[month],tbl_Weather[cdd],INDEX(normal_cdd,COLUMN()-2)*CddScale)</f>
        <v>0</v>
      </c>
      <c r="M14" s="106" cm="1">
        <f t="array" ref="M14">_xlfn.XLOOKUP(M$12,tbl_Weather[month],tbl_Weather[cdd],INDEX(normal_cdd,COLUMN()-2)*CddScale)</f>
        <v>0</v>
      </c>
      <c r="N14" s="106" cm="1">
        <f t="array" ref="N14">_xlfn.XLOOKUP(N$12,tbl_Weather[month],tbl_Weather[cdd],INDEX(normal_cdd,COLUMN()-2)*CddScale)</f>
        <v>0</v>
      </c>
    </row>
    <row r="15" spans="2:17" x14ac:dyDescent="0.3">
      <c r="B15" t="s">
        <v>383</v>
      </c>
      <c r="C15" s="107" t="str">
        <f>IF(ISNUMBER(_xlfn.XMATCH(C$12,tbl_Weather[month])),"NOAA","normal")</f>
        <v>NOAA</v>
      </c>
      <c r="D15" s="107" t="str">
        <f>IF(ISNUMBER(_xlfn.XMATCH(D$12,tbl_Weather[month])),"NOAA","normal")</f>
        <v>NOAA</v>
      </c>
      <c r="E15" s="107" t="str">
        <f>IF(ISNUMBER(_xlfn.XMATCH(E$12,tbl_Weather[month])),"NOAA","normal")</f>
        <v>NOAA</v>
      </c>
      <c r="F15" s="107" t="str">
        <f>IF(ISNUMBER(_xlfn.XMATCH(F$12,tbl_Weather[month])),"NOAA","normal")</f>
        <v>NOAA</v>
      </c>
      <c r="G15" s="107" t="str">
        <f>IF(ISNUMBER(_xlfn.XMATCH(G$12,tbl_Weather[month])),"NOAA","normal")</f>
        <v>NOAA</v>
      </c>
      <c r="H15" s="107" t="str">
        <f>IF(ISNUMBER(_xlfn.XMATCH(H$12,tbl_Weather[month])),"NOAA","normal")</f>
        <v>NOAA</v>
      </c>
      <c r="I15" s="107" t="str">
        <f>IF(ISNUMBER(_xlfn.XMATCH(I$12,tbl_Weather[month])),"NOAA","normal")</f>
        <v>NOAA</v>
      </c>
      <c r="J15" s="107" t="str">
        <f>IF(ISNUMBER(_xlfn.XMATCH(J$12,tbl_Weather[month])),"NOAA","normal")</f>
        <v>NOAA</v>
      </c>
      <c r="K15" s="107" t="str">
        <f>IF(ISNUMBER(_xlfn.XMATCH(K$12,tbl_Weather[month])),"NOAA","normal")</f>
        <v>normal</v>
      </c>
      <c r="L15" s="107" t="str">
        <f>IF(ISNUMBER(_xlfn.XMATCH(L$12,tbl_Weather[month])),"NOAA","normal")</f>
        <v>normal</v>
      </c>
      <c r="M15" s="107" t="str">
        <f>IF(ISNUMBER(_xlfn.XMATCH(M$12,tbl_Weather[month])),"NOAA","normal")</f>
        <v>normal</v>
      </c>
      <c r="N15" s="107" t="str">
        <f>IF(ISNUMBER(_xlfn.XMATCH(N$12,tbl_Weather[month])),"NOAA","normal")</f>
        <v>normal</v>
      </c>
    </row>
    <row r="17" spans="2:13" ht="18" customHeight="1" x14ac:dyDescent="0.3">
      <c r="B17" s="7" t="s">
        <v>384</v>
      </c>
      <c r="C17" s="7"/>
      <c r="D17" s="7"/>
      <c r="E17" s="7"/>
      <c r="F17" s="7"/>
      <c r="G17" s="7"/>
      <c r="H17" s="7"/>
      <c r="I17" s="7"/>
      <c r="J17" s="7"/>
      <c r="K17" s="7"/>
      <c r="L17" s="7"/>
      <c r="M17" s="7"/>
    </row>
    <row r="18" spans="2:13" ht="30" customHeight="1" x14ac:dyDescent="0.3">
      <c r="B18" s="64" t="s">
        <v>299</v>
      </c>
      <c r="C18" s="65" t="s">
        <v>208</v>
      </c>
      <c r="D18" s="65" t="s">
        <v>385</v>
      </c>
      <c r="E18" s="65" t="s">
        <v>355</v>
      </c>
      <c r="F18" s="65" t="s">
        <v>301</v>
      </c>
      <c r="G18" s="65" t="s">
        <v>302</v>
      </c>
      <c r="H18" s="65" t="s">
        <v>345</v>
      </c>
      <c r="I18" s="65" t="s">
        <v>282</v>
      </c>
      <c r="J18" s="65" t="s">
        <v>386</v>
      </c>
      <c r="K18" s="65" t="s">
        <v>220</v>
      </c>
    </row>
    <row r="19" spans="2:13" x14ac:dyDescent="0.3">
      <c r="B19" s="79">
        <f>DATE(FiscalYear,MOD(ROWS($B$19:B19)-1,12)+1,1)</f>
        <v>46023</v>
      </c>
      <c r="C19" t="s">
        <v>92</v>
      </c>
      <c r="D19" t="b">
        <f>$B19&gt;AsOfMonth</f>
        <v>0</v>
      </c>
      <c r="E19" s="54" t="str">
        <f>IF($D19,_xlfn.XLOOKUP($C19,$C$6:$C$9,$D$6:$D$9)*_xlfn.XLOOKUP($C19,$C$6:$C$9,$F$6:$F$9)^((MONTH($B19)-MonthsClosed)/12)*(1+CustOverlay),"")</f>
        <v/>
      </c>
      <c r="F19" s="89" t="str" cm="1">
        <f t="array" ref="F19">IF($D19,INDEX($C$13:$N$13,MONTH($B19)),"")</f>
        <v/>
      </c>
      <c r="G19" s="89" t="str" cm="1">
        <f t="array" ref="G19">IF($D19,INDEX($C$14:$N$14,MONTH($B19)),"")</f>
        <v/>
      </c>
      <c r="H19" s="81" t="str" cm="1">
        <f t="array" ref="H19">IF(AND($D19,_xlfn.XLOOKUP($C19,tbl_Class[class],tbl_Class[weather_model])="yes"),_xlfn.XLOOKUP($C19,Weather!$I$6:$I$7,Weather!$C$6:$C$7)+_xlfn.XLOOKUP($C19,Weather!$I$6:$I$7,Weather!$D$6:$D$7)*F19+_xlfn.XLOOKUP($C19,Weather!$I$6:$I$7,Weather!$E$6:$E$7)*G19+_xlfn.XLOOKUP($C19,Weather!$I$6:$I$7,Weather!$F$6:$F$7)*TRENDYEARS($B19),"")</f>
        <v/>
      </c>
      <c r="I19" s="54" t="str">
        <f>IF($D19,IF(_xlfn.XLOOKUP($C19,tbl_Class[class],tbl_Class[weather_model])="yes",E19*H19,SUMIFS(tbl_Monthly[mwh],tbl_Monthly[class],$C19,tbl_Monthly[month],EDATE($B19,-12))*_xlfn.XLOOKUP($C19,$C$6:$C$9,$I$6:$I$9)*(1+CustOverlay))+IF($C19="industrial",ExtraMW*24*DAY(EOMONTH($B19,0)),0),"")</f>
        <v/>
      </c>
      <c r="J19" s="58" t="str" cm="1">
        <f t="array" ref="J19">IF($D19,SAFEDIV(SUMIFS(tbl_Monthly[revenue],tbl_Monthly[class],$C19,tbl_Monthly[month],EDATE($B19,-12)),SUMIFS(tbl_Monthly[mwh],tbl_Monthly[class],$C19,tbl_Monthly[month],EDATE($B19,-12)))*_xlfn.XLOOKUP($C19,$C$6:$C$9,$L$6:$L$9)*(1+RateChange),"")</f>
        <v/>
      </c>
      <c r="K19" s="54" t="str">
        <f t="shared" ref="K19:K66" si="0">IF($D19,I19*J19,"")</f>
        <v/>
      </c>
    </row>
    <row r="20" spans="2:13" x14ac:dyDescent="0.3">
      <c r="B20" s="79">
        <f>DATE(FiscalYear,MOD(ROWS($B$19:B20)-1,12)+1,1)</f>
        <v>46054</v>
      </c>
      <c r="C20" t="s">
        <v>92</v>
      </c>
      <c r="D20" t="b">
        <f>$B20&gt;AsOfMonth</f>
        <v>0</v>
      </c>
      <c r="E20" s="54" t="str">
        <f>IF($D20,_xlfn.XLOOKUP($C20,$C$6:$C$9,$D$6:$D$9)*_xlfn.XLOOKUP($C20,$C$6:$C$9,$F$6:$F$9)^((MONTH($B20)-MonthsClosed)/12)*(1+CustOverlay),"")</f>
        <v/>
      </c>
      <c r="F20" s="89" t="str" cm="1">
        <f t="array" ref="F20">IF($D20,INDEX($C$13:$N$13,MONTH($B20)),"")</f>
        <v/>
      </c>
      <c r="G20" s="89" t="str" cm="1">
        <f t="array" ref="G20">IF($D20,INDEX($C$14:$N$14,MONTH($B20)),"")</f>
        <v/>
      </c>
      <c r="H20" s="81" t="str" cm="1">
        <f t="array" ref="H20">IF(AND($D20,_xlfn.XLOOKUP($C20,tbl_Class[class],tbl_Class[weather_model])="yes"),_xlfn.XLOOKUP($C20,Weather!$I$6:$I$7,Weather!$C$6:$C$7)+_xlfn.XLOOKUP($C20,Weather!$I$6:$I$7,Weather!$D$6:$D$7)*F20+_xlfn.XLOOKUP($C20,Weather!$I$6:$I$7,Weather!$E$6:$E$7)*G20+_xlfn.XLOOKUP($C20,Weather!$I$6:$I$7,Weather!$F$6:$F$7)*TRENDYEARS($B20),"")</f>
        <v/>
      </c>
      <c r="I20" s="54" t="str">
        <f>IF($D20,IF(_xlfn.XLOOKUP($C20,tbl_Class[class],tbl_Class[weather_model])="yes",E20*H20,SUMIFS(tbl_Monthly[mwh],tbl_Monthly[class],$C20,tbl_Monthly[month],EDATE($B20,-12))*_xlfn.XLOOKUP($C20,$C$6:$C$9,$I$6:$I$9)*(1+CustOverlay))+IF($C20="industrial",ExtraMW*24*DAY(EOMONTH($B20,0)),0),"")</f>
        <v/>
      </c>
      <c r="J20" s="58" t="str" cm="1">
        <f t="array" ref="J20">IF($D20,SAFEDIV(SUMIFS(tbl_Monthly[revenue],tbl_Monthly[class],$C20,tbl_Monthly[month],EDATE($B20,-12)),SUMIFS(tbl_Monthly[mwh],tbl_Monthly[class],$C20,tbl_Monthly[month],EDATE($B20,-12)))*_xlfn.XLOOKUP($C20,$C$6:$C$9,$L$6:$L$9)*(1+RateChange),"")</f>
        <v/>
      </c>
      <c r="K20" s="54" t="str">
        <f t="shared" si="0"/>
        <v/>
      </c>
    </row>
    <row r="21" spans="2:13" x14ac:dyDescent="0.3">
      <c r="B21" s="79">
        <f>DATE(FiscalYear,MOD(ROWS($B$19:B21)-1,12)+1,1)</f>
        <v>46082</v>
      </c>
      <c r="C21" t="s">
        <v>92</v>
      </c>
      <c r="D21" t="b">
        <f>$B21&gt;AsOfMonth</f>
        <v>0</v>
      </c>
      <c r="E21" s="54" t="str">
        <f>IF($D21,_xlfn.XLOOKUP($C21,$C$6:$C$9,$D$6:$D$9)*_xlfn.XLOOKUP($C21,$C$6:$C$9,$F$6:$F$9)^((MONTH($B21)-MonthsClosed)/12)*(1+CustOverlay),"")</f>
        <v/>
      </c>
      <c r="F21" s="89" t="str" cm="1">
        <f t="array" ref="F21">IF($D21,INDEX($C$13:$N$13,MONTH($B21)),"")</f>
        <v/>
      </c>
      <c r="G21" s="89" t="str" cm="1">
        <f t="array" ref="G21">IF($D21,INDEX($C$14:$N$14,MONTH($B21)),"")</f>
        <v/>
      </c>
      <c r="H21" s="81" t="str" cm="1">
        <f t="array" ref="H21">IF(AND($D21,_xlfn.XLOOKUP($C21,tbl_Class[class],tbl_Class[weather_model])="yes"),_xlfn.XLOOKUP($C21,Weather!$I$6:$I$7,Weather!$C$6:$C$7)+_xlfn.XLOOKUP($C21,Weather!$I$6:$I$7,Weather!$D$6:$D$7)*F21+_xlfn.XLOOKUP($C21,Weather!$I$6:$I$7,Weather!$E$6:$E$7)*G21+_xlfn.XLOOKUP($C21,Weather!$I$6:$I$7,Weather!$F$6:$F$7)*TRENDYEARS($B21),"")</f>
        <v/>
      </c>
      <c r="I21" s="54" t="str">
        <f>IF($D21,IF(_xlfn.XLOOKUP($C21,tbl_Class[class],tbl_Class[weather_model])="yes",E21*H21,SUMIFS(tbl_Monthly[mwh],tbl_Monthly[class],$C21,tbl_Monthly[month],EDATE($B21,-12))*_xlfn.XLOOKUP($C21,$C$6:$C$9,$I$6:$I$9)*(1+CustOverlay))+IF($C21="industrial",ExtraMW*24*DAY(EOMONTH($B21,0)),0),"")</f>
        <v/>
      </c>
      <c r="J21" s="58" t="str" cm="1">
        <f t="array" ref="J21">IF($D21,SAFEDIV(SUMIFS(tbl_Monthly[revenue],tbl_Monthly[class],$C21,tbl_Monthly[month],EDATE($B21,-12)),SUMIFS(tbl_Monthly[mwh],tbl_Monthly[class],$C21,tbl_Monthly[month],EDATE($B21,-12)))*_xlfn.XLOOKUP($C21,$C$6:$C$9,$L$6:$L$9)*(1+RateChange),"")</f>
        <v/>
      </c>
      <c r="K21" s="54" t="str">
        <f t="shared" si="0"/>
        <v/>
      </c>
    </row>
    <row r="22" spans="2:13" x14ac:dyDescent="0.3">
      <c r="B22" s="79">
        <f>DATE(FiscalYear,MOD(ROWS($B$19:B22)-1,12)+1,1)</f>
        <v>46113</v>
      </c>
      <c r="C22" t="s">
        <v>92</v>
      </c>
      <c r="D22" t="b">
        <f>$B22&gt;AsOfMonth</f>
        <v>0</v>
      </c>
      <c r="E22" s="54" t="str">
        <f>IF($D22,_xlfn.XLOOKUP($C22,$C$6:$C$9,$D$6:$D$9)*_xlfn.XLOOKUP($C22,$C$6:$C$9,$F$6:$F$9)^((MONTH($B22)-MonthsClosed)/12)*(1+CustOverlay),"")</f>
        <v/>
      </c>
      <c r="F22" s="89" t="str" cm="1">
        <f t="array" ref="F22">IF($D22,INDEX($C$13:$N$13,MONTH($B22)),"")</f>
        <v/>
      </c>
      <c r="G22" s="89" t="str" cm="1">
        <f t="array" ref="G22">IF($D22,INDEX($C$14:$N$14,MONTH($B22)),"")</f>
        <v/>
      </c>
      <c r="H22" s="81" t="str" cm="1">
        <f t="array" ref="H22">IF(AND($D22,_xlfn.XLOOKUP($C22,tbl_Class[class],tbl_Class[weather_model])="yes"),_xlfn.XLOOKUP($C22,Weather!$I$6:$I$7,Weather!$C$6:$C$7)+_xlfn.XLOOKUP($C22,Weather!$I$6:$I$7,Weather!$D$6:$D$7)*F22+_xlfn.XLOOKUP($C22,Weather!$I$6:$I$7,Weather!$E$6:$E$7)*G22+_xlfn.XLOOKUP($C22,Weather!$I$6:$I$7,Weather!$F$6:$F$7)*TRENDYEARS($B22),"")</f>
        <v/>
      </c>
      <c r="I22" s="54" t="str">
        <f>IF($D22,IF(_xlfn.XLOOKUP($C22,tbl_Class[class],tbl_Class[weather_model])="yes",E22*H22,SUMIFS(tbl_Monthly[mwh],tbl_Monthly[class],$C22,tbl_Monthly[month],EDATE($B22,-12))*_xlfn.XLOOKUP($C22,$C$6:$C$9,$I$6:$I$9)*(1+CustOverlay))+IF($C22="industrial",ExtraMW*24*DAY(EOMONTH($B22,0)),0),"")</f>
        <v/>
      </c>
      <c r="J22" s="58" t="str" cm="1">
        <f t="array" ref="J22">IF($D22,SAFEDIV(SUMIFS(tbl_Monthly[revenue],tbl_Monthly[class],$C22,tbl_Monthly[month],EDATE($B22,-12)),SUMIFS(tbl_Monthly[mwh],tbl_Monthly[class],$C22,tbl_Monthly[month],EDATE($B22,-12)))*_xlfn.XLOOKUP($C22,$C$6:$C$9,$L$6:$L$9)*(1+RateChange),"")</f>
        <v/>
      </c>
      <c r="K22" s="54" t="str">
        <f t="shared" si="0"/>
        <v/>
      </c>
    </row>
    <row r="23" spans="2:13" x14ac:dyDescent="0.3">
      <c r="B23" s="79">
        <f>DATE(FiscalYear,MOD(ROWS($B$19:B23)-1,12)+1,1)</f>
        <v>46143</v>
      </c>
      <c r="C23" t="s">
        <v>92</v>
      </c>
      <c r="D23" t="b">
        <f>$B23&gt;AsOfMonth</f>
        <v>0</v>
      </c>
      <c r="E23" s="54" t="str">
        <f>IF($D23,_xlfn.XLOOKUP($C23,$C$6:$C$9,$D$6:$D$9)*_xlfn.XLOOKUP($C23,$C$6:$C$9,$F$6:$F$9)^((MONTH($B23)-MonthsClosed)/12)*(1+CustOverlay),"")</f>
        <v/>
      </c>
      <c r="F23" s="89" t="str" cm="1">
        <f t="array" ref="F23">IF($D23,INDEX($C$13:$N$13,MONTH($B23)),"")</f>
        <v/>
      </c>
      <c r="G23" s="89" t="str" cm="1">
        <f t="array" ref="G23">IF($D23,INDEX($C$14:$N$14,MONTH($B23)),"")</f>
        <v/>
      </c>
      <c r="H23" s="81" t="str" cm="1">
        <f t="array" ref="H23">IF(AND($D23,_xlfn.XLOOKUP($C23,tbl_Class[class],tbl_Class[weather_model])="yes"),_xlfn.XLOOKUP($C23,Weather!$I$6:$I$7,Weather!$C$6:$C$7)+_xlfn.XLOOKUP($C23,Weather!$I$6:$I$7,Weather!$D$6:$D$7)*F23+_xlfn.XLOOKUP($C23,Weather!$I$6:$I$7,Weather!$E$6:$E$7)*G23+_xlfn.XLOOKUP($C23,Weather!$I$6:$I$7,Weather!$F$6:$F$7)*TRENDYEARS($B23),"")</f>
        <v/>
      </c>
      <c r="I23" s="54" t="str">
        <f>IF($D23,IF(_xlfn.XLOOKUP($C23,tbl_Class[class],tbl_Class[weather_model])="yes",E23*H23,SUMIFS(tbl_Monthly[mwh],tbl_Monthly[class],$C23,tbl_Monthly[month],EDATE($B23,-12))*_xlfn.XLOOKUP($C23,$C$6:$C$9,$I$6:$I$9)*(1+CustOverlay))+IF($C23="industrial",ExtraMW*24*DAY(EOMONTH($B23,0)),0),"")</f>
        <v/>
      </c>
      <c r="J23" s="58" t="str" cm="1">
        <f t="array" ref="J23">IF($D23,SAFEDIV(SUMIFS(tbl_Monthly[revenue],tbl_Monthly[class],$C23,tbl_Monthly[month],EDATE($B23,-12)),SUMIFS(tbl_Monthly[mwh],tbl_Monthly[class],$C23,tbl_Monthly[month],EDATE($B23,-12)))*_xlfn.XLOOKUP($C23,$C$6:$C$9,$L$6:$L$9)*(1+RateChange),"")</f>
        <v/>
      </c>
      <c r="K23" s="54" t="str">
        <f t="shared" si="0"/>
        <v/>
      </c>
    </row>
    <row r="24" spans="2:13" x14ac:dyDescent="0.3">
      <c r="B24" s="79">
        <f>DATE(FiscalYear,MOD(ROWS($B$19:B24)-1,12)+1,1)</f>
        <v>46174</v>
      </c>
      <c r="C24" t="s">
        <v>92</v>
      </c>
      <c r="D24" t="b">
        <f>$B24&gt;AsOfMonth</f>
        <v>0</v>
      </c>
      <c r="E24" s="54" t="str">
        <f>IF($D24,_xlfn.XLOOKUP($C24,$C$6:$C$9,$D$6:$D$9)*_xlfn.XLOOKUP($C24,$C$6:$C$9,$F$6:$F$9)^((MONTH($B24)-MonthsClosed)/12)*(1+CustOverlay),"")</f>
        <v/>
      </c>
      <c r="F24" s="89" t="str" cm="1">
        <f t="array" ref="F24">IF($D24,INDEX($C$13:$N$13,MONTH($B24)),"")</f>
        <v/>
      </c>
      <c r="G24" s="89" t="str" cm="1">
        <f t="array" ref="G24">IF($D24,INDEX($C$14:$N$14,MONTH($B24)),"")</f>
        <v/>
      </c>
      <c r="H24" s="81" t="str" cm="1">
        <f t="array" ref="H24">IF(AND($D24,_xlfn.XLOOKUP($C24,tbl_Class[class],tbl_Class[weather_model])="yes"),_xlfn.XLOOKUP($C24,Weather!$I$6:$I$7,Weather!$C$6:$C$7)+_xlfn.XLOOKUP($C24,Weather!$I$6:$I$7,Weather!$D$6:$D$7)*F24+_xlfn.XLOOKUP($C24,Weather!$I$6:$I$7,Weather!$E$6:$E$7)*G24+_xlfn.XLOOKUP($C24,Weather!$I$6:$I$7,Weather!$F$6:$F$7)*TRENDYEARS($B24),"")</f>
        <v/>
      </c>
      <c r="I24" s="54" t="str">
        <f>IF($D24,IF(_xlfn.XLOOKUP($C24,tbl_Class[class],tbl_Class[weather_model])="yes",E24*H24,SUMIFS(tbl_Monthly[mwh],tbl_Monthly[class],$C24,tbl_Monthly[month],EDATE($B24,-12))*_xlfn.XLOOKUP($C24,$C$6:$C$9,$I$6:$I$9)*(1+CustOverlay))+IF($C24="industrial",ExtraMW*24*DAY(EOMONTH($B24,0)),0),"")</f>
        <v/>
      </c>
      <c r="J24" s="58" t="str" cm="1">
        <f t="array" ref="J24">IF($D24,SAFEDIV(SUMIFS(tbl_Monthly[revenue],tbl_Monthly[class],$C24,tbl_Monthly[month],EDATE($B24,-12)),SUMIFS(tbl_Monthly[mwh],tbl_Monthly[class],$C24,tbl_Monthly[month],EDATE($B24,-12)))*_xlfn.XLOOKUP($C24,$C$6:$C$9,$L$6:$L$9)*(1+RateChange),"")</f>
        <v/>
      </c>
      <c r="K24" s="54" t="str">
        <f t="shared" si="0"/>
        <v/>
      </c>
    </row>
    <row r="25" spans="2:13" x14ac:dyDescent="0.3">
      <c r="B25" s="79">
        <f>DATE(FiscalYear,MOD(ROWS($B$19:B25)-1,12)+1,1)</f>
        <v>46204</v>
      </c>
      <c r="C25" t="s">
        <v>92</v>
      </c>
      <c r="D25" t="b">
        <f>$B25&gt;AsOfMonth</f>
        <v>1</v>
      </c>
      <c r="E25" s="54">
        <f>IF($D25,_xlfn.XLOOKUP($C25,$C$6:$C$9,$D$6:$D$9)*_xlfn.XLOOKUP($C25,$C$6:$C$9,$F$6:$F$9)^((MONTH($B25)-MonthsClosed)/12)*(1+CustOverlay),"")</f>
        <v>846983.54817660362</v>
      </c>
      <c r="F25" s="89" cm="1">
        <f t="array" ref="F25">IF($D25,INDEX($C$13:$N$13,MONTH($B25)),"")</f>
        <v>41</v>
      </c>
      <c r="G25" s="89" cm="1">
        <f t="array" ref="G25">IF($D25,INDEX($C$14:$N$14,MONTH($B25)),"")</f>
        <v>91</v>
      </c>
      <c r="H25" s="81" cm="1">
        <f t="array" ref="H25">IF(AND($D25,_xlfn.XLOOKUP($C25,tbl_Class[class],tbl_Class[weather_model])="yes"),_xlfn.XLOOKUP($C25,Weather!$I$6:$I$7,Weather!$C$6:$C$7)+_xlfn.XLOOKUP($C25,Weather!$I$6:$I$7,Weather!$D$6:$D$7)*F25+_xlfn.XLOOKUP($C25,Weather!$I$6:$I$7,Weather!$E$6:$E$7)*G25+_xlfn.XLOOKUP($C25,Weather!$I$6:$I$7,Weather!$F$6:$F$7)*TRENDYEARS($B25),"")</f>
        <v>0.69601413498333065</v>
      </c>
      <c r="I25" s="54">
        <f>IF($D25,IF(_xlfn.XLOOKUP($C25,tbl_Class[class],tbl_Class[weather_model])="yes",E25*H25,SUMIFS(tbl_Monthly[mwh],tbl_Monthly[class],$C25,tbl_Monthly[month],EDATE($B25,-12))*_xlfn.XLOOKUP($C25,$C$6:$C$9,$I$6:$I$9)*(1+CustOverlay))+IF($C25="industrial",ExtraMW*24*DAY(EOMONTH($B25,0)),0),"")</f>
        <v>589512.52162925096</v>
      </c>
      <c r="J25" s="58" cm="1">
        <f t="array" ref="J25">IF($D25,SAFEDIV(SUMIFS(tbl_Monthly[revenue],tbl_Monthly[class],$C25,tbl_Monthly[month],EDATE($B25,-12)),SUMIFS(tbl_Monthly[mwh],tbl_Monthly[class],$C25,tbl_Monthly[month],EDATE($B25,-12)))*_xlfn.XLOOKUP($C25,$C$6:$C$9,$L$6:$L$9)*(1+RateChange),"")</f>
        <v>187.43759331550208</v>
      </c>
      <c r="K25" s="54">
        <f t="shared" si="0"/>
        <v>110496808.28353967</v>
      </c>
    </row>
    <row r="26" spans="2:13" x14ac:dyDescent="0.3">
      <c r="B26" s="79">
        <f>DATE(FiscalYear,MOD(ROWS($B$19:B26)-1,12)+1,1)</f>
        <v>46235</v>
      </c>
      <c r="C26" t="s">
        <v>92</v>
      </c>
      <c r="D26" t="b">
        <f>$B26&gt;AsOfMonth</f>
        <v>1</v>
      </c>
      <c r="E26" s="54">
        <f>IF($D26,_xlfn.XLOOKUP($C26,$C$6:$C$9,$D$6:$D$9)*_xlfn.XLOOKUP($C26,$C$6:$C$9,$F$6:$F$9)^((MONTH($B26)-MonthsClosed)/12)*(1+CustOverlay),"")</f>
        <v>847490.399481414</v>
      </c>
      <c r="F26" s="89" cm="1">
        <f t="array" ref="F26">IF($D26,INDEX($C$13:$N$13,MONTH($B26)),"")</f>
        <v>27</v>
      </c>
      <c r="G26" s="89" cm="1">
        <f t="array" ref="G26">IF($D26,INDEX($C$14:$N$14,MONTH($B26)),"")</f>
        <v>111</v>
      </c>
      <c r="H26" s="81" cm="1">
        <f t="array" ref="H26">IF(AND($D26,_xlfn.XLOOKUP($C26,tbl_Class[class],tbl_Class[weather_model])="yes"),_xlfn.XLOOKUP($C26,Weather!$I$6:$I$7,Weather!$C$6:$C$7)+_xlfn.XLOOKUP($C26,Weather!$I$6:$I$7,Weather!$D$6:$D$7)*F26+_xlfn.XLOOKUP($C26,Weather!$I$6:$I$7,Weather!$E$6:$E$7)*G26+_xlfn.XLOOKUP($C26,Weather!$I$6:$I$7,Weather!$F$6:$F$7)*TRENDYEARS($B26),"")</f>
        <v>0.73945935748560321</v>
      </c>
      <c r="I26" s="54">
        <f>IF($D26,IF(_xlfn.XLOOKUP($C26,tbl_Class[class],tbl_Class[weather_model])="yes",E26*H26,SUMIFS(tbl_Monthly[mwh],tbl_Monthly[class],$C26,tbl_Monthly[month],EDATE($B26,-12))*_xlfn.XLOOKUP($C26,$C$6:$C$9,$I$6:$I$9)*(1+CustOverlay))+IF($C26="industrial",ExtraMW*24*DAY(EOMONTH($B26,0)),0),"")</f>
        <v>626684.70627574355</v>
      </c>
      <c r="J26" s="58" cm="1">
        <f t="array" ref="J26">IF($D26,SAFEDIV(SUMIFS(tbl_Monthly[revenue],tbl_Monthly[class],$C26,tbl_Monthly[month],EDATE($B26,-12)),SUMIFS(tbl_Monthly[mwh],tbl_Monthly[class],$C26,tbl_Monthly[month],EDATE($B26,-12)))*_xlfn.XLOOKUP($C26,$C$6:$C$9,$L$6:$L$9)*(1+RateChange),"")</f>
        <v>188.57521969637332</v>
      </c>
      <c r="K26" s="54">
        <f t="shared" si="0"/>
        <v>118177206.16630553</v>
      </c>
    </row>
    <row r="27" spans="2:13" x14ac:dyDescent="0.3">
      <c r="B27" s="79">
        <f>DATE(FiscalYear,MOD(ROWS($B$19:B27)-1,12)+1,1)</f>
        <v>46266</v>
      </c>
      <c r="C27" t="s">
        <v>92</v>
      </c>
      <c r="D27" t="b">
        <f>$B27&gt;AsOfMonth</f>
        <v>1</v>
      </c>
      <c r="E27" s="54">
        <f>IF($D27,_xlfn.XLOOKUP($C27,$C$6:$C$9,$D$6:$D$9)*_xlfn.XLOOKUP($C27,$C$6:$C$9,$F$6:$F$9)^((MONTH($B27)-MonthsClosed)/12)*(1+CustOverlay),"")</f>
        <v>847997.55409582914</v>
      </c>
      <c r="F27" s="89" cm="1">
        <f t="array" ref="F27">IF($D27,INDEX($C$13:$N$13,MONTH($B27)),"")</f>
        <v>117.1</v>
      </c>
      <c r="G27" s="89" cm="1">
        <f t="array" ref="G27">IF($D27,INDEX($C$14:$N$14,MONTH($B27)),"")</f>
        <v>35.799999999999997</v>
      </c>
      <c r="H27" s="81" cm="1">
        <f t="array" ref="H27">IF(AND($D27,_xlfn.XLOOKUP($C27,tbl_Class[class],tbl_Class[weather_model])="yes"),_xlfn.XLOOKUP($C27,Weather!$I$6:$I$7,Weather!$C$6:$C$7)+_xlfn.XLOOKUP($C27,Weather!$I$6:$I$7,Weather!$D$6:$D$7)*F27+_xlfn.XLOOKUP($C27,Weather!$I$6:$I$7,Weather!$E$6:$E$7)*G27+_xlfn.XLOOKUP($C27,Weather!$I$6:$I$7,Weather!$F$6:$F$7)*TRENDYEARS($B27),"")</f>
        <v>0.59850652608851596</v>
      </c>
      <c r="I27" s="54">
        <f>IF($D27,IF(_xlfn.XLOOKUP($C27,tbl_Class[class],tbl_Class[weather_model])="yes",E27*H27,SUMIFS(tbl_Monthly[mwh],tbl_Monthly[class],$C27,tbl_Monthly[month],EDATE($B27,-12))*_xlfn.XLOOKUP($C27,$C$6:$C$9,$I$6:$I$9)*(1+CustOverlay))+IF($C27="industrial",ExtraMW*24*DAY(EOMONTH($B27,0)),0),"")</f>
        <v>507532.07023345307</v>
      </c>
      <c r="J27" s="58" cm="1">
        <f t="array" ref="J27">IF($D27,SAFEDIV(SUMIFS(tbl_Monthly[revenue],tbl_Monthly[class],$C27,tbl_Monthly[month],EDATE($B27,-12)),SUMIFS(tbl_Monthly[mwh],tbl_Monthly[class],$C27,tbl_Monthly[month],EDATE($B27,-12)))*_xlfn.XLOOKUP($C27,$C$6:$C$9,$L$6:$L$9)*(1+RateChange),"")</f>
        <v>193.31658825602659</v>
      </c>
      <c r="K27" s="54">
        <f t="shared" si="0"/>
        <v>98114368.248049214</v>
      </c>
    </row>
    <row r="28" spans="2:13" x14ac:dyDescent="0.3">
      <c r="B28" s="79">
        <f>DATE(FiscalYear,MOD(ROWS($B$19:B28)-1,12)+1,1)</f>
        <v>46296</v>
      </c>
      <c r="C28" t="s">
        <v>92</v>
      </c>
      <c r="D28" t="b">
        <f>$B28&gt;AsOfMonth</f>
        <v>1</v>
      </c>
      <c r="E28" s="54">
        <f>IF($D28,_xlfn.XLOOKUP($C28,$C$6:$C$9,$D$6:$D$9)*_xlfn.XLOOKUP($C28,$C$6:$C$9,$F$6:$F$9)^((MONTH($B28)-MonthsClosed)/12)*(1+CustOverlay),"")</f>
        <v>848505.01220135554</v>
      </c>
      <c r="F28" s="89" cm="1">
        <f t="array" ref="F28">IF($D28,INDEX($C$13:$N$13,MONTH($B28)),"")</f>
        <v>376.5</v>
      </c>
      <c r="G28" s="89" cm="1">
        <f t="array" ref="G28">IF($D28,INDEX($C$14:$N$14,MONTH($B28)),"")</f>
        <v>0</v>
      </c>
      <c r="H28" s="81" cm="1">
        <f t="array" ref="H28">IF(AND($D28,_xlfn.XLOOKUP($C28,tbl_Class[class],tbl_Class[weather_model])="yes"),_xlfn.XLOOKUP($C28,Weather!$I$6:$I$7,Weather!$C$6:$C$7)+_xlfn.XLOOKUP($C28,Weather!$I$6:$I$7,Weather!$D$6:$D$7)*F28+_xlfn.XLOOKUP($C28,Weather!$I$6:$I$7,Weather!$E$6:$E$7)*G28+_xlfn.XLOOKUP($C28,Weather!$I$6:$I$7,Weather!$F$6:$F$7)*TRENDYEARS($B28),"")</f>
        <v>0.67778425308102819</v>
      </c>
      <c r="I28" s="54">
        <f>IF($D28,IF(_xlfn.XLOOKUP($C28,tbl_Class[class],tbl_Class[weather_model])="yes",E28*H28,SUMIFS(tbl_Monthly[mwh],tbl_Monthly[class],$C28,tbl_Monthly[month],EDATE($B28,-12))*_xlfn.XLOOKUP($C28,$C$6:$C$9,$I$6:$I$9)*(1+CustOverlay))+IF($C28="industrial",ExtraMW*24*DAY(EOMONTH($B28,0)),0),"")</f>
        <v>575103.33593040449</v>
      </c>
      <c r="J28" s="58" cm="1">
        <f t="array" ref="J28">IF($D28,SAFEDIV(SUMIFS(tbl_Monthly[revenue],tbl_Monthly[class],$C28,tbl_Monthly[month],EDATE($B28,-12)),SUMIFS(tbl_Monthly[mwh],tbl_Monthly[class],$C28,tbl_Monthly[month],EDATE($B28,-12)))*_xlfn.XLOOKUP($C28,$C$6:$C$9,$L$6:$L$9)*(1+RateChange),"")</f>
        <v>192.50241091903388</v>
      </c>
      <c r="K28" s="54">
        <f t="shared" si="0"/>
        <v>110708778.6941819</v>
      </c>
    </row>
    <row r="29" spans="2:13" x14ac:dyDescent="0.3">
      <c r="B29" s="79">
        <f>DATE(FiscalYear,MOD(ROWS($B$19:B29)-1,12)+1,1)</f>
        <v>46327</v>
      </c>
      <c r="C29" t="s">
        <v>92</v>
      </c>
      <c r="D29" t="b">
        <f>$B29&gt;AsOfMonth</f>
        <v>1</v>
      </c>
      <c r="E29" s="54">
        <f>IF($D29,_xlfn.XLOOKUP($C29,$C$6:$C$9,$D$6:$D$9)*_xlfn.XLOOKUP($C29,$C$6:$C$9,$F$6:$F$9)^((MONTH($B29)-MonthsClosed)/12)*(1+CustOverlay),"")</f>
        <v>849012.77397960762</v>
      </c>
      <c r="F29" s="89" cm="1">
        <f t="array" ref="F29">IF($D29,INDEX($C$13:$N$13,MONTH($B29)),"")</f>
        <v>593.70000000000005</v>
      </c>
      <c r="G29" s="89" cm="1">
        <f t="array" ref="G29">IF($D29,INDEX($C$14:$N$14,MONTH($B29)),"")</f>
        <v>0</v>
      </c>
      <c r="H29" s="81" cm="1">
        <f t="array" ref="H29">IF(AND($D29,_xlfn.XLOOKUP($C29,tbl_Class[class],tbl_Class[weather_model])="yes"),_xlfn.XLOOKUP($C29,Weather!$I$6:$I$7,Weather!$C$6:$C$7)+_xlfn.XLOOKUP($C29,Weather!$I$6:$I$7,Weather!$D$6:$D$7)*F29+_xlfn.XLOOKUP($C29,Weather!$I$6:$I$7,Weather!$E$6:$E$7)*G29+_xlfn.XLOOKUP($C29,Weather!$I$6:$I$7,Weather!$F$6:$F$7)*TRENDYEARS($B29),"")</f>
        <v>0.8243360792063642</v>
      </c>
      <c r="I29" s="54">
        <f>IF($D29,IF(_xlfn.XLOOKUP($C29,tbl_Class[class],tbl_Class[weather_model])="yes",E29*H29,SUMIFS(tbl_Monthly[mwh],tbl_Monthly[class],$C29,tbl_Monthly[month],EDATE($B29,-12))*_xlfn.XLOOKUP($C29,$C$6:$C$9,$I$6:$I$9)*(1+CustOverlay))+IF($C29="industrial",ExtraMW*24*DAY(EOMONTH($B29,0)),0),"")</f>
        <v>699871.86129846878</v>
      </c>
      <c r="J29" s="58" cm="1">
        <f t="array" ref="J29">IF($D29,SAFEDIV(SUMIFS(tbl_Monthly[revenue],tbl_Monthly[class],$C29,tbl_Monthly[month],EDATE($B29,-12)),SUMIFS(tbl_Monthly[mwh],tbl_Monthly[class],$C29,tbl_Monthly[month],EDATE($B29,-12)))*_xlfn.XLOOKUP($C29,$C$6:$C$9,$L$6:$L$9)*(1+RateChange),"")</f>
        <v>190.84499072781387</v>
      </c>
      <c r="K29" s="54">
        <f t="shared" si="0"/>
        <v>133567038.8801641</v>
      </c>
    </row>
    <row r="30" spans="2:13" x14ac:dyDescent="0.3">
      <c r="B30" s="90">
        <f>DATE(FiscalYear,MOD(ROWS($B$19:B30)-1,12)+1,1)</f>
        <v>46357</v>
      </c>
      <c r="C30" s="91" t="s">
        <v>92</v>
      </c>
      <c r="D30" s="91" t="b">
        <f>$B30&gt;AsOfMonth</f>
        <v>1</v>
      </c>
      <c r="E30" s="92">
        <f>IF($D30,_xlfn.XLOOKUP($C30,$C$6:$C$9,$D$6:$D$9)*_xlfn.XLOOKUP($C30,$C$6:$C$9,$F$6:$F$9)^((MONTH($B30)-MonthsClosed)/12)*(1+CustOverlay),"")</f>
        <v>849520.83961230924</v>
      </c>
      <c r="F30" s="108" cm="1">
        <f t="array" ref="F30">IF($D30,INDEX($C$13:$N$13,MONTH($B30)),"")</f>
        <v>753.3</v>
      </c>
      <c r="G30" s="108" cm="1">
        <f t="array" ref="G30">IF($D30,INDEX($C$14:$N$14,MONTH($B30)),"")</f>
        <v>0</v>
      </c>
      <c r="H30" s="93" cm="1">
        <f t="array" ref="H30">IF(AND($D30,_xlfn.XLOOKUP($C30,tbl_Class[class],tbl_Class[weather_model])="yes"),_xlfn.XLOOKUP($C30,Weather!$I$6:$I$7,Weather!$C$6:$C$7)+_xlfn.XLOOKUP($C30,Weather!$I$6:$I$7,Weather!$D$6:$D$7)*F30+_xlfn.XLOOKUP($C30,Weather!$I$6:$I$7,Weather!$E$6:$E$7)*G30+_xlfn.XLOOKUP($C30,Weather!$I$6:$I$7,Weather!$F$6:$F$7)*TRENDYEARS($B30),"")</f>
        <v>0.93185717902615584</v>
      </c>
      <c r="I30" s="92">
        <f>IF($D30,IF(_xlfn.XLOOKUP($C30,tbl_Class[class],tbl_Class[weather_model])="yes",E30*H30,SUMIFS(tbl_Monthly[mwh],tbl_Monthly[class],$C30,tbl_Monthly[month],EDATE($B30,-12))*_xlfn.XLOOKUP($C30,$C$6:$C$9,$I$6:$I$9)*(1+CustOverlay))+IF($C30="industrial",ExtraMW*24*DAY(EOMONTH($B30,0)),0),"")</f>
        <v>791632.09312505787</v>
      </c>
      <c r="J30" s="94" cm="1">
        <f t="array" ref="J30">IF($D30,SAFEDIV(SUMIFS(tbl_Monthly[revenue],tbl_Monthly[class],$C30,tbl_Monthly[month],EDATE($B30,-12)),SUMIFS(tbl_Monthly[mwh],tbl_Monthly[class],$C30,tbl_Monthly[month],EDATE($B30,-12)))*_xlfn.XLOOKUP($C30,$C$6:$C$9,$L$6:$L$9)*(1+RateChange),"")</f>
        <v>187.43382701920746</v>
      </c>
      <c r="K30" s="92">
        <f t="shared" si="0"/>
        <v>148378632.80565521</v>
      </c>
    </row>
    <row r="31" spans="2:13" x14ac:dyDescent="0.3">
      <c r="B31" s="79">
        <f>DATE(FiscalYear,MOD(ROWS($B$19:B31)-1,12)+1,1)</f>
        <v>46023</v>
      </c>
      <c r="C31" t="s">
        <v>95</v>
      </c>
      <c r="D31" t="b">
        <f>$B31&gt;AsOfMonth</f>
        <v>0</v>
      </c>
      <c r="E31" s="54" t="str">
        <f>IF($D31,_xlfn.XLOOKUP($C31,$C$6:$C$9,$D$6:$D$9)*_xlfn.XLOOKUP($C31,$C$6:$C$9,$F$6:$F$9)^((MONTH($B31)-MonthsClosed)/12)*(1+CustOverlay),"")</f>
        <v/>
      </c>
      <c r="F31" s="89" t="str" cm="1">
        <f t="array" ref="F31">IF($D31,INDEX($C$13:$N$13,MONTH($B31)),"")</f>
        <v/>
      </c>
      <c r="G31" s="89" t="str" cm="1">
        <f t="array" ref="G31">IF($D31,INDEX($C$14:$N$14,MONTH($B31)),"")</f>
        <v/>
      </c>
      <c r="H31" s="81" t="str" cm="1">
        <f t="array" ref="H31">IF(AND($D31,_xlfn.XLOOKUP($C31,tbl_Class[class],tbl_Class[weather_model])="yes"),_xlfn.XLOOKUP($C31,Weather!$I$6:$I$7,Weather!$C$6:$C$7)+_xlfn.XLOOKUP($C31,Weather!$I$6:$I$7,Weather!$D$6:$D$7)*F31+_xlfn.XLOOKUP($C31,Weather!$I$6:$I$7,Weather!$E$6:$E$7)*G31+_xlfn.XLOOKUP($C31,Weather!$I$6:$I$7,Weather!$F$6:$F$7)*TRENDYEARS($B31),"")</f>
        <v/>
      </c>
      <c r="I31" s="54" t="str">
        <f>IF($D31,IF(_xlfn.XLOOKUP($C31,tbl_Class[class],tbl_Class[weather_model])="yes",E31*H31,SUMIFS(tbl_Monthly[mwh],tbl_Monthly[class],$C31,tbl_Monthly[month],EDATE($B31,-12))*_xlfn.XLOOKUP($C31,$C$6:$C$9,$I$6:$I$9)*(1+CustOverlay))+IF($C31="industrial",ExtraMW*24*DAY(EOMONTH($B31,0)),0),"")</f>
        <v/>
      </c>
      <c r="J31" s="58" t="str" cm="1">
        <f t="array" ref="J31">IF($D31,SAFEDIV(SUMIFS(tbl_Monthly[revenue],tbl_Monthly[class],$C31,tbl_Monthly[month],EDATE($B31,-12)),SUMIFS(tbl_Monthly[mwh],tbl_Monthly[class],$C31,tbl_Monthly[month],EDATE($B31,-12)))*_xlfn.XLOOKUP($C31,$C$6:$C$9,$L$6:$L$9)*(1+RateChange),"")</f>
        <v/>
      </c>
      <c r="K31" s="54" t="str">
        <f t="shared" si="0"/>
        <v/>
      </c>
    </row>
    <row r="32" spans="2:13" x14ac:dyDescent="0.3">
      <c r="B32" s="79">
        <f>DATE(FiscalYear,MOD(ROWS($B$19:B32)-1,12)+1,1)</f>
        <v>46054</v>
      </c>
      <c r="C32" t="s">
        <v>95</v>
      </c>
      <c r="D32" t="b">
        <f>$B32&gt;AsOfMonth</f>
        <v>0</v>
      </c>
      <c r="E32" s="54" t="str">
        <f>IF($D32,_xlfn.XLOOKUP($C32,$C$6:$C$9,$D$6:$D$9)*_xlfn.XLOOKUP($C32,$C$6:$C$9,$F$6:$F$9)^((MONTH($B32)-MonthsClosed)/12)*(1+CustOverlay),"")</f>
        <v/>
      </c>
      <c r="F32" s="89" t="str" cm="1">
        <f t="array" ref="F32">IF($D32,INDEX($C$13:$N$13,MONTH($B32)),"")</f>
        <v/>
      </c>
      <c r="G32" s="89" t="str" cm="1">
        <f t="array" ref="G32">IF($D32,INDEX($C$14:$N$14,MONTH($B32)),"")</f>
        <v/>
      </c>
      <c r="H32" s="81" t="str" cm="1">
        <f t="array" ref="H32">IF(AND($D32,_xlfn.XLOOKUP($C32,tbl_Class[class],tbl_Class[weather_model])="yes"),_xlfn.XLOOKUP($C32,Weather!$I$6:$I$7,Weather!$C$6:$C$7)+_xlfn.XLOOKUP($C32,Weather!$I$6:$I$7,Weather!$D$6:$D$7)*F32+_xlfn.XLOOKUP($C32,Weather!$I$6:$I$7,Weather!$E$6:$E$7)*G32+_xlfn.XLOOKUP($C32,Weather!$I$6:$I$7,Weather!$F$6:$F$7)*TRENDYEARS($B32),"")</f>
        <v/>
      </c>
      <c r="I32" s="54" t="str">
        <f>IF($D32,IF(_xlfn.XLOOKUP($C32,tbl_Class[class],tbl_Class[weather_model])="yes",E32*H32,SUMIFS(tbl_Monthly[mwh],tbl_Monthly[class],$C32,tbl_Monthly[month],EDATE($B32,-12))*_xlfn.XLOOKUP($C32,$C$6:$C$9,$I$6:$I$9)*(1+CustOverlay))+IF($C32="industrial",ExtraMW*24*DAY(EOMONTH($B32,0)),0),"")</f>
        <v/>
      </c>
      <c r="J32" s="58" t="str" cm="1">
        <f t="array" ref="J32">IF($D32,SAFEDIV(SUMIFS(tbl_Monthly[revenue],tbl_Monthly[class],$C32,tbl_Monthly[month],EDATE($B32,-12)),SUMIFS(tbl_Monthly[mwh],tbl_Monthly[class],$C32,tbl_Monthly[month],EDATE($B32,-12)))*_xlfn.XLOOKUP($C32,$C$6:$C$9,$L$6:$L$9)*(1+RateChange),"")</f>
        <v/>
      </c>
      <c r="K32" s="54" t="str">
        <f t="shared" si="0"/>
        <v/>
      </c>
    </row>
    <row r="33" spans="2:11" x14ac:dyDescent="0.3">
      <c r="B33" s="79">
        <f>DATE(FiscalYear,MOD(ROWS($B$19:B33)-1,12)+1,1)</f>
        <v>46082</v>
      </c>
      <c r="C33" t="s">
        <v>95</v>
      </c>
      <c r="D33" t="b">
        <f>$B33&gt;AsOfMonth</f>
        <v>0</v>
      </c>
      <c r="E33" s="54" t="str">
        <f>IF($D33,_xlfn.XLOOKUP($C33,$C$6:$C$9,$D$6:$D$9)*_xlfn.XLOOKUP($C33,$C$6:$C$9,$F$6:$F$9)^((MONTH($B33)-MonthsClosed)/12)*(1+CustOverlay),"")</f>
        <v/>
      </c>
      <c r="F33" s="89" t="str" cm="1">
        <f t="array" ref="F33">IF($D33,INDEX($C$13:$N$13,MONTH($B33)),"")</f>
        <v/>
      </c>
      <c r="G33" s="89" t="str" cm="1">
        <f t="array" ref="G33">IF($D33,INDEX($C$14:$N$14,MONTH($B33)),"")</f>
        <v/>
      </c>
      <c r="H33" s="81" t="str" cm="1">
        <f t="array" ref="H33">IF(AND($D33,_xlfn.XLOOKUP($C33,tbl_Class[class],tbl_Class[weather_model])="yes"),_xlfn.XLOOKUP($C33,Weather!$I$6:$I$7,Weather!$C$6:$C$7)+_xlfn.XLOOKUP($C33,Weather!$I$6:$I$7,Weather!$D$6:$D$7)*F33+_xlfn.XLOOKUP($C33,Weather!$I$6:$I$7,Weather!$E$6:$E$7)*G33+_xlfn.XLOOKUP($C33,Weather!$I$6:$I$7,Weather!$F$6:$F$7)*TRENDYEARS($B33),"")</f>
        <v/>
      </c>
      <c r="I33" s="54" t="str">
        <f>IF($D33,IF(_xlfn.XLOOKUP($C33,tbl_Class[class],tbl_Class[weather_model])="yes",E33*H33,SUMIFS(tbl_Monthly[mwh],tbl_Monthly[class],$C33,tbl_Monthly[month],EDATE($B33,-12))*_xlfn.XLOOKUP($C33,$C$6:$C$9,$I$6:$I$9)*(1+CustOverlay))+IF($C33="industrial",ExtraMW*24*DAY(EOMONTH($B33,0)),0),"")</f>
        <v/>
      </c>
      <c r="J33" s="58" t="str" cm="1">
        <f t="array" ref="J33">IF($D33,SAFEDIV(SUMIFS(tbl_Monthly[revenue],tbl_Monthly[class],$C33,tbl_Monthly[month],EDATE($B33,-12)),SUMIFS(tbl_Monthly[mwh],tbl_Monthly[class],$C33,tbl_Monthly[month],EDATE($B33,-12)))*_xlfn.XLOOKUP($C33,$C$6:$C$9,$L$6:$L$9)*(1+RateChange),"")</f>
        <v/>
      </c>
      <c r="K33" s="54" t="str">
        <f t="shared" si="0"/>
        <v/>
      </c>
    </row>
    <row r="34" spans="2:11" x14ac:dyDescent="0.3">
      <c r="B34" s="79">
        <f>DATE(FiscalYear,MOD(ROWS($B$19:B34)-1,12)+1,1)</f>
        <v>46113</v>
      </c>
      <c r="C34" t="s">
        <v>95</v>
      </c>
      <c r="D34" t="b">
        <f>$B34&gt;AsOfMonth</f>
        <v>0</v>
      </c>
      <c r="E34" s="54" t="str">
        <f>IF($D34,_xlfn.XLOOKUP($C34,$C$6:$C$9,$D$6:$D$9)*_xlfn.XLOOKUP($C34,$C$6:$C$9,$F$6:$F$9)^((MONTH($B34)-MonthsClosed)/12)*(1+CustOverlay),"")</f>
        <v/>
      </c>
      <c r="F34" s="89" t="str" cm="1">
        <f t="array" ref="F34">IF($D34,INDEX($C$13:$N$13,MONTH($B34)),"")</f>
        <v/>
      </c>
      <c r="G34" s="89" t="str" cm="1">
        <f t="array" ref="G34">IF($D34,INDEX($C$14:$N$14,MONTH($B34)),"")</f>
        <v/>
      </c>
      <c r="H34" s="81" t="str" cm="1">
        <f t="array" ref="H34">IF(AND($D34,_xlfn.XLOOKUP($C34,tbl_Class[class],tbl_Class[weather_model])="yes"),_xlfn.XLOOKUP($C34,Weather!$I$6:$I$7,Weather!$C$6:$C$7)+_xlfn.XLOOKUP($C34,Weather!$I$6:$I$7,Weather!$D$6:$D$7)*F34+_xlfn.XLOOKUP($C34,Weather!$I$6:$I$7,Weather!$E$6:$E$7)*G34+_xlfn.XLOOKUP($C34,Weather!$I$6:$I$7,Weather!$F$6:$F$7)*TRENDYEARS($B34),"")</f>
        <v/>
      </c>
      <c r="I34" s="54" t="str">
        <f>IF($D34,IF(_xlfn.XLOOKUP($C34,tbl_Class[class],tbl_Class[weather_model])="yes",E34*H34,SUMIFS(tbl_Monthly[mwh],tbl_Monthly[class],$C34,tbl_Monthly[month],EDATE($B34,-12))*_xlfn.XLOOKUP($C34,$C$6:$C$9,$I$6:$I$9)*(1+CustOverlay))+IF($C34="industrial",ExtraMW*24*DAY(EOMONTH($B34,0)),0),"")</f>
        <v/>
      </c>
      <c r="J34" s="58" t="str" cm="1">
        <f t="array" ref="J34">IF($D34,SAFEDIV(SUMIFS(tbl_Monthly[revenue],tbl_Monthly[class],$C34,tbl_Monthly[month],EDATE($B34,-12)),SUMIFS(tbl_Monthly[mwh],tbl_Monthly[class],$C34,tbl_Monthly[month],EDATE($B34,-12)))*_xlfn.XLOOKUP($C34,$C$6:$C$9,$L$6:$L$9)*(1+RateChange),"")</f>
        <v/>
      </c>
      <c r="K34" s="54" t="str">
        <f t="shared" si="0"/>
        <v/>
      </c>
    </row>
    <row r="35" spans="2:11" x14ac:dyDescent="0.3">
      <c r="B35" s="79">
        <f>DATE(FiscalYear,MOD(ROWS($B$19:B35)-1,12)+1,1)</f>
        <v>46143</v>
      </c>
      <c r="C35" t="s">
        <v>95</v>
      </c>
      <c r="D35" t="b">
        <f>$B35&gt;AsOfMonth</f>
        <v>0</v>
      </c>
      <c r="E35" s="54" t="str">
        <f>IF($D35,_xlfn.XLOOKUP($C35,$C$6:$C$9,$D$6:$D$9)*_xlfn.XLOOKUP($C35,$C$6:$C$9,$F$6:$F$9)^((MONTH($B35)-MonthsClosed)/12)*(1+CustOverlay),"")</f>
        <v/>
      </c>
      <c r="F35" s="89" t="str" cm="1">
        <f t="array" ref="F35">IF($D35,INDEX($C$13:$N$13,MONTH($B35)),"")</f>
        <v/>
      </c>
      <c r="G35" s="89" t="str" cm="1">
        <f t="array" ref="G35">IF($D35,INDEX($C$14:$N$14,MONTH($B35)),"")</f>
        <v/>
      </c>
      <c r="H35" s="81" t="str" cm="1">
        <f t="array" ref="H35">IF(AND($D35,_xlfn.XLOOKUP($C35,tbl_Class[class],tbl_Class[weather_model])="yes"),_xlfn.XLOOKUP($C35,Weather!$I$6:$I$7,Weather!$C$6:$C$7)+_xlfn.XLOOKUP($C35,Weather!$I$6:$I$7,Weather!$D$6:$D$7)*F35+_xlfn.XLOOKUP($C35,Weather!$I$6:$I$7,Weather!$E$6:$E$7)*G35+_xlfn.XLOOKUP($C35,Weather!$I$6:$I$7,Weather!$F$6:$F$7)*TRENDYEARS($B35),"")</f>
        <v/>
      </c>
      <c r="I35" s="54" t="str">
        <f>IF($D35,IF(_xlfn.XLOOKUP($C35,tbl_Class[class],tbl_Class[weather_model])="yes",E35*H35,SUMIFS(tbl_Monthly[mwh],tbl_Monthly[class],$C35,tbl_Monthly[month],EDATE($B35,-12))*_xlfn.XLOOKUP($C35,$C$6:$C$9,$I$6:$I$9)*(1+CustOverlay))+IF($C35="industrial",ExtraMW*24*DAY(EOMONTH($B35,0)),0),"")</f>
        <v/>
      </c>
      <c r="J35" s="58" t="str" cm="1">
        <f t="array" ref="J35">IF($D35,SAFEDIV(SUMIFS(tbl_Monthly[revenue],tbl_Monthly[class],$C35,tbl_Monthly[month],EDATE($B35,-12)),SUMIFS(tbl_Monthly[mwh],tbl_Monthly[class],$C35,tbl_Monthly[month],EDATE($B35,-12)))*_xlfn.XLOOKUP($C35,$C$6:$C$9,$L$6:$L$9)*(1+RateChange),"")</f>
        <v/>
      </c>
      <c r="K35" s="54" t="str">
        <f t="shared" si="0"/>
        <v/>
      </c>
    </row>
    <row r="36" spans="2:11" x14ac:dyDescent="0.3">
      <c r="B36" s="79">
        <f>DATE(FiscalYear,MOD(ROWS($B$19:B36)-1,12)+1,1)</f>
        <v>46174</v>
      </c>
      <c r="C36" t="s">
        <v>95</v>
      </c>
      <c r="D36" t="b">
        <f>$B36&gt;AsOfMonth</f>
        <v>0</v>
      </c>
      <c r="E36" s="54" t="str">
        <f>IF($D36,_xlfn.XLOOKUP($C36,$C$6:$C$9,$D$6:$D$9)*_xlfn.XLOOKUP($C36,$C$6:$C$9,$F$6:$F$9)^((MONTH($B36)-MonthsClosed)/12)*(1+CustOverlay),"")</f>
        <v/>
      </c>
      <c r="F36" s="89" t="str" cm="1">
        <f t="array" ref="F36">IF($D36,INDEX($C$13:$N$13,MONTH($B36)),"")</f>
        <v/>
      </c>
      <c r="G36" s="89" t="str" cm="1">
        <f t="array" ref="G36">IF($D36,INDEX($C$14:$N$14,MONTH($B36)),"")</f>
        <v/>
      </c>
      <c r="H36" s="81" t="str" cm="1">
        <f t="array" ref="H36">IF(AND($D36,_xlfn.XLOOKUP($C36,tbl_Class[class],tbl_Class[weather_model])="yes"),_xlfn.XLOOKUP($C36,Weather!$I$6:$I$7,Weather!$C$6:$C$7)+_xlfn.XLOOKUP($C36,Weather!$I$6:$I$7,Weather!$D$6:$D$7)*F36+_xlfn.XLOOKUP($C36,Weather!$I$6:$I$7,Weather!$E$6:$E$7)*G36+_xlfn.XLOOKUP($C36,Weather!$I$6:$I$7,Weather!$F$6:$F$7)*TRENDYEARS($B36),"")</f>
        <v/>
      </c>
      <c r="I36" s="54" t="str">
        <f>IF($D36,IF(_xlfn.XLOOKUP($C36,tbl_Class[class],tbl_Class[weather_model])="yes",E36*H36,SUMIFS(tbl_Monthly[mwh],tbl_Monthly[class],$C36,tbl_Monthly[month],EDATE($B36,-12))*_xlfn.XLOOKUP($C36,$C$6:$C$9,$I$6:$I$9)*(1+CustOverlay))+IF($C36="industrial",ExtraMW*24*DAY(EOMONTH($B36,0)),0),"")</f>
        <v/>
      </c>
      <c r="J36" s="58" t="str" cm="1">
        <f t="array" ref="J36">IF($D36,SAFEDIV(SUMIFS(tbl_Monthly[revenue],tbl_Monthly[class],$C36,tbl_Monthly[month],EDATE($B36,-12)),SUMIFS(tbl_Monthly[mwh],tbl_Monthly[class],$C36,tbl_Monthly[month],EDATE($B36,-12)))*_xlfn.XLOOKUP($C36,$C$6:$C$9,$L$6:$L$9)*(1+RateChange),"")</f>
        <v/>
      </c>
      <c r="K36" s="54" t="str">
        <f t="shared" si="0"/>
        <v/>
      </c>
    </row>
    <row r="37" spans="2:11" x14ac:dyDescent="0.3">
      <c r="B37" s="79">
        <f>DATE(FiscalYear,MOD(ROWS($B$19:B37)-1,12)+1,1)</f>
        <v>46204</v>
      </c>
      <c r="C37" t="s">
        <v>95</v>
      </c>
      <c r="D37" t="b">
        <f>$B37&gt;AsOfMonth</f>
        <v>1</v>
      </c>
      <c r="E37" s="54">
        <f>IF($D37,_xlfn.XLOOKUP($C37,$C$6:$C$9,$D$6:$D$9)*_xlfn.XLOOKUP($C37,$C$6:$C$9,$F$6:$F$9)^((MONTH($B37)-MonthsClosed)/12)*(1+CustOverlay),"")</f>
        <v>110527.99276111177</v>
      </c>
      <c r="F37" s="89" cm="1">
        <f t="array" ref="F37">IF($D37,INDEX($C$13:$N$13,MONTH($B37)),"")</f>
        <v>41</v>
      </c>
      <c r="G37" s="89" cm="1">
        <f t="array" ref="G37">IF($D37,INDEX($C$14:$N$14,MONTH($B37)),"")</f>
        <v>91</v>
      </c>
      <c r="H37" s="81" cm="1">
        <f t="array" ref="H37">IF(AND($D37,_xlfn.XLOOKUP($C37,tbl_Class[class],tbl_Class[weather_model])="yes"),_xlfn.XLOOKUP($C37,Weather!$I$6:$I$7,Weather!$C$6:$C$7)+_xlfn.XLOOKUP($C37,Weather!$I$6:$I$7,Weather!$D$6:$D$7)*F37+_xlfn.XLOOKUP($C37,Weather!$I$6:$I$7,Weather!$E$6:$E$7)*G37+_xlfn.XLOOKUP($C37,Weather!$I$6:$I$7,Weather!$F$6:$F$7)*TRENDYEARS($B37),"")</f>
        <v>4.984677263342741</v>
      </c>
      <c r="I37" s="54">
        <f>IF($D37,IF(_xlfn.XLOOKUP($C37,tbl_Class[class],tbl_Class[weather_model])="yes",E37*H37,SUMIFS(tbl_Monthly[mwh],tbl_Monthly[class],$C37,tbl_Monthly[month],EDATE($B37,-12))*_xlfn.XLOOKUP($C37,$C$6:$C$9,$I$6:$I$9)*(1+CustOverlay))+IF($C37="industrial",ExtraMW*24*DAY(EOMONTH($B37,0)),0),"")</f>
        <v>550946.37247922493</v>
      </c>
      <c r="J37" s="58" cm="1">
        <f t="array" ref="J37">IF($D37,SAFEDIV(SUMIFS(tbl_Monthly[revenue],tbl_Monthly[class],$C37,tbl_Monthly[month],EDATE($B37,-12)),SUMIFS(tbl_Monthly[mwh],tbl_Monthly[class],$C37,tbl_Monthly[month],EDATE($B37,-12)))*_xlfn.XLOOKUP($C37,$C$6:$C$9,$L$6:$L$9)*(1+RateChange),"")</f>
        <v>148.15438768398133</v>
      </c>
      <c r="K37" s="54">
        <f t="shared" si="0"/>
        <v>81625122.461370274</v>
      </c>
    </row>
    <row r="38" spans="2:11" x14ac:dyDescent="0.3">
      <c r="B38" s="79">
        <f>DATE(FiscalYear,MOD(ROWS($B$19:B38)-1,12)+1,1)</f>
        <v>46235</v>
      </c>
      <c r="C38" t="s">
        <v>95</v>
      </c>
      <c r="D38" t="b">
        <f>$B38&gt;AsOfMonth</f>
        <v>1</v>
      </c>
      <c r="E38" s="54">
        <f>IF($D38,_xlfn.XLOOKUP($C38,$C$6:$C$9,$D$6:$D$9)*_xlfn.XLOOKUP($C38,$C$6:$C$9,$F$6:$F$9)^((MONTH($B38)-MonthsClosed)/12)*(1+CustOverlay),"")</f>
        <v>110563.99724686291</v>
      </c>
      <c r="F38" s="89" cm="1">
        <f t="array" ref="F38">IF($D38,INDEX($C$13:$N$13,MONTH($B38)),"")</f>
        <v>27</v>
      </c>
      <c r="G38" s="89" cm="1">
        <f t="array" ref="G38">IF($D38,INDEX($C$14:$N$14,MONTH($B38)),"")</f>
        <v>111</v>
      </c>
      <c r="H38" s="81" cm="1">
        <f t="array" ref="H38">IF(AND($D38,_xlfn.XLOOKUP($C38,tbl_Class[class],tbl_Class[weather_model])="yes"),_xlfn.XLOOKUP($C38,Weather!$I$6:$I$7,Weather!$C$6:$C$7)+_xlfn.XLOOKUP($C38,Weather!$I$6:$I$7,Weather!$D$6:$D$7)*F38+_xlfn.XLOOKUP($C38,Weather!$I$6:$I$7,Weather!$E$6:$E$7)*G38+_xlfn.XLOOKUP($C38,Weather!$I$6:$I$7,Weather!$F$6:$F$7)*TRENDYEARS($B38),"")</f>
        <v>5.1178876184906983</v>
      </c>
      <c r="I38" s="54">
        <f>IF($D38,IF(_xlfn.XLOOKUP($C38,tbl_Class[class],tbl_Class[weather_model])="yes",E38*H38,SUMIFS(tbl_Monthly[mwh],tbl_Monthly[class],$C38,tbl_Monthly[month],EDATE($B38,-12))*_xlfn.XLOOKUP($C38,$C$6:$C$9,$I$6:$I$9)*(1+CustOverlay))+IF($C38="industrial",ExtraMW*24*DAY(EOMONTH($B38,0)),0),"")</f>
        <v>565854.11256055941</v>
      </c>
      <c r="J38" s="58" cm="1">
        <f t="array" ref="J38">IF($D38,SAFEDIV(SUMIFS(tbl_Monthly[revenue],tbl_Monthly[class],$C38,tbl_Monthly[month],EDATE($B38,-12)),SUMIFS(tbl_Monthly[mwh],tbl_Monthly[class],$C38,tbl_Monthly[month],EDATE($B38,-12)))*_xlfn.XLOOKUP($C38,$C$6:$C$9,$L$6:$L$9)*(1+RateChange),"")</f>
        <v>149.73625722176004</v>
      </c>
      <c r="K38" s="54">
        <f t="shared" si="0"/>
        <v>84728876.948358685</v>
      </c>
    </row>
    <row r="39" spans="2:11" x14ac:dyDescent="0.3">
      <c r="B39" s="79">
        <f>DATE(FiscalYear,MOD(ROWS($B$19:B39)-1,12)+1,1)</f>
        <v>46266</v>
      </c>
      <c r="C39" t="s">
        <v>95</v>
      </c>
      <c r="D39" t="b">
        <f>$B39&gt;AsOfMonth</f>
        <v>1</v>
      </c>
      <c r="E39" s="54">
        <f>IF($D39,_xlfn.XLOOKUP($C39,$C$6:$C$9,$D$6:$D$9)*_xlfn.XLOOKUP($C39,$C$6:$C$9,$F$6:$F$9)^((MONTH($B39)-MonthsClosed)/12)*(1+CustOverlay),"")</f>
        <v>110600.01346107274</v>
      </c>
      <c r="F39" s="89" cm="1">
        <f t="array" ref="F39">IF($D39,INDEX($C$13:$N$13,MONTH($B39)),"")</f>
        <v>117.1</v>
      </c>
      <c r="G39" s="89" cm="1">
        <f t="array" ref="G39">IF($D39,INDEX($C$14:$N$14,MONTH($B39)),"")</f>
        <v>35.799999999999997</v>
      </c>
      <c r="H39" s="81" cm="1">
        <f t="array" ref="H39">IF(AND($D39,_xlfn.XLOOKUP($C39,tbl_Class[class],tbl_Class[weather_model])="yes"),_xlfn.XLOOKUP($C39,Weather!$I$6:$I$7,Weather!$C$6:$C$7)+_xlfn.XLOOKUP($C39,Weather!$I$6:$I$7,Weather!$D$6:$D$7)*F39+_xlfn.XLOOKUP($C39,Weather!$I$6:$I$7,Weather!$E$6:$E$7)*G39+_xlfn.XLOOKUP($C39,Weather!$I$6:$I$7,Weather!$F$6:$F$7)*TRENDYEARS($B39),"")</f>
        <v>4.6147595153580294</v>
      </c>
      <c r="I39" s="54">
        <f>IF($D39,IF(_xlfn.XLOOKUP($C39,tbl_Class[class],tbl_Class[weather_model])="yes",E39*H39,SUMIFS(tbl_Monthly[mwh],tbl_Monthly[class],$C39,tbl_Monthly[month],EDATE($B39,-12))*_xlfn.XLOOKUP($C39,$C$6:$C$9,$I$6:$I$9)*(1+CustOverlay))+IF($C39="industrial",ExtraMW*24*DAY(EOMONTH($B39,0)),0),"")</f>
        <v>510392.46451821155</v>
      </c>
      <c r="J39" s="58" cm="1">
        <f t="array" ref="J39">IF($D39,SAFEDIV(SUMIFS(tbl_Monthly[revenue],tbl_Monthly[class],$C39,tbl_Monthly[month],EDATE($B39,-12)),SUMIFS(tbl_Monthly[mwh],tbl_Monthly[class],$C39,tbl_Monthly[month],EDATE($B39,-12)))*_xlfn.XLOOKUP($C39,$C$6:$C$9,$L$6:$L$9)*(1+RateChange),"")</f>
        <v>151.33573359336762</v>
      </c>
      <c r="K39" s="54">
        <f t="shared" si="0"/>
        <v>77240618.038390398</v>
      </c>
    </row>
    <row r="40" spans="2:11" x14ac:dyDescent="0.3">
      <c r="B40" s="79">
        <f>DATE(FiscalYear,MOD(ROWS($B$19:B40)-1,12)+1,1)</f>
        <v>46296</v>
      </c>
      <c r="C40" t="s">
        <v>95</v>
      </c>
      <c r="D40" t="b">
        <f>$B40&gt;AsOfMonth</f>
        <v>1</v>
      </c>
      <c r="E40" s="54">
        <f>IF($D40,_xlfn.XLOOKUP($C40,$C$6:$C$9,$D$6:$D$9)*_xlfn.XLOOKUP($C40,$C$6:$C$9,$F$6:$F$9)^((MONTH($B40)-MonthsClosed)/12)*(1+CustOverlay),"")</f>
        <v>110636.04140756176</v>
      </c>
      <c r="F40" s="89" cm="1">
        <f t="array" ref="F40">IF($D40,INDEX($C$13:$N$13,MONTH($B40)),"")</f>
        <v>376.5</v>
      </c>
      <c r="G40" s="89" cm="1">
        <f t="array" ref="G40">IF($D40,INDEX($C$14:$N$14,MONTH($B40)),"")</f>
        <v>0</v>
      </c>
      <c r="H40" s="81" cm="1">
        <f t="array" ref="H40">IF(AND($D40,_xlfn.XLOOKUP($C40,tbl_Class[class],tbl_Class[weather_model])="yes"),_xlfn.XLOOKUP($C40,Weather!$I$6:$I$7,Weather!$C$6:$C$7)+_xlfn.XLOOKUP($C40,Weather!$I$6:$I$7,Weather!$D$6:$D$7)*F40+_xlfn.XLOOKUP($C40,Weather!$I$6:$I$7,Weather!$E$6:$E$7)*G40+_xlfn.XLOOKUP($C40,Weather!$I$6:$I$7,Weather!$F$6:$F$7)*TRENDYEARS($B40),"")</f>
        <v>4.5084190267218407</v>
      </c>
      <c r="I40" s="54">
        <f>IF($D40,IF(_xlfn.XLOOKUP($C40,tbl_Class[class],tbl_Class[weather_model])="yes",E40*H40,SUMIFS(tbl_Monthly[mwh],tbl_Monthly[class],$C40,tbl_Monthly[month],EDATE($B40,-12))*_xlfn.XLOOKUP($C40,$C$6:$C$9,$I$6:$I$9)*(1+CustOverlay))+IF($C40="industrial",ExtraMW*24*DAY(EOMONTH($B40,0)),0),"")</f>
        <v>498793.63412303687</v>
      </c>
      <c r="J40" s="58" cm="1">
        <f t="array" ref="J40">IF($D40,SAFEDIV(SUMIFS(tbl_Monthly[revenue],tbl_Monthly[class],$C40,tbl_Monthly[month],EDATE($B40,-12)),SUMIFS(tbl_Monthly[mwh],tbl_Monthly[class],$C40,tbl_Monthly[month],EDATE($B40,-12)))*_xlfn.XLOOKUP($C40,$C$6:$C$9,$L$6:$L$9)*(1+RateChange),"")</f>
        <v>153.71457533195422</v>
      </c>
      <c r="K40" s="54">
        <f t="shared" si="0"/>
        <v>76671851.647504762</v>
      </c>
    </row>
    <row r="41" spans="2:11" x14ac:dyDescent="0.3">
      <c r="B41" s="79">
        <f>DATE(FiscalYear,MOD(ROWS($B$19:B41)-1,12)+1,1)</f>
        <v>46327</v>
      </c>
      <c r="C41" t="s">
        <v>95</v>
      </c>
      <c r="D41" t="b">
        <f>$B41&gt;AsOfMonth</f>
        <v>1</v>
      </c>
      <c r="E41" s="54">
        <f>IF($D41,_xlfn.XLOOKUP($C41,$C$6:$C$9,$D$6:$D$9)*_xlfn.XLOOKUP($C41,$C$6:$C$9,$F$6:$F$9)^((MONTH($B41)-MonthsClosed)/12)*(1+CustOverlay),"")</f>
        <v>110672.08109015177</v>
      </c>
      <c r="F41" s="89" cm="1">
        <f t="array" ref="F41">IF($D41,INDEX($C$13:$N$13,MONTH($B41)),"")</f>
        <v>593.70000000000005</v>
      </c>
      <c r="G41" s="89" cm="1">
        <f t="array" ref="G41">IF($D41,INDEX($C$14:$N$14,MONTH($B41)),"")</f>
        <v>0</v>
      </c>
      <c r="H41" s="81" cm="1">
        <f t="array" ref="H41">IF(AND($D41,_xlfn.XLOOKUP($C41,tbl_Class[class],tbl_Class[weather_model])="yes"),_xlfn.XLOOKUP($C41,Weather!$I$6:$I$7,Weather!$C$6:$C$7)+_xlfn.XLOOKUP($C41,Weather!$I$6:$I$7,Weather!$D$6:$D$7)*F41+_xlfn.XLOOKUP($C41,Weather!$I$6:$I$7,Weather!$E$6:$E$7)*G41+_xlfn.XLOOKUP($C41,Weather!$I$6:$I$7,Weather!$F$6:$F$7)*TRENDYEARS($B41),"")</f>
        <v>4.6394557522326085</v>
      </c>
      <c r="I41" s="54">
        <f>IF($D41,IF(_xlfn.XLOOKUP($C41,tbl_Class[class],tbl_Class[weather_model])="yes",E41*H41,SUMIFS(tbl_Monthly[mwh],tbl_Monthly[class],$C41,tbl_Monthly[month],EDATE($B41,-12))*_xlfn.XLOOKUP($C41,$C$6:$C$9,$I$6:$I$9)*(1+CustOverlay))+IF($C41="industrial",ExtraMW*24*DAY(EOMONTH($B41,0)),0),"")</f>
        <v>513458.22322525835</v>
      </c>
      <c r="J41" s="58" cm="1">
        <f t="array" ref="J41">IF($D41,SAFEDIV(SUMIFS(tbl_Monthly[revenue],tbl_Monthly[class],$C41,tbl_Monthly[month],EDATE($B41,-12)),SUMIFS(tbl_Monthly[mwh],tbl_Monthly[class],$C41,tbl_Monthly[month],EDATE($B41,-12)))*_xlfn.XLOOKUP($C41,$C$6:$C$9,$L$6:$L$9)*(1+RateChange),"")</f>
        <v>157.15295170203601</v>
      </c>
      <c r="K41" s="54">
        <f t="shared" si="0"/>
        <v>80691475.355532244</v>
      </c>
    </row>
    <row r="42" spans="2:11" x14ac:dyDescent="0.3">
      <c r="B42" s="90">
        <f>DATE(FiscalYear,MOD(ROWS($B$19:B42)-1,12)+1,1)</f>
        <v>46357</v>
      </c>
      <c r="C42" s="91" t="s">
        <v>95</v>
      </c>
      <c r="D42" s="91" t="b">
        <f>$B42&gt;AsOfMonth</f>
        <v>1</v>
      </c>
      <c r="E42" s="92">
        <f>IF($D42,_xlfn.XLOOKUP($C42,$C$6:$C$9,$D$6:$D$9)*_xlfn.XLOOKUP($C42,$C$6:$C$9,$F$6:$F$9)^((MONTH($B42)-MonthsClosed)/12)*(1+CustOverlay),"")</f>
        <v>110708.1325126658</v>
      </c>
      <c r="F42" s="108" cm="1">
        <f t="array" ref="F42">IF($D42,INDEX($C$13:$N$13,MONTH($B42)),"")</f>
        <v>753.3</v>
      </c>
      <c r="G42" s="108" cm="1">
        <f t="array" ref="G42">IF($D42,INDEX($C$14:$N$14,MONTH($B42)),"")</f>
        <v>0</v>
      </c>
      <c r="H42" s="93" cm="1">
        <f t="array" ref="H42">IF(AND($D42,_xlfn.XLOOKUP($C42,tbl_Class[class],tbl_Class[weather_model])="yes"),_xlfn.XLOOKUP($C42,Weather!$I$6:$I$7,Weather!$C$6:$C$7)+_xlfn.XLOOKUP($C42,Weather!$I$6:$I$7,Weather!$D$6:$D$7)*F42+_xlfn.XLOOKUP($C42,Weather!$I$6:$I$7,Weather!$E$6:$E$7)*G42+_xlfn.XLOOKUP($C42,Weather!$I$6:$I$7,Weather!$F$6:$F$7)*TRENDYEARS($B42),"")</f>
        <v>4.7343055007523747</v>
      </c>
      <c r="I42" s="92">
        <f>IF($D42,IF(_xlfn.XLOOKUP($C42,tbl_Class[class],tbl_Class[weather_model])="yes",E42*H42,SUMIFS(tbl_Monthly[mwh],tbl_Monthly[class],$C42,tbl_Monthly[month],EDATE($B42,-12))*_xlfn.XLOOKUP($C42,$C$6:$C$9,$I$6:$I$9)*(1+CustOverlay))+IF($C42="industrial",ExtraMW*24*DAY(EOMONTH($B42,0)),0),"")</f>
        <v>524126.12073273654</v>
      </c>
      <c r="J42" s="94" cm="1">
        <f t="array" ref="J42">IF($D42,SAFEDIV(SUMIFS(tbl_Monthly[revenue],tbl_Monthly[class],$C42,tbl_Monthly[month],EDATE($B42,-12)),SUMIFS(tbl_Monthly[mwh],tbl_Monthly[class],$C42,tbl_Monthly[month],EDATE($B42,-12)))*_xlfn.XLOOKUP($C42,$C$6:$C$9,$L$6:$L$9)*(1+RateChange),"")</f>
        <v>152.01098375795547</v>
      </c>
      <c r="K42" s="92">
        <f t="shared" si="0"/>
        <v>79672927.225824222</v>
      </c>
    </row>
    <row r="43" spans="2:11" x14ac:dyDescent="0.3">
      <c r="B43" s="79">
        <f>DATE(FiscalYear,MOD(ROWS($B$19:B43)-1,12)+1,1)</f>
        <v>46023</v>
      </c>
      <c r="C43" t="s">
        <v>97</v>
      </c>
      <c r="D43" t="b">
        <f>$B43&gt;AsOfMonth</f>
        <v>0</v>
      </c>
      <c r="E43" s="54" t="str">
        <f>IF($D43,_xlfn.XLOOKUP($C43,$C$6:$C$9,$D$6:$D$9)*_xlfn.XLOOKUP($C43,$C$6:$C$9,$F$6:$F$9)^((MONTH($B43)-MonthsClosed)/12)*(1+CustOverlay),"")</f>
        <v/>
      </c>
      <c r="F43" s="89" t="str" cm="1">
        <f t="array" ref="F43">IF($D43,INDEX($C$13:$N$13,MONTH($B43)),"")</f>
        <v/>
      </c>
      <c r="G43" s="89" t="str" cm="1">
        <f t="array" ref="G43">IF($D43,INDEX($C$14:$N$14,MONTH($B43)),"")</f>
        <v/>
      </c>
      <c r="H43" s="81" t="str" cm="1">
        <f t="array" ref="H43">IF(AND($D43,_xlfn.XLOOKUP($C43,tbl_Class[class],tbl_Class[weather_model])="yes"),_xlfn.XLOOKUP($C43,Weather!$I$6:$I$7,Weather!$C$6:$C$7)+_xlfn.XLOOKUP($C43,Weather!$I$6:$I$7,Weather!$D$6:$D$7)*F43+_xlfn.XLOOKUP($C43,Weather!$I$6:$I$7,Weather!$E$6:$E$7)*G43+_xlfn.XLOOKUP($C43,Weather!$I$6:$I$7,Weather!$F$6:$F$7)*TRENDYEARS($B43),"")</f>
        <v/>
      </c>
      <c r="I43" s="54" t="str">
        <f>IF($D43,IF(_xlfn.XLOOKUP($C43,tbl_Class[class],tbl_Class[weather_model])="yes",E43*H43,SUMIFS(tbl_Monthly[mwh],tbl_Monthly[class],$C43,tbl_Monthly[month],EDATE($B43,-12))*_xlfn.XLOOKUP($C43,$C$6:$C$9,$I$6:$I$9)*(1+CustOverlay))+IF($C43="industrial",ExtraMW*24*DAY(EOMONTH($B43,0)),0),"")</f>
        <v/>
      </c>
      <c r="J43" s="58" t="str" cm="1">
        <f t="array" ref="J43">IF($D43,SAFEDIV(SUMIFS(tbl_Monthly[revenue],tbl_Monthly[class],$C43,tbl_Monthly[month],EDATE($B43,-12)),SUMIFS(tbl_Monthly[mwh],tbl_Monthly[class],$C43,tbl_Monthly[month],EDATE($B43,-12)))*_xlfn.XLOOKUP($C43,$C$6:$C$9,$L$6:$L$9)*(1+RateChange),"")</f>
        <v/>
      </c>
      <c r="K43" s="54" t="str">
        <f t="shared" si="0"/>
        <v/>
      </c>
    </row>
    <row r="44" spans="2:11" x14ac:dyDescent="0.3">
      <c r="B44" s="79">
        <f>DATE(FiscalYear,MOD(ROWS($B$19:B44)-1,12)+1,1)</f>
        <v>46054</v>
      </c>
      <c r="C44" t="s">
        <v>97</v>
      </c>
      <c r="D44" t="b">
        <f>$B44&gt;AsOfMonth</f>
        <v>0</v>
      </c>
      <c r="E44" s="54" t="str">
        <f>IF($D44,_xlfn.XLOOKUP($C44,$C$6:$C$9,$D$6:$D$9)*_xlfn.XLOOKUP($C44,$C$6:$C$9,$F$6:$F$9)^((MONTH($B44)-MonthsClosed)/12)*(1+CustOverlay),"")</f>
        <v/>
      </c>
      <c r="F44" s="89" t="str" cm="1">
        <f t="array" ref="F44">IF($D44,INDEX($C$13:$N$13,MONTH($B44)),"")</f>
        <v/>
      </c>
      <c r="G44" s="89" t="str" cm="1">
        <f t="array" ref="G44">IF($D44,INDEX($C$14:$N$14,MONTH($B44)),"")</f>
        <v/>
      </c>
      <c r="H44" s="81" t="str" cm="1">
        <f t="array" ref="H44">IF(AND($D44,_xlfn.XLOOKUP($C44,tbl_Class[class],tbl_Class[weather_model])="yes"),_xlfn.XLOOKUP($C44,Weather!$I$6:$I$7,Weather!$C$6:$C$7)+_xlfn.XLOOKUP($C44,Weather!$I$6:$I$7,Weather!$D$6:$D$7)*F44+_xlfn.XLOOKUP($C44,Weather!$I$6:$I$7,Weather!$E$6:$E$7)*G44+_xlfn.XLOOKUP($C44,Weather!$I$6:$I$7,Weather!$F$6:$F$7)*TRENDYEARS($B44),"")</f>
        <v/>
      </c>
      <c r="I44" s="54" t="str">
        <f>IF($D44,IF(_xlfn.XLOOKUP($C44,tbl_Class[class],tbl_Class[weather_model])="yes",E44*H44,SUMIFS(tbl_Monthly[mwh],tbl_Monthly[class],$C44,tbl_Monthly[month],EDATE($B44,-12))*_xlfn.XLOOKUP($C44,$C$6:$C$9,$I$6:$I$9)*(1+CustOverlay))+IF($C44="industrial",ExtraMW*24*DAY(EOMONTH($B44,0)),0),"")</f>
        <v/>
      </c>
      <c r="J44" s="58" t="str" cm="1">
        <f t="array" ref="J44">IF($D44,SAFEDIV(SUMIFS(tbl_Monthly[revenue],tbl_Monthly[class],$C44,tbl_Monthly[month],EDATE($B44,-12)),SUMIFS(tbl_Monthly[mwh],tbl_Monthly[class],$C44,tbl_Monthly[month],EDATE($B44,-12)))*_xlfn.XLOOKUP($C44,$C$6:$C$9,$L$6:$L$9)*(1+RateChange),"")</f>
        <v/>
      </c>
      <c r="K44" s="54" t="str">
        <f t="shared" si="0"/>
        <v/>
      </c>
    </row>
    <row r="45" spans="2:11" x14ac:dyDescent="0.3">
      <c r="B45" s="79">
        <f>DATE(FiscalYear,MOD(ROWS($B$19:B45)-1,12)+1,1)</f>
        <v>46082</v>
      </c>
      <c r="C45" t="s">
        <v>97</v>
      </c>
      <c r="D45" t="b">
        <f>$B45&gt;AsOfMonth</f>
        <v>0</v>
      </c>
      <c r="E45" s="54" t="str">
        <f>IF($D45,_xlfn.XLOOKUP($C45,$C$6:$C$9,$D$6:$D$9)*_xlfn.XLOOKUP($C45,$C$6:$C$9,$F$6:$F$9)^((MONTH($B45)-MonthsClosed)/12)*(1+CustOverlay),"")</f>
        <v/>
      </c>
      <c r="F45" s="89" t="str" cm="1">
        <f t="array" ref="F45">IF($D45,INDEX($C$13:$N$13,MONTH($B45)),"")</f>
        <v/>
      </c>
      <c r="G45" s="89" t="str" cm="1">
        <f t="array" ref="G45">IF($D45,INDEX($C$14:$N$14,MONTH($B45)),"")</f>
        <v/>
      </c>
      <c r="H45" s="81" t="str" cm="1">
        <f t="array" ref="H45">IF(AND($D45,_xlfn.XLOOKUP($C45,tbl_Class[class],tbl_Class[weather_model])="yes"),_xlfn.XLOOKUP($C45,Weather!$I$6:$I$7,Weather!$C$6:$C$7)+_xlfn.XLOOKUP($C45,Weather!$I$6:$I$7,Weather!$D$6:$D$7)*F45+_xlfn.XLOOKUP($C45,Weather!$I$6:$I$7,Weather!$E$6:$E$7)*G45+_xlfn.XLOOKUP($C45,Weather!$I$6:$I$7,Weather!$F$6:$F$7)*TRENDYEARS($B45),"")</f>
        <v/>
      </c>
      <c r="I45" s="54" t="str">
        <f>IF($D45,IF(_xlfn.XLOOKUP($C45,tbl_Class[class],tbl_Class[weather_model])="yes",E45*H45,SUMIFS(tbl_Monthly[mwh],tbl_Monthly[class],$C45,tbl_Monthly[month],EDATE($B45,-12))*_xlfn.XLOOKUP($C45,$C$6:$C$9,$I$6:$I$9)*(1+CustOverlay))+IF($C45="industrial",ExtraMW*24*DAY(EOMONTH($B45,0)),0),"")</f>
        <v/>
      </c>
      <c r="J45" s="58" t="str" cm="1">
        <f t="array" ref="J45">IF($D45,SAFEDIV(SUMIFS(tbl_Monthly[revenue],tbl_Monthly[class],$C45,tbl_Monthly[month],EDATE($B45,-12)),SUMIFS(tbl_Monthly[mwh],tbl_Monthly[class],$C45,tbl_Monthly[month],EDATE($B45,-12)))*_xlfn.XLOOKUP($C45,$C$6:$C$9,$L$6:$L$9)*(1+RateChange),"")</f>
        <v/>
      </c>
      <c r="K45" s="54" t="str">
        <f t="shared" si="0"/>
        <v/>
      </c>
    </row>
    <row r="46" spans="2:11" x14ac:dyDescent="0.3">
      <c r="B46" s="79">
        <f>DATE(FiscalYear,MOD(ROWS($B$19:B46)-1,12)+1,1)</f>
        <v>46113</v>
      </c>
      <c r="C46" t="s">
        <v>97</v>
      </c>
      <c r="D46" t="b">
        <f>$B46&gt;AsOfMonth</f>
        <v>0</v>
      </c>
      <c r="E46" s="54" t="str">
        <f>IF($D46,_xlfn.XLOOKUP($C46,$C$6:$C$9,$D$6:$D$9)*_xlfn.XLOOKUP($C46,$C$6:$C$9,$F$6:$F$9)^((MONTH($B46)-MonthsClosed)/12)*(1+CustOverlay),"")</f>
        <v/>
      </c>
      <c r="F46" s="89" t="str" cm="1">
        <f t="array" ref="F46">IF($D46,INDEX($C$13:$N$13,MONTH($B46)),"")</f>
        <v/>
      </c>
      <c r="G46" s="89" t="str" cm="1">
        <f t="array" ref="G46">IF($D46,INDEX($C$14:$N$14,MONTH($B46)),"")</f>
        <v/>
      </c>
      <c r="H46" s="81" t="str" cm="1">
        <f t="array" ref="H46">IF(AND($D46,_xlfn.XLOOKUP($C46,tbl_Class[class],tbl_Class[weather_model])="yes"),_xlfn.XLOOKUP($C46,Weather!$I$6:$I$7,Weather!$C$6:$C$7)+_xlfn.XLOOKUP($C46,Weather!$I$6:$I$7,Weather!$D$6:$D$7)*F46+_xlfn.XLOOKUP($C46,Weather!$I$6:$I$7,Weather!$E$6:$E$7)*G46+_xlfn.XLOOKUP($C46,Weather!$I$6:$I$7,Weather!$F$6:$F$7)*TRENDYEARS($B46),"")</f>
        <v/>
      </c>
      <c r="I46" s="54" t="str">
        <f>IF($D46,IF(_xlfn.XLOOKUP($C46,tbl_Class[class],tbl_Class[weather_model])="yes",E46*H46,SUMIFS(tbl_Monthly[mwh],tbl_Monthly[class],$C46,tbl_Monthly[month],EDATE($B46,-12))*_xlfn.XLOOKUP($C46,$C$6:$C$9,$I$6:$I$9)*(1+CustOverlay))+IF($C46="industrial",ExtraMW*24*DAY(EOMONTH($B46,0)),0),"")</f>
        <v/>
      </c>
      <c r="J46" s="58" t="str" cm="1">
        <f t="array" ref="J46">IF($D46,SAFEDIV(SUMIFS(tbl_Monthly[revenue],tbl_Monthly[class],$C46,tbl_Monthly[month],EDATE($B46,-12)),SUMIFS(tbl_Monthly[mwh],tbl_Monthly[class],$C46,tbl_Monthly[month],EDATE($B46,-12)))*_xlfn.XLOOKUP($C46,$C$6:$C$9,$L$6:$L$9)*(1+RateChange),"")</f>
        <v/>
      </c>
      <c r="K46" s="54" t="str">
        <f t="shared" si="0"/>
        <v/>
      </c>
    </row>
    <row r="47" spans="2:11" x14ac:dyDescent="0.3">
      <c r="B47" s="79">
        <f>DATE(FiscalYear,MOD(ROWS($B$19:B47)-1,12)+1,1)</f>
        <v>46143</v>
      </c>
      <c r="C47" t="s">
        <v>97</v>
      </c>
      <c r="D47" t="b">
        <f>$B47&gt;AsOfMonth</f>
        <v>0</v>
      </c>
      <c r="E47" s="54" t="str">
        <f>IF($D47,_xlfn.XLOOKUP($C47,$C$6:$C$9,$D$6:$D$9)*_xlfn.XLOOKUP($C47,$C$6:$C$9,$F$6:$F$9)^((MONTH($B47)-MonthsClosed)/12)*(1+CustOverlay),"")</f>
        <v/>
      </c>
      <c r="F47" s="89" t="str" cm="1">
        <f t="array" ref="F47">IF($D47,INDEX($C$13:$N$13,MONTH($B47)),"")</f>
        <v/>
      </c>
      <c r="G47" s="89" t="str" cm="1">
        <f t="array" ref="G47">IF($D47,INDEX($C$14:$N$14,MONTH($B47)),"")</f>
        <v/>
      </c>
      <c r="H47" s="81" t="str" cm="1">
        <f t="array" ref="H47">IF(AND($D47,_xlfn.XLOOKUP($C47,tbl_Class[class],tbl_Class[weather_model])="yes"),_xlfn.XLOOKUP($C47,Weather!$I$6:$I$7,Weather!$C$6:$C$7)+_xlfn.XLOOKUP($C47,Weather!$I$6:$I$7,Weather!$D$6:$D$7)*F47+_xlfn.XLOOKUP($C47,Weather!$I$6:$I$7,Weather!$E$6:$E$7)*G47+_xlfn.XLOOKUP($C47,Weather!$I$6:$I$7,Weather!$F$6:$F$7)*TRENDYEARS($B47),"")</f>
        <v/>
      </c>
      <c r="I47" s="54" t="str">
        <f>IF($D47,IF(_xlfn.XLOOKUP($C47,tbl_Class[class],tbl_Class[weather_model])="yes",E47*H47,SUMIFS(tbl_Monthly[mwh],tbl_Monthly[class],$C47,tbl_Monthly[month],EDATE($B47,-12))*_xlfn.XLOOKUP($C47,$C$6:$C$9,$I$6:$I$9)*(1+CustOverlay))+IF($C47="industrial",ExtraMW*24*DAY(EOMONTH($B47,0)),0),"")</f>
        <v/>
      </c>
      <c r="J47" s="58" t="str" cm="1">
        <f t="array" ref="J47">IF($D47,SAFEDIV(SUMIFS(tbl_Monthly[revenue],tbl_Monthly[class],$C47,tbl_Monthly[month],EDATE($B47,-12)),SUMIFS(tbl_Monthly[mwh],tbl_Monthly[class],$C47,tbl_Monthly[month],EDATE($B47,-12)))*_xlfn.XLOOKUP($C47,$C$6:$C$9,$L$6:$L$9)*(1+RateChange),"")</f>
        <v/>
      </c>
      <c r="K47" s="54" t="str">
        <f t="shared" si="0"/>
        <v/>
      </c>
    </row>
    <row r="48" spans="2:11" x14ac:dyDescent="0.3">
      <c r="B48" s="79">
        <f>DATE(FiscalYear,MOD(ROWS($B$19:B48)-1,12)+1,1)</f>
        <v>46174</v>
      </c>
      <c r="C48" t="s">
        <v>97</v>
      </c>
      <c r="D48" t="b">
        <f>$B48&gt;AsOfMonth</f>
        <v>0</v>
      </c>
      <c r="E48" s="54" t="str">
        <f>IF($D48,_xlfn.XLOOKUP($C48,$C$6:$C$9,$D$6:$D$9)*_xlfn.XLOOKUP($C48,$C$6:$C$9,$F$6:$F$9)^((MONTH($B48)-MonthsClosed)/12)*(1+CustOverlay),"")</f>
        <v/>
      </c>
      <c r="F48" s="89" t="str" cm="1">
        <f t="array" ref="F48">IF($D48,INDEX($C$13:$N$13,MONTH($B48)),"")</f>
        <v/>
      </c>
      <c r="G48" s="89" t="str" cm="1">
        <f t="array" ref="G48">IF($D48,INDEX($C$14:$N$14,MONTH($B48)),"")</f>
        <v/>
      </c>
      <c r="H48" s="81" t="str" cm="1">
        <f t="array" ref="H48">IF(AND($D48,_xlfn.XLOOKUP($C48,tbl_Class[class],tbl_Class[weather_model])="yes"),_xlfn.XLOOKUP($C48,Weather!$I$6:$I$7,Weather!$C$6:$C$7)+_xlfn.XLOOKUP($C48,Weather!$I$6:$I$7,Weather!$D$6:$D$7)*F48+_xlfn.XLOOKUP($C48,Weather!$I$6:$I$7,Weather!$E$6:$E$7)*G48+_xlfn.XLOOKUP($C48,Weather!$I$6:$I$7,Weather!$F$6:$F$7)*TRENDYEARS($B48),"")</f>
        <v/>
      </c>
      <c r="I48" s="54" t="str">
        <f>IF($D48,IF(_xlfn.XLOOKUP($C48,tbl_Class[class],tbl_Class[weather_model])="yes",E48*H48,SUMIFS(tbl_Monthly[mwh],tbl_Monthly[class],$C48,tbl_Monthly[month],EDATE($B48,-12))*_xlfn.XLOOKUP($C48,$C$6:$C$9,$I$6:$I$9)*(1+CustOverlay))+IF($C48="industrial",ExtraMW*24*DAY(EOMONTH($B48,0)),0),"")</f>
        <v/>
      </c>
      <c r="J48" s="58" t="str" cm="1">
        <f t="array" ref="J48">IF($D48,SAFEDIV(SUMIFS(tbl_Monthly[revenue],tbl_Monthly[class],$C48,tbl_Monthly[month],EDATE($B48,-12)),SUMIFS(tbl_Monthly[mwh],tbl_Monthly[class],$C48,tbl_Monthly[month],EDATE($B48,-12)))*_xlfn.XLOOKUP($C48,$C$6:$C$9,$L$6:$L$9)*(1+RateChange),"")</f>
        <v/>
      </c>
      <c r="K48" s="54" t="str">
        <f t="shared" si="0"/>
        <v/>
      </c>
    </row>
    <row r="49" spans="2:11" x14ac:dyDescent="0.3">
      <c r="B49" s="79">
        <f>DATE(FiscalYear,MOD(ROWS($B$19:B49)-1,12)+1,1)</f>
        <v>46204</v>
      </c>
      <c r="C49" t="s">
        <v>97</v>
      </c>
      <c r="D49" t="b">
        <f>$B49&gt;AsOfMonth</f>
        <v>1</v>
      </c>
      <c r="E49" s="54">
        <f>IF($D49,_xlfn.XLOOKUP($C49,$C$6:$C$9,$D$6:$D$9)*_xlfn.XLOOKUP($C49,$C$6:$C$9,$F$6:$F$9)^((MONTH($B49)-MonthsClosed)/12)*(1+CustOverlay),"")</f>
        <v>4314.3534295154195</v>
      </c>
      <c r="F49" s="89" cm="1">
        <f t="array" ref="F49">IF($D49,INDEX($C$13:$N$13,MONTH($B49)),"")</f>
        <v>41</v>
      </c>
      <c r="G49" s="89" cm="1">
        <f t="array" ref="G49">IF($D49,INDEX($C$14:$N$14,MONTH($B49)),"")</f>
        <v>91</v>
      </c>
      <c r="H49" s="81" t="str" cm="1">
        <f t="array" ref="H49">IF(AND($D49,_xlfn.XLOOKUP($C49,tbl_Class[class],tbl_Class[weather_model])="yes"),_xlfn.XLOOKUP($C49,Weather!$I$6:$I$7,Weather!$C$6:$C$7)+_xlfn.XLOOKUP($C49,Weather!$I$6:$I$7,Weather!$D$6:$D$7)*F49+_xlfn.XLOOKUP($C49,Weather!$I$6:$I$7,Weather!$E$6:$E$7)*G49+_xlfn.XLOOKUP($C49,Weather!$I$6:$I$7,Weather!$F$6:$F$7)*TRENDYEARS($B49),"")</f>
        <v/>
      </c>
      <c r="I49" s="54">
        <f>IF($D49,IF(_xlfn.XLOOKUP($C49,tbl_Class[class],tbl_Class[weather_model])="yes",E49*H49,SUMIFS(tbl_Monthly[mwh],tbl_Monthly[class],$C49,tbl_Monthly[month],EDATE($B49,-12))*_xlfn.XLOOKUP($C49,$C$6:$C$9,$I$6:$I$9)*(1+CustOverlay))+IF($C49="industrial",ExtraMW*24*DAY(EOMONTH($B49,0)),0),"")</f>
        <v>592493.10503942589</v>
      </c>
      <c r="J49" s="58" cm="1">
        <f t="array" ref="J49">IF($D49,SAFEDIV(SUMIFS(tbl_Monthly[revenue],tbl_Monthly[class],$C49,tbl_Monthly[month],EDATE($B49,-12)),SUMIFS(tbl_Monthly[mwh],tbl_Monthly[class],$C49,tbl_Monthly[month],EDATE($B49,-12)))*_xlfn.XLOOKUP($C49,$C$6:$C$9,$L$6:$L$9)*(1+RateChange),"")</f>
        <v>97.11055549889835</v>
      </c>
      <c r="K49" s="54">
        <f t="shared" si="0"/>
        <v>57537334.559645779</v>
      </c>
    </row>
    <row r="50" spans="2:11" x14ac:dyDescent="0.3">
      <c r="B50" s="79">
        <f>DATE(FiscalYear,MOD(ROWS($B$19:B50)-1,12)+1,1)</f>
        <v>46235</v>
      </c>
      <c r="C50" t="s">
        <v>97</v>
      </c>
      <c r="D50" t="b">
        <f>$B50&gt;AsOfMonth</f>
        <v>1</v>
      </c>
      <c r="E50" s="54">
        <f>IF($D50,_xlfn.XLOOKUP($C50,$C$6:$C$9,$D$6:$D$9)*_xlfn.XLOOKUP($C50,$C$6:$C$9,$F$6:$F$9)^((MONTH($B50)-MonthsClosed)/12)*(1+CustOverlay),"")</f>
        <v>4310.7099385760675</v>
      </c>
      <c r="F50" s="89" cm="1">
        <f t="array" ref="F50">IF($D50,INDEX($C$13:$N$13,MONTH($B50)),"")</f>
        <v>27</v>
      </c>
      <c r="G50" s="89" cm="1">
        <f t="array" ref="G50">IF($D50,INDEX($C$14:$N$14,MONTH($B50)),"")</f>
        <v>111</v>
      </c>
      <c r="H50" s="81" t="str" cm="1">
        <f t="array" ref="H50">IF(AND($D50,_xlfn.XLOOKUP($C50,tbl_Class[class],tbl_Class[weather_model])="yes"),_xlfn.XLOOKUP($C50,Weather!$I$6:$I$7,Weather!$C$6:$C$7)+_xlfn.XLOOKUP($C50,Weather!$I$6:$I$7,Weather!$D$6:$D$7)*F50+_xlfn.XLOOKUP($C50,Weather!$I$6:$I$7,Weather!$E$6:$E$7)*G50+_xlfn.XLOOKUP($C50,Weather!$I$6:$I$7,Weather!$F$6:$F$7)*TRENDYEARS($B50),"")</f>
        <v/>
      </c>
      <c r="I50" s="54">
        <f>IF($D50,IF(_xlfn.XLOOKUP($C50,tbl_Class[class],tbl_Class[weather_model])="yes",E50*H50,SUMIFS(tbl_Monthly[mwh],tbl_Monthly[class],$C50,tbl_Monthly[month],EDATE($B50,-12))*_xlfn.XLOOKUP($C50,$C$6:$C$9,$I$6:$I$9)*(1+CustOverlay))+IF($C50="industrial",ExtraMW*24*DAY(EOMONTH($B50,0)),0),"")</f>
        <v>614494.68225334689</v>
      </c>
      <c r="J50" s="58" cm="1">
        <f t="array" ref="J50">IF($D50,SAFEDIV(SUMIFS(tbl_Monthly[revenue],tbl_Monthly[class],$C50,tbl_Monthly[month],EDATE($B50,-12)),SUMIFS(tbl_Monthly[mwh],tbl_Monthly[class],$C50,tbl_Monthly[month],EDATE($B50,-12)))*_xlfn.XLOOKUP($C50,$C$6:$C$9,$L$6:$L$9)*(1+RateChange),"")</f>
        <v>95.776157512105044</v>
      </c>
      <c r="K50" s="54">
        <f t="shared" si="0"/>
        <v>58853939.477847494</v>
      </c>
    </row>
    <row r="51" spans="2:11" x14ac:dyDescent="0.3">
      <c r="B51" s="79">
        <f>DATE(FiscalYear,MOD(ROWS($B$19:B51)-1,12)+1,1)</f>
        <v>46266</v>
      </c>
      <c r="C51" t="s">
        <v>97</v>
      </c>
      <c r="D51" t="b">
        <f>$B51&gt;AsOfMonth</f>
        <v>1</v>
      </c>
      <c r="E51" s="54">
        <f>IF($D51,_xlfn.XLOOKUP($C51,$C$6:$C$9,$D$6:$D$9)*_xlfn.XLOOKUP($C51,$C$6:$C$9,$F$6:$F$9)^((MONTH($B51)-MonthsClosed)/12)*(1+CustOverlay),"")</f>
        <v>4307.0695245812549</v>
      </c>
      <c r="F51" s="89" cm="1">
        <f t="array" ref="F51">IF($D51,INDEX($C$13:$N$13,MONTH($B51)),"")</f>
        <v>117.1</v>
      </c>
      <c r="G51" s="89" cm="1">
        <f t="array" ref="G51">IF($D51,INDEX($C$14:$N$14,MONTH($B51)),"")</f>
        <v>35.799999999999997</v>
      </c>
      <c r="H51" s="81" t="str" cm="1">
        <f t="array" ref="H51">IF(AND($D51,_xlfn.XLOOKUP($C51,tbl_Class[class],tbl_Class[weather_model])="yes"),_xlfn.XLOOKUP($C51,Weather!$I$6:$I$7,Weather!$C$6:$C$7)+_xlfn.XLOOKUP($C51,Weather!$I$6:$I$7,Weather!$D$6:$D$7)*F51+_xlfn.XLOOKUP($C51,Weather!$I$6:$I$7,Weather!$E$6:$E$7)*G51+_xlfn.XLOOKUP($C51,Weather!$I$6:$I$7,Weather!$F$6:$F$7)*TRENDYEARS($B51),"")</f>
        <v/>
      </c>
      <c r="I51" s="54">
        <f>IF($D51,IF(_xlfn.XLOOKUP($C51,tbl_Class[class],tbl_Class[weather_model])="yes",E51*H51,SUMIFS(tbl_Monthly[mwh],tbl_Monthly[class],$C51,tbl_Monthly[month],EDATE($B51,-12))*_xlfn.XLOOKUP($C51,$C$6:$C$9,$I$6:$I$9)*(1+CustOverlay))+IF($C51="industrial",ExtraMW*24*DAY(EOMONTH($B51,0)),0),"")</f>
        <v>595494.17505383829</v>
      </c>
      <c r="J51" s="58" cm="1">
        <f t="array" ref="J51">IF($D51,SAFEDIV(SUMIFS(tbl_Monthly[revenue],tbl_Monthly[class],$C51,tbl_Monthly[month],EDATE($B51,-12)),SUMIFS(tbl_Monthly[mwh],tbl_Monthly[class],$C51,tbl_Monthly[month],EDATE($B51,-12)))*_xlfn.XLOOKUP($C51,$C$6:$C$9,$L$6:$L$9)*(1+RateChange),"")</f>
        <v>97.145136609902281</v>
      </c>
      <c r="K51" s="54">
        <f t="shared" si="0"/>
        <v>57849362.986006185</v>
      </c>
    </row>
    <row r="52" spans="2:11" x14ac:dyDescent="0.3">
      <c r="B52" s="79">
        <f>DATE(FiscalYear,MOD(ROWS($B$19:B52)-1,12)+1,1)</f>
        <v>46296</v>
      </c>
      <c r="C52" t="s">
        <v>97</v>
      </c>
      <c r="D52" t="b">
        <f>$B52&gt;AsOfMonth</f>
        <v>1</v>
      </c>
      <c r="E52" s="54">
        <f>IF($D52,_xlfn.XLOOKUP($C52,$C$6:$C$9,$D$6:$D$9)*_xlfn.XLOOKUP($C52,$C$6:$C$9,$F$6:$F$9)^((MONTH($B52)-MonthsClosed)/12)*(1+CustOverlay),"")</f>
        <v>4303.4321849324879</v>
      </c>
      <c r="F52" s="89" cm="1">
        <f t="array" ref="F52">IF($D52,INDEX($C$13:$N$13,MONTH($B52)),"")</f>
        <v>376.5</v>
      </c>
      <c r="G52" s="89" cm="1">
        <f t="array" ref="G52">IF($D52,INDEX($C$14:$N$14,MONTH($B52)),"")</f>
        <v>0</v>
      </c>
      <c r="H52" s="81" t="str" cm="1">
        <f t="array" ref="H52">IF(AND($D52,_xlfn.XLOOKUP($C52,tbl_Class[class],tbl_Class[weather_model])="yes"),_xlfn.XLOOKUP($C52,Weather!$I$6:$I$7,Weather!$C$6:$C$7)+_xlfn.XLOOKUP($C52,Weather!$I$6:$I$7,Weather!$D$6:$D$7)*F52+_xlfn.XLOOKUP($C52,Weather!$I$6:$I$7,Weather!$E$6:$E$7)*G52+_xlfn.XLOOKUP($C52,Weather!$I$6:$I$7,Weather!$F$6:$F$7)*TRENDYEARS($B52),"")</f>
        <v/>
      </c>
      <c r="I52" s="54">
        <f>IF($D52,IF(_xlfn.XLOOKUP($C52,tbl_Class[class],tbl_Class[weather_model])="yes",E52*H52,SUMIFS(tbl_Monthly[mwh],tbl_Monthly[class],$C52,tbl_Monthly[month],EDATE($B52,-12))*_xlfn.XLOOKUP($C52,$C$6:$C$9,$I$6:$I$9)*(1+CustOverlay))+IF($C52="industrial",ExtraMW*24*DAY(EOMONTH($B52,0)),0),"")</f>
        <v>581915.15831236262</v>
      </c>
      <c r="J52" s="58" cm="1">
        <f t="array" ref="J52">IF($D52,SAFEDIV(SUMIFS(tbl_Monthly[revenue],tbl_Monthly[class],$C52,tbl_Monthly[month],EDATE($B52,-12)),SUMIFS(tbl_Monthly[mwh],tbl_Monthly[class],$C52,tbl_Monthly[month],EDATE($B52,-12)))*_xlfn.XLOOKUP($C52,$C$6:$C$9,$L$6:$L$9)*(1+RateChange),"")</f>
        <v>94.397317381751023</v>
      </c>
      <c r="K52" s="54">
        <f t="shared" si="0"/>
        <v>54931229.888463989</v>
      </c>
    </row>
    <row r="53" spans="2:11" x14ac:dyDescent="0.3">
      <c r="B53" s="79">
        <f>DATE(FiscalYear,MOD(ROWS($B$19:B53)-1,12)+1,1)</f>
        <v>46327</v>
      </c>
      <c r="C53" t="s">
        <v>97</v>
      </c>
      <c r="D53" t="b">
        <f>$B53&gt;AsOfMonth</f>
        <v>1</v>
      </c>
      <c r="E53" s="54">
        <f>IF($D53,_xlfn.XLOOKUP($C53,$C$6:$C$9,$D$6:$D$9)*_xlfn.XLOOKUP($C53,$C$6:$C$9,$F$6:$F$9)^((MONTH($B53)-MonthsClosed)/12)*(1+CustOverlay),"")</f>
        <v>4299.7979170334684</v>
      </c>
      <c r="F53" s="89" cm="1">
        <f t="array" ref="F53">IF($D53,INDEX($C$13:$N$13,MONTH($B53)),"")</f>
        <v>593.70000000000005</v>
      </c>
      <c r="G53" s="89" cm="1">
        <f t="array" ref="G53">IF($D53,INDEX($C$14:$N$14,MONTH($B53)),"")</f>
        <v>0</v>
      </c>
      <c r="H53" s="81" t="str" cm="1">
        <f t="array" ref="H53">IF(AND($D53,_xlfn.XLOOKUP($C53,tbl_Class[class],tbl_Class[weather_model])="yes"),_xlfn.XLOOKUP($C53,Weather!$I$6:$I$7,Weather!$C$6:$C$7)+_xlfn.XLOOKUP($C53,Weather!$I$6:$I$7,Weather!$D$6:$D$7)*F53+_xlfn.XLOOKUP($C53,Weather!$I$6:$I$7,Weather!$E$6:$E$7)*G53+_xlfn.XLOOKUP($C53,Weather!$I$6:$I$7,Weather!$F$6:$F$7)*TRENDYEARS($B53),"")</f>
        <v/>
      </c>
      <c r="I53" s="54">
        <f>IF($D53,IF(_xlfn.XLOOKUP($C53,tbl_Class[class],tbl_Class[weather_model])="yes",E53*H53,SUMIFS(tbl_Monthly[mwh],tbl_Monthly[class],$C53,tbl_Monthly[month],EDATE($B53,-12))*_xlfn.XLOOKUP($C53,$C$6:$C$9,$I$6:$I$9)*(1+CustOverlay))+IF($C53="industrial",ExtraMW*24*DAY(EOMONTH($B53,0)),0),"")</f>
        <v>551051.85953675758</v>
      </c>
      <c r="J53" s="58" cm="1">
        <f t="array" ref="J53">IF($D53,SAFEDIV(SUMIFS(tbl_Monthly[revenue],tbl_Monthly[class],$C53,tbl_Monthly[month],EDATE($B53,-12)),SUMIFS(tbl_Monthly[mwh],tbl_Monthly[class],$C53,tbl_Monthly[month],EDATE($B53,-12)))*_xlfn.XLOOKUP($C53,$C$6:$C$9,$L$6:$L$9)*(1+RateChange),"")</f>
        <v>94.239908031371741</v>
      </c>
      <c r="K53" s="54">
        <f t="shared" si="0"/>
        <v>51931076.563260414</v>
      </c>
    </row>
    <row r="54" spans="2:11" x14ac:dyDescent="0.3">
      <c r="B54" s="90">
        <f>DATE(FiscalYear,MOD(ROWS($B$19:B54)-1,12)+1,1)</f>
        <v>46357</v>
      </c>
      <c r="C54" s="91" t="s">
        <v>97</v>
      </c>
      <c r="D54" s="91" t="b">
        <f>$B54&gt;AsOfMonth</f>
        <v>1</v>
      </c>
      <c r="E54" s="92">
        <f>IF($D54,_xlfn.XLOOKUP($C54,$C$6:$C$9,$D$6:$D$9)*_xlfn.XLOOKUP($C54,$C$6:$C$9,$F$6:$F$9)^((MONTH($B54)-MonthsClosed)/12)*(1+CustOverlay),"")</f>
        <v>4296.1667182900874</v>
      </c>
      <c r="F54" s="108" cm="1">
        <f t="array" ref="F54">IF($D54,INDEX($C$13:$N$13,MONTH($B54)),"")</f>
        <v>753.3</v>
      </c>
      <c r="G54" s="108" cm="1">
        <f t="array" ref="G54">IF($D54,INDEX($C$14:$N$14,MONTH($B54)),"")</f>
        <v>0</v>
      </c>
      <c r="H54" s="93" t="str" cm="1">
        <f t="array" ref="H54">IF(AND($D54,_xlfn.XLOOKUP($C54,tbl_Class[class],tbl_Class[weather_model])="yes"),_xlfn.XLOOKUP($C54,Weather!$I$6:$I$7,Weather!$C$6:$C$7)+_xlfn.XLOOKUP($C54,Weather!$I$6:$I$7,Weather!$D$6:$D$7)*F54+_xlfn.XLOOKUP($C54,Weather!$I$6:$I$7,Weather!$E$6:$E$7)*G54+_xlfn.XLOOKUP($C54,Weather!$I$6:$I$7,Weather!$F$6:$F$7)*TRENDYEARS($B54),"")</f>
        <v/>
      </c>
      <c r="I54" s="92">
        <f>IF($D54,IF(_xlfn.XLOOKUP($C54,tbl_Class[class],tbl_Class[weather_model])="yes",E54*H54,SUMIFS(tbl_Monthly[mwh],tbl_Monthly[class],$C54,tbl_Monthly[month],EDATE($B54,-12))*_xlfn.XLOOKUP($C54,$C$6:$C$9,$I$6:$I$9)*(1+CustOverlay))+IF($C54="industrial",ExtraMW*24*DAY(EOMONTH($B54,0)),0),"")</f>
        <v>589951.3271956814</v>
      </c>
      <c r="J54" s="94" cm="1">
        <f t="array" ref="J54">IF($D54,SAFEDIV(SUMIFS(tbl_Monthly[revenue],tbl_Monthly[class],$C54,tbl_Monthly[month],EDATE($B54,-12)),SUMIFS(tbl_Monthly[mwh],tbl_Monthly[class],$C54,tbl_Monthly[month],EDATE($B54,-12)))*_xlfn.XLOOKUP($C54,$C$6:$C$9,$L$6:$L$9)*(1+RateChange),"")</f>
        <v>94.731755169154454</v>
      </c>
      <c r="K54" s="92">
        <f t="shared" si="0"/>
        <v>55887124.68961902</v>
      </c>
    </row>
    <row r="55" spans="2:11" x14ac:dyDescent="0.3">
      <c r="B55" s="79">
        <f>DATE(FiscalYear,MOD(ROWS($B$19:B55)-1,12)+1,1)</f>
        <v>46023</v>
      </c>
      <c r="C55" t="s">
        <v>100</v>
      </c>
      <c r="D55" t="b">
        <f>$B55&gt;AsOfMonth</f>
        <v>0</v>
      </c>
      <c r="E55" s="54" t="str">
        <f>IF($D55,_xlfn.XLOOKUP($C55,$C$6:$C$9,$D$6:$D$9)*_xlfn.XLOOKUP($C55,$C$6:$C$9,$F$6:$F$9)^((MONTH($B55)-MonthsClosed)/12)*(1+CustOverlay),"")</f>
        <v/>
      </c>
      <c r="F55" s="89" t="str" cm="1">
        <f t="array" ref="F55">IF($D55,INDEX($C$13:$N$13,MONTH($B55)),"")</f>
        <v/>
      </c>
      <c r="G55" s="89" t="str" cm="1">
        <f t="array" ref="G55">IF($D55,INDEX($C$14:$N$14,MONTH($B55)),"")</f>
        <v/>
      </c>
      <c r="H55" s="81" t="str" cm="1">
        <f t="array" ref="H55">IF(AND($D55,_xlfn.XLOOKUP($C55,tbl_Class[class],tbl_Class[weather_model])="yes"),_xlfn.XLOOKUP($C55,Weather!$I$6:$I$7,Weather!$C$6:$C$7)+_xlfn.XLOOKUP($C55,Weather!$I$6:$I$7,Weather!$D$6:$D$7)*F55+_xlfn.XLOOKUP($C55,Weather!$I$6:$I$7,Weather!$E$6:$E$7)*G55+_xlfn.XLOOKUP($C55,Weather!$I$6:$I$7,Weather!$F$6:$F$7)*TRENDYEARS($B55),"")</f>
        <v/>
      </c>
      <c r="I55" s="54" t="str">
        <f>IF($D55,IF(_xlfn.XLOOKUP($C55,tbl_Class[class],tbl_Class[weather_model])="yes",E55*H55,SUMIFS(tbl_Monthly[mwh],tbl_Monthly[class],$C55,tbl_Monthly[month],EDATE($B55,-12))*_xlfn.XLOOKUP($C55,$C$6:$C$9,$I$6:$I$9)*(1+CustOverlay))+IF($C55="industrial",ExtraMW*24*DAY(EOMONTH($B55,0)),0),"")</f>
        <v/>
      </c>
      <c r="J55" s="58" t="str" cm="1">
        <f t="array" ref="J55">IF($D55,SAFEDIV(SUMIFS(tbl_Monthly[revenue],tbl_Monthly[class],$C55,tbl_Monthly[month],EDATE($B55,-12)),SUMIFS(tbl_Monthly[mwh],tbl_Monthly[class],$C55,tbl_Monthly[month],EDATE($B55,-12)))*_xlfn.XLOOKUP($C55,$C$6:$C$9,$L$6:$L$9)*(1+RateChange),"")</f>
        <v/>
      </c>
      <c r="K55" s="54" t="str">
        <f t="shared" si="0"/>
        <v/>
      </c>
    </row>
    <row r="56" spans="2:11" x14ac:dyDescent="0.3">
      <c r="B56" s="79">
        <f>DATE(FiscalYear,MOD(ROWS($B$19:B56)-1,12)+1,1)</f>
        <v>46054</v>
      </c>
      <c r="C56" t="s">
        <v>100</v>
      </c>
      <c r="D56" t="b">
        <f>$B56&gt;AsOfMonth</f>
        <v>0</v>
      </c>
      <c r="E56" s="54" t="str">
        <f>IF($D56,_xlfn.XLOOKUP($C56,$C$6:$C$9,$D$6:$D$9)*_xlfn.XLOOKUP($C56,$C$6:$C$9,$F$6:$F$9)^((MONTH($B56)-MonthsClosed)/12)*(1+CustOverlay),"")</f>
        <v/>
      </c>
      <c r="F56" s="89" t="str" cm="1">
        <f t="array" ref="F56">IF($D56,INDEX($C$13:$N$13,MONTH($B56)),"")</f>
        <v/>
      </c>
      <c r="G56" s="89" t="str" cm="1">
        <f t="array" ref="G56">IF($D56,INDEX($C$14:$N$14,MONTH($B56)),"")</f>
        <v/>
      </c>
      <c r="H56" s="81" t="str" cm="1">
        <f t="array" ref="H56">IF(AND($D56,_xlfn.XLOOKUP($C56,tbl_Class[class],tbl_Class[weather_model])="yes"),_xlfn.XLOOKUP($C56,Weather!$I$6:$I$7,Weather!$C$6:$C$7)+_xlfn.XLOOKUP($C56,Weather!$I$6:$I$7,Weather!$D$6:$D$7)*F56+_xlfn.XLOOKUP($C56,Weather!$I$6:$I$7,Weather!$E$6:$E$7)*G56+_xlfn.XLOOKUP($C56,Weather!$I$6:$I$7,Weather!$F$6:$F$7)*TRENDYEARS($B56),"")</f>
        <v/>
      </c>
      <c r="I56" s="54" t="str">
        <f>IF($D56,IF(_xlfn.XLOOKUP($C56,tbl_Class[class],tbl_Class[weather_model])="yes",E56*H56,SUMIFS(tbl_Monthly[mwh],tbl_Monthly[class],$C56,tbl_Monthly[month],EDATE($B56,-12))*_xlfn.XLOOKUP($C56,$C$6:$C$9,$I$6:$I$9)*(1+CustOverlay))+IF($C56="industrial",ExtraMW*24*DAY(EOMONTH($B56,0)),0),"")</f>
        <v/>
      </c>
      <c r="J56" s="58" t="str" cm="1">
        <f t="array" ref="J56">IF($D56,SAFEDIV(SUMIFS(tbl_Monthly[revenue],tbl_Monthly[class],$C56,tbl_Monthly[month],EDATE($B56,-12)),SUMIFS(tbl_Monthly[mwh],tbl_Monthly[class],$C56,tbl_Monthly[month],EDATE($B56,-12)))*_xlfn.XLOOKUP($C56,$C$6:$C$9,$L$6:$L$9)*(1+RateChange),"")</f>
        <v/>
      </c>
      <c r="K56" s="54" t="str">
        <f t="shared" si="0"/>
        <v/>
      </c>
    </row>
    <row r="57" spans="2:11" x14ac:dyDescent="0.3">
      <c r="B57" s="79">
        <f>DATE(FiscalYear,MOD(ROWS($B$19:B57)-1,12)+1,1)</f>
        <v>46082</v>
      </c>
      <c r="C57" t="s">
        <v>100</v>
      </c>
      <c r="D57" t="b">
        <f>$B57&gt;AsOfMonth</f>
        <v>0</v>
      </c>
      <c r="E57" s="54" t="str">
        <f>IF($D57,_xlfn.XLOOKUP($C57,$C$6:$C$9,$D$6:$D$9)*_xlfn.XLOOKUP($C57,$C$6:$C$9,$F$6:$F$9)^((MONTH($B57)-MonthsClosed)/12)*(1+CustOverlay),"")</f>
        <v/>
      </c>
      <c r="F57" s="89" t="str" cm="1">
        <f t="array" ref="F57">IF($D57,INDEX($C$13:$N$13,MONTH($B57)),"")</f>
        <v/>
      </c>
      <c r="G57" s="89" t="str" cm="1">
        <f t="array" ref="G57">IF($D57,INDEX($C$14:$N$14,MONTH($B57)),"")</f>
        <v/>
      </c>
      <c r="H57" s="81" t="str" cm="1">
        <f t="array" ref="H57">IF(AND($D57,_xlfn.XLOOKUP($C57,tbl_Class[class],tbl_Class[weather_model])="yes"),_xlfn.XLOOKUP($C57,Weather!$I$6:$I$7,Weather!$C$6:$C$7)+_xlfn.XLOOKUP($C57,Weather!$I$6:$I$7,Weather!$D$6:$D$7)*F57+_xlfn.XLOOKUP($C57,Weather!$I$6:$I$7,Weather!$E$6:$E$7)*G57+_xlfn.XLOOKUP($C57,Weather!$I$6:$I$7,Weather!$F$6:$F$7)*TRENDYEARS($B57),"")</f>
        <v/>
      </c>
      <c r="I57" s="54" t="str">
        <f>IF($D57,IF(_xlfn.XLOOKUP($C57,tbl_Class[class],tbl_Class[weather_model])="yes",E57*H57,SUMIFS(tbl_Monthly[mwh],tbl_Monthly[class],$C57,tbl_Monthly[month],EDATE($B57,-12))*_xlfn.XLOOKUP($C57,$C$6:$C$9,$I$6:$I$9)*(1+CustOverlay))+IF($C57="industrial",ExtraMW*24*DAY(EOMONTH($B57,0)),0),"")</f>
        <v/>
      </c>
      <c r="J57" s="58" t="str" cm="1">
        <f t="array" ref="J57">IF($D57,SAFEDIV(SUMIFS(tbl_Monthly[revenue],tbl_Monthly[class],$C57,tbl_Monthly[month],EDATE($B57,-12)),SUMIFS(tbl_Monthly[mwh],tbl_Monthly[class],$C57,tbl_Monthly[month],EDATE($B57,-12)))*_xlfn.XLOOKUP($C57,$C$6:$C$9,$L$6:$L$9)*(1+RateChange),"")</f>
        <v/>
      </c>
      <c r="K57" s="54" t="str">
        <f t="shared" si="0"/>
        <v/>
      </c>
    </row>
    <row r="58" spans="2:11" x14ac:dyDescent="0.3">
      <c r="B58" s="79">
        <f>DATE(FiscalYear,MOD(ROWS($B$19:B58)-1,12)+1,1)</f>
        <v>46113</v>
      </c>
      <c r="C58" t="s">
        <v>100</v>
      </c>
      <c r="D58" t="b">
        <f>$B58&gt;AsOfMonth</f>
        <v>0</v>
      </c>
      <c r="E58" s="54" t="str">
        <f>IF($D58,_xlfn.XLOOKUP($C58,$C$6:$C$9,$D$6:$D$9)*_xlfn.XLOOKUP($C58,$C$6:$C$9,$F$6:$F$9)^((MONTH($B58)-MonthsClosed)/12)*(1+CustOverlay),"")</f>
        <v/>
      </c>
      <c r="F58" s="89" t="str" cm="1">
        <f t="array" ref="F58">IF($D58,INDEX($C$13:$N$13,MONTH($B58)),"")</f>
        <v/>
      </c>
      <c r="G58" s="89" t="str" cm="1">
        <f t="array" ref="G58">IF($D58,INDEX($C$14:$N$14,MONTH($B58)),"")</f>
        <v/>
      </c>
      <c r="H58" s="81" t="str" cm="1">
        <f t="array" ref="H58">IF(AND($D58,_xlfn.XLOOKUP($C58,tbl_Class[class],tbl_Class[weather_model])="yes"),_xlfn.XLOOKUP($C58,Weather!$I$6:$I$7,Weather!$C$6:$C$7)+_xlfn.XLOOKUP($C58,Weather!$I$6:$I$7,Weather!$D$6:$D$7)*F58+_xlfn.XLOOKUP($C58,Weather!$I$6:$I$7,Weather!$E$6:$E$7)*G58+_xlfn.XLOOKUP($C58,Weather!$I$6:$I$7,Weather!$F$6:$F$7)*TRENDYEARS($B58),"")</f>
        <v/>
      </c>
      <c r="I58" s="54" t="str">
        <f>IF($D58,IF(_xlfn.XLOOKUP($C58,tbl_Class[class],tbl_Class[weather_model])="yes",E58*H58,SUMIFS(tbl_Monthly[mwh],tbl_Monthly[class],$C58,tbl_Monthly[month],EDATE($B58,-12))*_xlfn.XLOOKUP($C58,$C$6:$C$9,$I$6:$I$9)*(1+CustOverlay))+IF($C58="industrial",ExtraMW*24*DAY(EOMONTH($B58,0)),0),"")</f>
        <v/>
      </c>
      <c r="J58" s="58" t="str" cm="1">
        <f t="array" ref="J58">IF($D58,SAFEDIV(SUMIFS(tbl_Monthly[revenue],tbl_Monthly[class],$C58,tbl_Monthly[month],EDATE($B58,-12)),SUMIFS(tbl_Monthly[mwh],tbl_Monthly[class],$C58,tbl_Monthly[month],EDATE($B58,-12)))*_xlfn.XLOOKUP($C58,$C$6:$C$9,$L$6:$L$9)*(1+RateChange),"")</f>
        <v/>
      </c>
      <c r="K58" s="54" t="str">
        <f t="shared" si="0"/>
        <v/>
      </c>
    </row>
    <row r="59" spans="2:11" x14ac:dyDescent="0.3">
      <c r="B59" s="79">
        <f>DATE(FiscalYear,MOD(ROWS($B$19:B59)-1,12)+1,1)</f>
        <v>46143</v>
      </c>
      <c r="C59" t="s">
        <v>100</v>
      </c>
      <c r="D59" t="b">
        <f>$B59&gt;AsOfMonth</f>
        <v>0</v>
      </c>
      <c r="E59" s="54" t="str">
        <f>IF($D59,_xlfn.XLOOKUP($C59,$C$6:$C$9,$D$6:$D$9)*_xlfn.XLOOKUP($C59,$C$6:$C$9,$F$6:$F$9)^((MONTH($B59)-MonthsClosed)/12)*(1+CustOverlay),"")</f>
        <v/>
      </c>
      <c r="F59" s="89" t="str" cm="1">
        <f t="array" ref="F59">IF($D59,INDEX($C$13:$N$13,MONTH($B59)),"")</f>
        <v/>
      </c>
      <c r="G59" s="89" t="str" cm="1">
        <f t="array" ref="G59">IF($D59,INDEX($C$14:$N$14,MONTH($B59)),"")</f>
        <v/>
      </c>
      <c r="H59" s="81" t="str" cm="1">
        <f t="array" ref="H59">IF(AND($D59,_xlfn.XLOOKUP($C59,tbl_Class[class],tbl_Class[weather_model])="yes"),_xlfn.XLOOKUP($C59,Weather!$I$6:$I$7,Weather!$C$6:$C$7)+_xlfn.XLOOKUP($C59,Weather!$I$6:$I$7,Weather!$D$6:$D$7)*F59+_xlfn.XLOOKUP($C59,Weather!$I$6:$I$7,Weather!$E$6:$E$7)*G59+_xlfn.XLOOKUP($C59,Weather!$I$6:$I$7,Weather!$F$6:$F$7)*TRENDYEARS($B59),"")</f>
        <v/>
      </c>
      <c r="I59" s="54" t="str">
        <f>IF($D59,IF(_xlfn.XLOOKUP($C59,tbl_Class[class],tbl_Class[weather_model])="yes",E59*H59,SUMIFS(tbl_Monthly[mwh],tbl_Monthly[class],$C59,tbl_Monthly[month],EDATE($B59,-12))*_xlfn.XLOOKUP($C59,$C$6:$C$9,$I$6:$I$9)*(1+CustOverlay))+IF($C59="industrial",ExtraMW*24*DAY(EOMONTH($B59,0)),0),"")</f>
        <v/>
      </c>
      <c r="J59" s="58" t="str" cm="1">
        <f t="array" ref="J59">IF($D59,SAFEDIV(SUMIFS(tbl_Monthly[revenue],tbl_Monthly[class],$C59,tbl_Monthly[month],EDATE($B59,-12)),SUMIFS(tbl_Monthly[mwh],tbl_Monthly[class],$C59,tbl_Monthly[month],EDATE($B59,-12)))*_xlfn.XLOOKUP($C59,$C$6:$C$9,$L$6:$L$9)*(1+RateChange),"")</f>
        <v/>
      </c>
      <c r="K59" s="54" t="str">
        <f t="shared" si="0"/>
        <v/>
      </c>
    </row>
    <row r="60" spans="2:11" x14ac:dyDescent="0.3">
      <c r="B60" s="79">
        <f>DATE(FiscalYear,MOD(ROWS($B$19:B60)-1,12)+1,1)</f>
        <v>46174</v>
      </c>
      <c r="C60" t="s">
        <v>100</v>
      </c>
      <c r="D60" t="b">
        <f>$B60&gt;AsOfMonth</f>
        <v>0</v>
      </c>
      <c r="E60" s="54" t="str">
        <f>IF($D60,_xlfn.XLOOKUP($C60,$C$6:$C$9,$D$6:$D$9)*_xlfn.XLOOKUP($C60,$C$6:$C$9,$F$6:$F$9)^((MONTH($B60)-MonthsClosed)/12)*(1+CustOverlay),"")</f>
        <v/>
      </c>
      <c r="F60" s="89" t="str" cm="1">
        <f t="array" ref="F60">IF($D60,INDEX($C$13:$N$13,MONTH($B60)),"")</f>
        <v/>
      </c>
      <c r="G60" s="89" t="str" cm="1">
        <f t="array" ref="G60">IF($D60,INDEX($C$14:$N$14,MONTH($B60)),"")</f>
        <v/>
      </c>
      <c r="H60" s="81" t="str" cm="1">
        <f t="array" ref="H60">IF(AND($D60,_xlfn.XLOOKUP($C60,tbl_Class[class],tbl_Class[weather_model])="yes"),_xlfn.XLOOKUP($C60,Weather!$I$6:$I$7,Weather!$C$6:$C$7)+_xlfn.XLOOKUP($C60,Weather!$I$6:$I$7,Weather!$D$6:$D$7)*F60+_xlfn.XLOOKUP($C60,Weather!$I$6:$I$7,Weather!$E$6:$E$7)*G60+_xlfn.XLOOKUP($C60,Weather!$I$6:$I$7,Weather!$F$6:$F$7)*TRENDYEARS($B60),"")</f>
        <v/>
      </c>
      <c r="I60" s="54" t="str">
        <f>IF($D60,IF(_xlfn.XLOOKUP($C60,tbl_Class[class],tbl_Class[weather_model])="yes",E60*H60,SUMIFS(tbl_Monthly[mwh],tbl_Monthly[class],$C60,tbl_Monthly[month],EDATE($B60,-12))*_xlfn.XLOOKUP($C60,$C$6:$C$9,$I$6:$I$9)*(1+CustOverlay))+IF($C60="industrial",ExtraMW*24*DAY(EOMONTH($B60,0)),0),"")</f>
        <v/>
      </c>
      <c r="J60" s="58" t="str" cm="1">
        <f t="array" ref="J60">IF($D60,SAFEDIV(SUMIFS(tbl_Monthly[revenue],tbl_Monthly[class],$C60,tbl_Monthly[month],EDATE($B60,-12)),SUMIFS(tbl_Monthly[mwh],tbl_Monthly[class],$C60,tbl_Monthly[month],EDATE($B60,-12)))*_xlfn.XLOOKUP($C60,$C$6:$C$9,$L$6:$L$9)*(1+RateChange),"")</f>
        <v/>
      </c>
      <c r="K60" s="54" t="str">
        <f t="shared" si="0"/>
        <v/>
      </c>
    </row>
    <row r="61" spans="2:11" x14ac:dyDescent="0.3">
      <c r="B61" s="79">
        <f>DATE(FiscalYear,MOD(ROWS($B$19:B61)-1,12)+1,1)</f>
        <v>46204</v>
      </c>
      <c r="C61" t="s">
        <v>100</v>
      </c>
      <c r="D61" t="b">
        <f>$B61&gt;AsOfMonth</f>
        <v>1</v>
      </c>
      <c r="E61" s="54">
        <f>IF($D61,_xlfn.XLOOKUP($C61,$C$6:$C$9,$D$6:$D$9)*_xlfn.XLOOKUP($C61,$C$6:$C$9,$F$6:$F$9)^((MONTH($B61)-MonthsClosed)/12)*(1+CustOverlay),"")</f>
        <v>1</v>
      </c>
      <c r="F61" s="89" cm="1">
        <f t="array" ref="F61">IF($D61,INDEX($C$13:$N$13,MONTH($B61)),"")</f>
        <v>41</v>
      </c>
      <c r="G61" s="89" cm="1">
        <f t="array" ref="G61">IF($D61,INDEX($C$14:$N$14,MONTH($B61)),"")</f>
        <v>91</v>
      </c>
      <c r="H61" s="81" t="str" cm="1">
        <f t="array" ref="H61">IF(AND($D61,_xlfn.XLOOKUP($C61,tbl_Class[class],tbl_Class[weather_model])="yes"),_xlfn.XLOOKUP($C61,Weather!$I$6:$I$7,Weather!$C$6:$C$7)+_xlfn.XLOOKUP($C61,Weather!$I$6:$I$7,Weather!$D$6:$D$7)*F61+_xlfn.XLOOKUP($C61,Weather!$I$6:$I$7,Weather!$E$6:$E$7)*G61+_xlfn.XLOOKUP($C61,Weather!$I$6:$I$7,Weather!$F$6:$F$7)*TRENDYEARS($B61),"")</f>
        <v/>
      </c>
      <c r="I61" s="54">
        <f>IF($D61,IF(_xlfn.XLOOKUP($C61,tbl_Class[class],tbl_Class[weather_model])="yes",E61*H61,SUMIFS(tbl_Monthly[mwh],tbl_Monthly[class],$C61,tbl_Monthly[month],EDATE($B61,-12))*_xlfn.XLOOKUP($C61,$C$6:$C$9,$I$6:$I$9)*(1+CustOverlay))+IF($C61="industrial",ExtraMW*24*DAY(EOMONTH($B61,0)),0),"")</f>
        <v>836.12149959065869</v>
      </c>
      <c r="J61" s="58" cm="1">
        <f t="array" ref="J61">IF($D61,SAFEDIV(SUMIFS(tbl_Monthly[revenue],tbl_Monthly[class],$C61,tbl_Monthly[month],EDATE($B61,-12)),SUMIFS(tbl_Monthly[mwh],tbl_Monthly[class],$C61,tbl_Monthly[month],EDATE($B61,-12)))*_xlfn.XLOOKUP($C61,$C$6:$C$9,$L$6:$L$9)*(1+RateChange),"")</f>
        <v>127.36382017498619</v>
      </c>
      <c r="K61" s="54">
        <f t="shared" si="0"/>
        <v>106491.62831830444</v>
      </c>
    </row>
    <row r="62" spans="2:11" x14ac:dyDescent="0.3">
      <c r="B62" s="79">
        <f>DATE(FiscalYear,MOD(ROWS($B$19:B62)-1,12)+1,1)</f>
        <v>46235</v>
      </c>
      <c r="C62" t="s">
        <v>100</v>
      </c>
      <c r="D62" t="b">
        <f>$B62&gt;AsOfMonth</f>
        <v>1</v>
      </c>
      <c r="E62" s="54">
        <f>IF($D62,_xlfn.XLOOKUP($C62,$C$6:$C$9,$D$6:$D$9)*_xlfn.XLOOKUP($C62,$C$6:$C$9,$F$6:$F$9)^((MONTH($B62)-MonthsClosed)/12)*(1+CustOverlay),"")</f>
        <v>1</v>
      </c>
      <c r="F62" s="89" cm="1">
        <f t="array" ref="F62">IF($D62,INDEX($C$13:$N$13,MONTH($B62)),"")</f>
        <v>27</v>
      </c>
      <c r="G62" s="89" cm="1">
        <f t="array" ref="G62">IF($D62,INDEX($C$14:$N$14,MONTH($B62)),"")</f>
        <v>111</v>
      </c>
      <c r="H62" s="81" t="str" cm="1">
        <f t="array" ref="H62">IF(AND($D62,_xlfn.XLOOKUP($C62,tbl_Class[class],tbl_Class[weather_model])="yes"),_xlfn.XLOOKUP($C62,Weather!$I$6:$I$7,Weather!$C$6:$C$7)+_xlfn.XLOOKUP($C62,Weather!$I$6:$I$7,Weather!$D$6:$D$7)*F62+_xlfn.XLOOKUP($C62,Weather!$I$6:$I$7,Weather!$E$6:$E$7)*G62+_xlfn.XLOOKUP($C62,Weather!$I$6:$I$7,Weather!$F$6:$F$7)*TRENDYEARS($B62),"")</f>
        <v/>
      </c>
      <c r="I62" s="54">
        <f>IF($D62,IF(_xlfn.XLOOKUP($C62,tbl_Class[class],tbl_Class[weather_model])="yes",E62*H62,SUMIFS(tbl_Monthly[mwh],tbl_Monthly[class],$C62,tbl_Monthly[month],EDATE($B62,-12))*_xlfn.XLOOKUP($C62,$C$6:$C$9,$I$6:$I$9)*(1+CustOverlay))+IF($C62="industrial",ExtraMW*24*DAY(EOMONTH($B62,0)),0),"")</f>
        <v>849.68770598780236</v>
      </c>
      <c r="J62" s="58" cm="1">
        <f t="array" ref="J62">IF($D62,SAFEDIV(SUMIFS(tbl_Monthly[revenue],tbl_Monthly[class],$C62,tbl_Monthly[month],EDATE($B62,-12)),SUMIFS(tbl_Monthly[mwh],tbl_Monthly[class],$C62,tbl_Monthly[month],EDATE($B62,-12)))*_xlfn.XLOOKUP($C62,$C$6:$C$9,$L$6:$L$9)*(1+RateChange),"")</f>
        <v>130.9683518416914</v>
      </c>
      <c r="K62" s="54">
        <f t="shared" si="0"/>
        <v>111282.19843337014</v>
      </c>
    </row>
    <row r="63" spans="2:11" x14ac:dyDescent="0.3">
      <c r="B63" s="79">
        <f>DATE(FiscalYear,MOD(ROWS($B$19:B63)-1,12)+1,1)</f>
        <v>46266</v>
      </c>
      <c r="C63" t="s">
        <v>100</v>
      </c>
      <c r="D63" t="b">
        <f>$B63&gt;AsOfMonth</f>
        <v>1</v>
      </c>
      <c r="E63" s="54">
        <f>IF($D63,_xlfn.XLOOKUP($C63,$C$6:$C$9,$D$6:$D$9)*_xlfn.XLOOKUP($C63,$C$6:$C$9,$F$6:$F$9)^((MONTH($B63)-MonthsClosed)/12)*(1+CustOverlay),"")</f>
        <v>1</v>
      </c>
      <c r="F63" s="89" cm="1">
        <f t="array" ref="F63">IF($D63,INDEX($C$13:$N$13,MONTH($B63)),"")</f>
        <v>117.1</v>
      </c>
      <c r="G63" s="89" cm="1">
        <f t="array" ref="G63">IF($D63,INDEX($C$14:$N$14,MONTH($B63)),"")</f>
        <v>35.799999999999997</v>
      </c>
      <c r="H63" s="81" t="str" cm="1">
        <f t="array" ref="H63">IF(AND($D63,_xlfn.XLOOKUP($C63,tbl_Class[class],tbl_Class[weather_model])="yes"),_xlfn.XLOOKUP($C63,Weather!$I$6:$I$7,Weather!$C$6:$C$7)+_xlfn.XLOOKUP($C63,Weather!$I$6:$I$7,Weather!$D$6:$D$7)*F63+_xlfn.XLOOKUP($C63,Weather!$I$6:$I$7,Weather!$E$6:$E$7)*G63+_xlfn.XLOOKUP($C63,Weather!$I$6:$I$7,Weather!$F$6:$F$7)*TRENDYEARS($B63),"")</f>
        <v/>
      </c>
      <c r="I63" s="54">
        <f>IF($D63,IF(_xlfn.XLOOKUP($C63,tbl_Class[class],tbl_Class[weather_model])="yes",E63*H63,SUMIFS(tbl_Monthly[mwh],tbl_Monthly[class],$C63,tbl_Monthly[month],EDATE($B63,-12))*_xlfn.XLOOKUP($C63,$C$6:$C$9,$I$6:$I$9)*(1+CustOverlay))+IF($C63="industrial",ExtraMW*24*DAY(EOMONTH($B63,0)),0),"")</f>
        <v>709.94571189747307</v>
      </c>
      <c r="J63" s="58" cm="1">
        <f t="array" ref="J63">IF($D63,SAFEDIV(SUMIFS(tbl_Monthly[revenue],tbl_Monthly[class],$C63,tbl_Monthly[month],EDATE($B63,-12)),SUMIFS(tbl_Monthly[mwh],tbl_Monthly[class],$C63,tbl_Monthly[month],EDATE($B63,-12)))*_xlfn.XLOOKUP($C63,$C$6:$C$9,$L$6:$L$9)*(1+RateChange),"")</f>
        <v>127.95259026764491</v>
      </c>
      <c r="K63" s="54">
        <f t="shared" si="0"/>
        <v>90839.392786688855</v>
      </c>
    </row>
    <row r="64" spans="2:11" x14ac:dyDescent="0.3">
      <c r="B64" s="79">
        <f>DATE(FiscalYear,MOD(ROWS($B$19:B64)-1,12)+1,1)</f>
        <v>46296</v>
      </c>
      <c r="C64" t="s">
        <v>100</v>
      </c>
      <c r="D64" t="b">
        <f>$B64&gt;AsOfMonth</f>
        <v>1</v>
      </c>
      <c r="E64" s="54">
        <f>IF($D64,_xlfn.XLOOKUP($C64,$C$6:$C$9,$D$6:$D$9)*_xlfn.XLOOKUP($C64,$C$6:$C$9,$F$6:$F$9)^((MONTH($B64)-MonthsClosed)/12)*(1+CustOverlay),"")</f>
        <v>1</v>
      </c>
      <c r="F64" s="89" cm="1">
        <f t="array" ref="F64">IF($D64,INDEX($C$13:$N$13,MONTH($B64)),"")</f>
        <v>376.5</v>
      </c>
      <c r="G64" s="89" cm="1">
        <f t="array" ref="G64">IF($D64,INDEX($C$14:$N$14,MONTH($B64)),"")</f>
        <v>0</v>
      </c>
      <c r="H64" s="81" t="str" cm="1">
        <f t="array" ref="H64">IF(AND($D64,_xlfn.XLOOKUP($C64,tbl_Class[class],tbl_Class[weather_model])="yes"),_xlfn.XLOOKUP($C64,Weather!$I$6:$I$7,Weather!$C$6:$C$7)+_xlfn.XLOOKUP($C64,Weather!$I$6:$I$7,Weather!$D$6:$D$7)*F64+_xlfn.XLOOKUP($C64,Weather!$I$6:$I$7,Weather!$E$6:$E$7)*G64+_xlfn.XLOOKUP($C64,Weather!$I$6:$I$7,Weather!$F$6:$F$7)*TRENDYEARS($B64),"")</f>
        <v/>
      </c>
      <c r="I64" s="54">
        <f>IF($D64,IF(_xlfn.XLOOKUP($C64,tbl_Class[class],tbl_Class[weather_model])="yes",E64*H64,SUMIFS(tbl_Monthly[mwh],tbl_Monthly[class],$C64,tbl_Monthly[month],EDATE($B64,-12))*_xlfn.XLOOKUP($C64,$C$6:$C$9,$I$6:$I$9)*(1+CustOverlay))+IF($C64="industrial",ExtraMW*24*DAY(EOMONTH($B64,0)),0),"")</f>
        <v>853.28639463240449</v>
      </c>
      <c r="J64" s="58" cm="1">
        <f t="array" ref="J64">IF($D64,SAFEDIV(SUMIFS(tbl_Monthly[revenue],tbl_Monthly[class],$C64,tbl_Monthly[month],EDATE($B64,-12)),SUMIFS(tbl_Monthly[mwh],tbl_Monthly[class],$C64,tbl_Monthly[month],EDATE($B64,-12)))*_xlfn.XLOOKUP($C64,$C$6:$C$9,$L$6:$L$9)*(1+RateChange),"")</f>
        <v>140.06032252634859</v>
      </c>
      <c r="K64" s="54">
        <f t="shared" si="0"/>
        <v>119511.56763955973</v>
      </c>
    </row>
    <row r="65" spans="2:13" x14ac:dyDescent="0.3">
      <c r="B65" s="79">
        <f>DATE(FiscalYear,MOD(ROWS($B$19:B65)-1,12)+1,1)</f>
        <v>46327</v>
      </c>
      <c r="C65" t="s">
        <v>100</v>
      </c>
      <c r="D65" t="b">
        <f>$B65&gt;AsOfMonth</f>
        <v>1</v>
      </c>
      <c r="E65" s="54">
        <f>IF($D65,_xlfn.XLOOKUP($C65,$C$6:$C$9,$D$6:$D$9)*_xlfn.XLOOKUP($C65,$C$6:$C$9,$F$6:$F$9)^((MONTH($B65)-MonthsClosed)/12)*(1+CustOverlay),"")</f>
        <v>1</v>
      </c>
      <c r="F65" s="89" cm="1">
        <f t="array" ref="F65">IF($D65,INDEX($C$13:$N$13,MONTH($B65)),"")</f>
        <v>593.70000000000005</v>
      </c>
      <c r="G65" s="89" cm="1">
        <f t="array" ref="G65">IF($D65,INDEX($C$14:$N$14,MONTH($B65)),"")</f>
        <v>0</v>
      </c>
      <c r="H65" s="81" t="str" cm="1">
        <f t="array" ref="H65">IF(AND($D65,_xlfn.XLOOKUP($C65,tbl_Class[class],tbl_Class[weather_model])="yes"),_xlfn.XLOOKUP($C65,Weather!$I$6:$I$7,Weather!$C$6:$C$7)+_xlfn.XLOOKUP($C65,Weather!$I$6:$I$7,Weather!$D$6:$D$7)*F65+_xlfn.XLOOKUP($C65,Weather!$I$6:$I$7,Weather!$E$6:$E$7)*G65+_xlfn.XLOOKUP($C65,Weather!$I$6:$I$7,Weather!$F$6:$F$7)*TRENDYEARS($B65),"")</f>
        <v/>
      </c>
      <c r="I65" s="54">
        <f>IF($D65,IF(_xlfn.XLOOKUP($C65,tbl_Class[class],tbl_Class[weather_model])="yes",E65*H65,SUMIFS(tbl_Monthly[mwh],tbl_Monthly[class],$C65,tbl_Monthly[month],EDATE($B65,-12))*_xlfn.XLOOKUP($C65,$C$6:$C$9,$I$6:$I$9)*(1+CustOverlay))+IF($C65="industrial",ExtraMW*24*DAY(EOMONTH($B65,0)),0),"")</f>
        <v>737.60000844027161</v>
      </c>
      <c r="J65" s="58" cm="1">
        <f t="array" ref="J65">IF($D65,SAFEDIV(SUMIFS(tbl_Monthly[revenue],tbl_Monthly[class],$C65,tbl_Monthly[month],EDATE($B65,-12)),SUMIFS(tbl_Monthly[mwh],tbl_Monthly[class],$C65,tbl_Monthly[month],EDATE($B65,-12)))*_xlfn.XLOOKUP($C65,$C$6:$C$9,$L$6:$L$9)*(1+RateChange),"")</f>
        <v>135.86421362394481</v>
      </c>
      <c r="K65" s="54">
        <f t="shared" si="0"/>
        <v>100213.44511575255</v>
      </c>
    </row>
    <row r="66" spans="2:13" x14ac:dyDescent="0.3">
      <c r="B66" s="79">
        <f>DATE(FiscalYear,MOD(ROWS($B$19:B66)-1,12)+1,1)</f>
        <v>46357</v>
      </c>
      <c r="C66" t="s">
        <v>100</v>
      </c>
      <c r="D66" t="b">
        <f>$B66&gt;AsOfMonth</f>
        <v>1</v>
      </c>
      <c r="E66" s="54">
        <f>IF($D66,_xlfn.XLOOKUP($C66,$C$6:$C$9,$D$6:$D$9)*_xlfn.XLOOKUP($C66,$C$6:$C$9,$F$6:$F$9)^((MONTH($B66)-MonthsClosed)/12)*(1+CustOverlay),"")</f>
        <v>1</v>
      </c>
      <c r="F66" s="89" cm="1">
        <f t="array" ref="F66">IF($D66,INDEX($C$13:$N$13,MONTH($B66)),"")</f>
        <v>753.3</v>
      </c>
      <c r="G66" s="89" cm="1">
        <f t="array" ref="G66">IF($D66,INDEX($C$14:$N$14,MONTH($B66)),"")</f>
        <v>0</v>
      </c>
      <c r="H66" s="81" t="str" cm="1">
        <f t="array" ref="H66">IF(AND($D66,_xlfn.XLOOKUP($C66,tbl_Class[class],tbl_Class[weather_model])="yes"),_xlfn.XLOOKUP($C66,Weather!$I$6:$I$7,Weather!$C$6:$C$7)+_xlfn.XLOOKUP($C66,Weather!$I$6:$I$7,Weather!$D$6:$D$7)*F66+_xlfn.XLOOKUP($C66,Weather!$I$6:$I$7,Weather!$E$6:$E$7)*G66+_xlfn.XLOOKUP($C66,Weather!$I$6:$I$7,Weather!$F$6:$F$7)*TRENDYEARS($B66),"")</f>
        <v/>
      </c>
      <c r="I66" s="54">
        <f>IF($D66,IF(_xlfn.XLOOKUP($C66,tbl_Class[class],tbl_Class[weather_model])="yes",E66*H66,SUMIFS(tbl_Monthly[mwh],tbl_Monthly[class],$C66,tbl_Monthly[month],EDATE($B66,-12))*_xlfn.XLOOKUP($C66,$C$6:$C$9,$I$6:$I$9)*(1+CustOverlay))+IF($C66="industrial",ExtraMW*24*DAY(EOMONTH($B66,0)),0),"")</f>
        <v>856.29022817250871</v>
      </c>
      <c r="J66" s="58" cm="1">
        <f t="array" ref="J66">IF($D66,SAFEDIV(SUMIFS(tbl_Monthly[revenue],tbl_Monthly[class],$C66,tbl_Monthly[month],EDATE($B66,-12)),SUMIFS(tbl_Monthly[mwh],tbl_Monthly[class],$C66,tbl_Monthly[month],EDATE($B66,-12)))*_xlfn.XLOOKUP($C66,$C$6:$C$9,$L$6:$L$9)*(1+RateChange),"")</f>
        <v>129.12758591046534</v>
      </c>
      <c r="K66" s="54">
        <f t="shared" si="0"/>
        <v>110570.6900026376</v>
      </c>
    </row>
    <row r="69" spans="2:13" ht="18" customHeight="1" x14ac:dyDescent="0.3">
      <c r="B69" s="7" t="str">
        <f>"Full-year outlook, "&amp;FiscalYear</f>
        <v>Full-year outlook, 2026</v>
      </c>
      <c r="C69" s="7"/>
      <c r="D69" s="7"/>
      <c r="E69" s="7"/>
      <c r="F69" s="7"/>
      <c r="G69" s="7"/>
      <c r="H69" s="7"/>
      <c r="I69" s="7"/>
      <c r="J69" s="7"/>
      <c r="K69" s="7"/>
      <c r="L69" s="7"/>
      <c r="M69" s="7"/>
    </row>
    <row r="70" spans="2:13" ht="26" x14ac:dyDescent="0.3">
      <c r="B70" s="64" t="s">
        <v>208</v>
      </c>
      <c r="C70" s="65" t="s">
        <v>279</v>
      </c>
      <c r="D70" s="65" t="s">
        <v>387</v>
      </c>
      <c r="E70" s="65" t="s">
        <v>388</v>
      </c>
      <c r="F70" s="65" t="s">
        <v>389</v>
      </c>
      <c r="G70" s="65" t="str">
        <f>"Actual "&amp;(FiscalYear-1)</f>
        <v>Actual 2025</v>
      </c>
      <c r="H70" s="65" t="s">
        <v>390</v>
      </c>
      <c r="I70" s="65" t="str">
        <f>"Plan "&amp;FiscalYear</f>
        <v>Plan 2026</v>
      </c>
      <c r="J70" s="65" t="s">
        <v>391</v>
      </c>
      <c r="K70" s="65" t="s">
        <v>392</v>
      </c>
      <c r="L70" s="65" t="s">
        <v>213</v>
      </c>
    </row>
    <row r="71" spans="2:13" x14ac:dyDescent="0.3">
      <c r="B71" t="s">
        <v>93</v>
      </c>
      <c r="C71" s="61" t="s">
        <v>92</v>
      </c>
      <c r="D71" s="54">
        <f>SUMIFS(tbl_Monthly[revenue],tbl_Monthly[class],$C71,tbl_Monthly[month],"&gt;="&amp;FYStart,tbl_Monthly[month],"&lt;="&amp;AsOfMonth)</f>
        <v>695144762</v>
      </c>
      <c r="E71" s="54">
        <f t="shared" ref="E71:E74" si="1">SUMIFS($K$19:$K$66,$C$19:$C$66,$C71,$D$19:$D$66,TRUE)</f>
        <v>719442833.07789564</v>
      </c>
      <c r="F71" s="54">
        <f t="shared" ref="F71:F74" si="2">D71+E71</f>
        <v>1414587595.0778956</v>
      </c>
      <c r="G71" s="54">
        <f>SUMIFS(tbl_Monthly[revenue],tbl_Monthly[class],$C71,tbl_Monthly[month],"&gt;="&amp;DATE(FiscalYear-1,1,1),tbl_Monthly[month],"&lt;="&amp;DATE(FiscalYear-1,12,1))</f>
        <v>1427684968</v>
      </c>
      <c r="H71" s="39" cm="1">
        <f t="array" ref="H71">SAFEDIV(F71-G71,G71)</f>
        <v>-9.1738536271430138E-3</v>
      </c>
      <c r="I71" s="54">
        <f>IF(PlanYear=FiscalYear,SUMIFS(Plan!$J$28:$J$75,Plan!$C$28:$C$75,$C71),NA())</f>
        <v>1519603232.8848825</v>
      </c>
      <c r="J71" s="55">
        <f t="shared" ref="J71:J75" si="3">IFERROR(F71-I71,0)</f>
        <v>-105015637.80698681</v>
      </c>
      <c r="K71" s="54">
        <f>SUMIFS(tbl_Monthly[mwh],tbl_Monthly[class],$C71,tbl_Monthly[month],"&gt;="&amp;FYStart,tbl_Monthly[month],"&lt;="&amp;AsOfMonth)+SUMIFS($I$19:$I$66,$C$19:$C$66,$C71,$D$19:$D$66,TRUE)</f>
        <v>7468034.8064923789</v>
      </c>
      <c r="L71" s="56" cm="1">
        <f t="array" ref="L71">CPK(F71,K71)</f>
        <v>18.941898795759705</v>
      </c>
    </row>
    <row r="72" spans="2:13" x14ac:dyDescent="0.3">
      <c r="B72" t="s">
        <v>96</v>
      </c>
      <c r="C72" s="61" t="s">
        <v>95</v>
      </c>
      <c r="D72" s="54">
        <f>SUMIFS(tbl_Monthly[revenue],tbl_Monthly[class],$C72,tbl_Monthly[month],"&gt;="&amp;FYStart,tbl_Monthly[month],"&lt;="&amp;AsOfMonth)</f>
        <v>474305106</v>
      </c>
      <c r="E72" s="54">
        <f t="shared" si="1"/>
        <v>480630871.67698056</v>
      </c>
      <c r="F72" s="54">
        <f t="shared" si="2"/>
        <v>954935977.6769805</v>
      </c>
      <c r="G72" s="54">
        <f>SUMIFS(tbl_Monthly[revenue],tbl_Monthly[class],$C72,tbl_Monthly[month],"&gt;="&amp;DATE(FiscalYear-1,1,1),tbl_Monthly[month],"&lt;="&amp;DATE(FiscalYear-1,12,1))</f>
        <v>945174603</v>
      </c>
      <c r="H72" s="39" cm="1">
        <f t="array" ref="H72">SAFEDIV(F72-G72,G72)</f>
        <v>1.0327588834907041E-2</v>
      </c>
      <c r="I72" s="54">
        <f>IF(PlanYear=FiscalYear,SUMIFS(Plan!$J$28:$J$75,Plan!$C$28:$C$75,$C72),NA())</f>
        <v>990533207.07172525</v>
      </c>
      <c r="J72" s="55">
        <f t="shared" si="3"/>
        <v>-35597229.394744754</v>
      </c>
      <c r="K72" s="54">
        <f>SUMIFS(tbl_Monthly[mwh],tbl_Monthly[class],$C72,tbl_Monthly[month],"&gt;="&amp;FYStart,tbl_Monthly[month],"&lt;="&amp;AsOfMonth)+SUMIFS($I$19:$I$66,$C$19:$C$66,$C72,$D$19:$D$66,TRUE)</f>
        <v>6264101.4116390282</v>
      </c>
      <c r="L72" s="56" cm="1">
        <f t="array" ref="L72">CPK(F72,K72)</f>
        <v>15.244580426214995</v>
      </c>
    </row>
    <row r="73" spans="2:13" x14ac:dyDescent="0.3">
      <c r="B73" t="s">
        <v>98</v>
      </c>
      <c r="C73" s="61" t="s">
        <v>97</v>
      </c>
      <c r="D73" s="54">
        <f>SUMIFS(tbl_Monthly[revenue],tbl_Monthly[class],$C73,tbl_Monthly[month],"&gt;="&amp;FYStart,tbl_Monthly[month],"&lt;="&amp;AsOfMonth)</f>
        <v>299820792</v>
      </c>
      <c r="E73" s="54">
        <f t="shared" si="1"/>
        <v>336990068.1648429</v>
      </c>
      <c r="F73" s="54">
        <f t="shared" si="2"/>
        <v>636810860.16484284</v>
      </c>
      <c r="G73" s="54">
        <f>SUMIFS(tbl_Monthly[revenue],tbl_Monthly[class],$C73,tbl_Monthly[month],"&gt;="&amp;DATE(FiscalYear-1,1,1),tbl_Monthly[month],"&lt;="&amp;DATE(FiscalYear-1,12,1))</f>
        <v>553919872</v>
      </c>
      <c r="H73" s="39" cm="1">
        <f t="array" ref="H73">SAFEDIV(F73-G73,G73)</f>
        <v>0.14964436618883903</v>
      </c>
      <c r="I73" s="54">
        <f>IF(PlanYear=FiscalYear,SUMIFS(Plan!$J$28:$J$75,Plan!$C$28:$C$75,$C73),NA())</f>
        <v>680177873.51298106</v>
      </c>
      <c r="J73" s="55">
        <f t="shared" si="3"/>
        <v>-43367013.348138213</v>
      </c>
      <c r="K73" s="54">
        <f>SUMIFS(tbl_Monthly[mwh],tbl_Monthly[class],$C73,tbl_Monthly[month],"&gt;="&amp;FYStart,tbl_Monthly[month],"&lt;="&amp;AsOfMonth)+SUMIFS($I$19:$I$66,$C$19:$C$66,$C73,$D$19:$D$66,TRUE)</f>
        <v>6702873.4003914129</v>
      </c>
      <c r="L73" s="56" cm="1">
        <f t="array" ref="L73">CPK(F73,K73)</f>
        <v>9.5005652371064677</v>
      </c>
    </row>
    <row r="74" spans="2:13" x14ac:dyDescent="0.3">
      <c r="B74" t="s">
        <v>101</v>
      </c>
      <c r="C74" s="61" t="s">
        <v>100</v>
      </c>
      <c r="D74" s="54">
        <f>SUMIFS(tbl_Monthly[revenue],tbl_Monthly[class],$C74,tbl_Monthly[month],"&gt;="&amp;FYStart,tbl_Monthly[month],"&lt;="&amp;AsOfMonth)</f>
        <v>691495</v>
      </c>
      <c r="E74" s="54">
        <f t="shared" si="1"/>
        <v>638908.92229631334</v>
      </c>
      <c r="F74" s="54">
        <f t="shared" si="2"/>
        <v>1330403.9222963133</v>
      </c>
      <c r="G74" s="54">
        <f>SUMIFS(tbl_Monthly[revenue],tbl_Monthly[class],$C74,tbl_Monthly[month],"&gt;="&amp;DATE(FiscalYear-1,1,1),tbl_Monthly[month],"&lt;="&amp;DATE(FiscalYear-1,12,1))</f>
        <v>1400507</v>
      </c>
      <c r="H74" s="39" cm="1">
        <f t="array" ref="H74">SAFEDIV(F74-G74,G74)</f>
        <v>-5.0055499689531477E-2</v>
      </c>
      <c r="I74" s="54">
        <f>IF(PlanYear=FiscalYear,SUMIFS(Plan!$J$28:$J$75,Plan!$C$28:$C$75,$C74),NA())</f>
        <v>1594039.8896430722</v>
      </c>
      <c r="J74" s="55">
        <f t="shared" si="3"/>
        <v>-263635.96734675881</v>
      </c>
      <c r="K74" s="54">
        <f>SUMIFS(tbl_Monthly[mwh],tbl_Monthly[class],$C74,tbl_Monthly[month],"&gt;="&amp;FYStart,tbl_Monthly[month],"&lt;="&amp;AsOfMonth)+SUMIFS($I$19:$I$66,$C$19:$C$66,$C74,$D$19:$D$66,TRUE)</f>
        <v>10083.707548721119</v>
      </c>
      <c r="L74" s="56" cm="1">
        <f t="array" ref="L74">CPK(F74,K74)</f>
        <v>13.193598841182615</v>
      </c>
    </row>
    <row r="75" spans="2:13" ht="13.5" thickBot="1" x14ac:dyDescent="0.35">
      <c r="B75" s="50" t="s">
        <v>207</v>
      </c>
      <c r="C75" s="50"/>
      <c r="D75" s="70">
        <f>SUM(D71:D74)</f>
        <v>1469962155</v>
      </c>
      <c r="E75" s="70">
        <f>SUM(E71:E74)</f>
        <v>1537702681.8420153</v>
      </c>
      <c r="F75" s="70">
        <f>SUM(F71:F74)</f>
        <v>3007664836.8420153</v>
      </c>
      <c r="G75" s="70">
        <f>SUM(G71:G74)</f>
        <v>2928179950</v>
      </c>
      <c r="H75" s="52" cm="1">
        <f t="array" ref="H75">SAFEDIV(F75-G75,G75)</f>
        <v>2.7144809471841124E-2</v>
      </c>
      <c r="I75" s="70">
        <f>SUM(I71:I74)</f>
        <v>3191908353.3592319</v>
      </c>
      <c r="J75" s="72">
        <f t="shared" si="3"/>
        <v>-184243516.51721668</v>
      </c>
      <c r="K75" s="70">
        <f>SUM(K71:K74)</f>
        <v>20445093.326071545</v>
      </c>
      <c r="L75" s="75" cm="1">
        <f t="array" ref="L75">CPK(F75,K75)</f>
        <v>14.710937186120088</v>
      </c>
    </row>
    <row r="76" spans="2:13" ht="13.5" thickTop="1" x14ac:dyDescent="0.3"/>
    <row r="78" spans="2:13" ht="18" customHeight="1" x14ac:dyDescent="0.3">
      <c r="B78" s="7" t="s">
        <v>393</v>
      </c>
      <c r="C78" s="7"/>
      <c r="D78" s="7"/>
      <c r="E78" s="7"/>
      <c r="F78" s="7"/>
      <c r="G78" s="7"/>
      <c r="H78" s="7"/>
      <c r="I78" s="7"/>
      <c r="J78" s="7"/>
      <c r="K78" s="7"/>
      <c r="L78" s="7"/>
      <c r="M78" s="7"/>
    </row>
    <row r="79" spans="2:13" ht="26" x14ac:dyDescent="0.3">
      <c r="B79" s="64" t="s">
        <v>299</v>
      </c>
      <c r="C79" s="65" t="s">
        <v>360</v>
      </c>
      <c r="D79" s="65" t="s">
        <v>388</v>
      </c>
      <c r="E79" s="65" t="s">
        <v>359</v>
      </c>
      <c r="F79" s="65" t="s">
        <v>280</v>
      </c>
      <c r="G79" s="65" t="s">
        <v>394</v>
      </c>
      <c r="H79" s="65" t="s">
        <v>395</v>
      </c>
    </row>
    <row r="80" spans="2:13" x14ac:dyDescent="0.3">
      <c r="B80" s="79">
        <f>DATE(FiscalYear,ROWS($B$80:B80),1)</f>
        <v>46023</v>
      </c>
      <c r="C80" s="54" cm="1">
        <f t="array" ref="C80">IF(ISCLOSED(B80),SUMIFS(tbl_Monthly[revenue],tbl_Monthly[month],B80),"")</f>
        <v>271495430</v>
      </c>
      <c r="D80" s="54" t="str" cm="1">
        <f t="array" ref="D80">IF(ISCLOSED(B80),"",SUMIFS($K$19:$K$66,$B$19:$B$66,B80))</f>
        <v/>
      </c>
      <c r="E80" s="54">
        <f>IF(PlanYear=FiscalYear,SUMIFS(Plan!$J$28:$J$75,Plan!$B$28:$B$75,B80),"")</f>
        <v>283013384.4544363</v>
      </c>
      <c r="F80" s="54">
        <f>SUMIFS(tbl_Monthly[revenue],tbl_Monthly[month],EDATE(B80,-12))</f>
        <v>280461721</v>
      </c>
      <c r="G80" s="54" t="str" cm="1">
        <f t="array" ref="G80">IF(ISCLOSED(B80),"",_xlfn.FORECAST.ETS(MATCH(B80,$B$97:$B$216,0),$D$97:INDEX($D$97:$D$216,MATCH(AsOfMonth,$B$97:$B$216,0)),$C$97:INDEX($C$97:$C$216,MATCH(AsOfMonth,$B$97:$B$216,0)),12))</f>
        <v/>
      </c>
      <c r="H80" s="23" t="str" cm="1">
        <f t="array" ref="H80">IF(ISCLOSED(B80),"",SAFEDIV(D80-G80,G80))</f>
        <v/>
      </c>
    </row>
    <row r="81" spans="2:13" x14ac:dyDescent="0.3">
      <c r="B81" s="79">
        <f>DATE(FiscalYear,ROWS($B$80:B81),1)</f>
        <v>46054</v>
      </c>
      <c r="C81" s="54" cm="1">
        <f t="array" ref="C81">IF(ISCLOSED(B81),SUMIFS(tbl_Monthly[revenue],tbl_Monthly[month],B81),"")</f>
        <v>236446919</v>
      </c>
      <c r="D81" s="54" t="str" cm="1">
        <f t="array" ref="D81">IF(ISCLOSED(B81),"",SUMIFS($K$19:$K$66,$B$19:$B$66,B81))</f>
        <v/>
      </c>
      <c r="E81" s="54">
        <f>IF(PlanYear=FiscalYear,SUMIFS(Plan!$J$28:$J$75,Plan!$B$28:$B$75,B81),"")</f>
        <v>278331997.90309078</v>
      </c>
      <c r="F81" s="54">
        <f>SUMIFS(tbl_Monthly[revenue],tbl_Monthly[month],EDATE(B81,-12))</f>
        <v>252288295</v>
      </c>
      <c r="G81" s="54" t="str" cm="1">
        <f t="array" ref="G81">IF(ISCLOSED(B81),"",_xlfn.FORECAST.ETS(MATCH(B81,$B$97:$B$216,0),$D$97:INDEX($D$97:$D$216,MATCH(AsOfMonth,$B$97:$B$216,0)),$C$97:INDEX($C$97:$C$216,MATCH(AsOfMonth,$B$97:$B$216,0)),12))</f>
        <v/>
      </c>
      <c r="H81" s="23" t="str" cm="1">
        <f t="array" ref="H81">IF(ISCLOSED(B81),"",SAFEDIV(D81-G81,G81))</f>
        <v/>
      </c>
    </row>
    <row r="82" spans="2:13" x14ac:dyDescent="0.3">
      <c r="B82" s="79">
        <f>DATE(FiscalYear,ROWS($B$80:B82),1)</f>
        <v>46082</v>
      </c>
      <c r="C82" s="54" cm="1">
        <f t="array" ref="C82">IF(ISCLOSED(B82),SUMIFS(tbl_Monthly[revenue],tbl_Monthly[month],B82),"")</f>
        <v>241516825</v>
      </c>
      <c r="D82" s="54" t="str" cm="1">
        <f t="array" ref="D82">IF(ISCLOSED(B82),"",SUMIFS($K$19:$K$66,$B$19:$B$66,B82))</f>
        <v/>
      </c>
      <c r="E82" s="54">
        <f>IF(PlanYear=FiscalYear,SUMIFS(Plan!$J$28:$J$75,Plan!$B$28:$B$75,B82),"")</f>
        <v>278534819.09507304</v>
      </c>
      <c r="F82" s="54">
        <f>SUMIFS(tbl_Monthly[revenue],tbl_Monthly[month],EDATE(B82,-12))</f>
        <v>247602397</v>
      </c>
      <c r="G82" s="54" t="str" cm="1">
        <f t="array" ref="G82">IF(ISCLOSED(B82),"",_xlfn.FORECAST.ETS(MATCH(B82,$B$97:$B$216,0),$D$97:INDEX($D$97:$D$216,MATCH(AsOfMonth,$B$97:$B$216,0)),$C$97:INDEX($C$97:$C$216,MATCH(AsOfMonth,$B$97:$B$216,0)),12))</f>
        <v/>
      </c>
      <c r="H82" s="23" t="str" cm="1">
        <f t="array" ref="H82">IF(ISCLOSED(B82),"",SAFEDIV(D82-G82,G82))</f>
        <v/>
      </c>
    </row>
    <row r="83" spans="2:13" x14ac:dyDescent="0.3">
      <c r="B83" s="79">
        <f>DATE(FiscalYear,ROWS($B$80:B83),1)</f>
        <v>46113</v>
      </c>
      <c r="C83" s="54" cm="1">
        <f t="array" ref="C83">IF(ISCLOSED(B83),SUMIFS(tbl_Monthly[revenue],tbl_Monthly[month],B83),"")</f>
        <v>233585146</v>
      </c>
      <c r="D83" s="54" t="str" cm="1">
        <f t="array" ref="D83">IF(ISCLOSED(B83),"",SUMIFS($K$19:$K$66,$B$19:$B$66,B83))</f>
        <v/>
      </c>
      <c r="E83" s="54">
        <f>IF(PlanYear=FiscalYear,SUMIFS(Plan!$J$28:$J$75,Plan!$B$28:$B$75,B83),"")</f>
        <v>258377317.47637573</v>
      </c>
      <c r="F83" s="54">
        <f>SUMIFS(tbl_Monthly[revenue],tbl_Monthly[month],EDATE(B83,-12))</f>
        <v>217637842</v>
      </c>
      <c r="G83" s="54" t="str" cm="1">
        <f t="array" ref="G83">IF(ISCLOSED(B83),"",_xlfn.FORECAST.ETS(MATCH(B83,$B$97:$B$216,0),$D$97:INDEX($D$97:$D$216,MATCH(AsOfMonth,$B$97:$B$216,0)),$C$97:INDEX($C$97:$C$216,MATCH(AsOfMonth,$B$97:$B$216,0)),12))</f>
        <v/>
      </c>
      <c r="H83" s="23" t="str" cm="1">
        <f t="array" ref="H83">IF(ISCLOSED(B83),"",SAFEDIV(D83-G83,G83))</f>
        <v/>
      </c>
    </row>
    <row r="84" spans="2:13" x14ac:dyDescent="0.3">
      <c r="B84" s="79">
        <f>DATE(FiscalYear,ROWS($B$80:B84),1)</f>
        <v>46143</v>
      </c>
      <c r="C84" s="54" cm="1">
        <f t="array" ref="C84">IF(ISCLOSED(B84),SUMIFS(tbl_Monthly[revenue],tbl_Monthly[month],B84),"")</f>
        <v>239271154</v>
      </c>
      <c r="D84" s="54" t="str" cm="1">
        <f t="array" ref="D84">IF(ISCLOSED(B84),"",SUMIFS($K$19:$K$66,$B$19:$B$66,B84))</f>
        <v/>
      </c>
      <c r="E84" s="54">
        <f>IF(PlanYear=FiscalYear,SUMIFS(Plan!$J$28:$J$75,Plan!$B$28:$B$75,B84),"")</f>
        <v>241140122.72129312</v>
      </c>
      <c r="F84" s="54">
        <f>SUMIFS(tbl_Monthly[revenue],tbl_Monthly[month],EDATE(B84,-12))</f>
        <v>216290531</v>
      </c>
      <c r="G84" s="54" t="str" cm="1">
        <f t="array" ref="G84">IF(ISCLOSED(B84),"",_xlfn.FORECAST.ETS(MATCH(B84,$B$97:$B$216,0),$D$97:INDEX($D$97:$D$216,MATCH(AsOfMonth,$B$97:$B$216,0)),$C$97:INDEX($C$97:$C$216,MATCH(AsOfMonth,$B$97:$B$216,0)),12))</f>
        <v/>
      </c>
      <c r="H84" s="23" t="str" cm="1">
        <f t="array" ref="H84">IF(ISCLOSED(B84),"",SAFEDIV(D84-G84,G84))</f>
        <v/>
      </c>
    </row>
    <row r="85" spans="2:13" x14ac:dyDescent="0.3">
      <c r="B85" s="79">
        <f>DATE(FiscalYear,ROWS($B$80:B85),1)</f>
        <v>46174</v>
      </c>
      <c r="C85" s="54" cm="1">
        <f t="array" ref="C85">IF(ISCLOSED(B85),SUMIFS(tbl_Monthly[revenue],tbl_Monthly[month],B85),"")</f>
        <v>247646681</v>
      </c>
      <c r="D85" s="54" t="str" cm="1">
        <f t="array" ref="D85">IF(ISCLOSED(B85),"",SUMIFS($K$19:$K$66,$B$19:$B$66,B85))</f>
        <v/>
      </c>
      <c r="E85" s="54">
        <f>IF(PlanYear=FiscalYear,SUMIFS(Plan!$J$28:$J$75,Plan!$B$28:$B$75,B85),"")</f>
        <v>231505490.72670346</v>
      </c>
      <c r="F85" s="54">
        <f>SUMIFS(tbl_Monthly[revenue],tbl_Monthly[month],EDATE(B85,-12))</f>
        <v>228083828</v>
      </c>
      <c r="G85" s="54" t="str" cm="1">
        <f t="array" ref="G85">IF(ISCLOSED(B85),"",_xlfn.FORECAST.ETS(MATCH(B85,$B$97:$B$216,0),$D$97:INDEX($D$97:$D$216,MATCH(AsOfMonth,$B$97:$B$216,0)),$C$97:INDEX($C$97:$C$216,MATCH(AsOfMonth,$B$97:$B$216,0)),12))</f>
        <v/>
      </c>
      <c r="H85" s="23" t="str" cm="1">
        <f t="array" ref="H85">IF(ISCLOSED(B85),"",SAFEDIV(D85-G85,G85))</f>
        <v/>
      </c>
    </row>
    <row r="86" spans="2:13" x14ac:dyDescent="0.3">
      <c r="B86" s="79">
        <f>DATE(FiscalYear,ROWS($B$80:B86),1)</f>
        <v>46204</v>
      </c>
      <c r="C86" s="54" t="str" cm="1">
        <f t="array" ref="C86">IF(ISCLOSED(B86),SUMIFS(tbl_Monthly[revenue],tbl_Monthly[month],B86),"")</f>
        <v/>
      </c>
      <c r="D86" s="54" cm="1">
        <f t="array" ref="D86">IF(ISCLOSED(B86),"",SUMIFS($K$19:$K$66,$B$19:$B$66,B86))</f>
        <v>249765756.93287402</v>
      </c>
      <c r="E86" s="54">
        <f>IF(PlanYear=FiscalYear,SUMIFS(Plan!$J$28:$J$75,Plan!$B$28:$B$75,B86),"")</f>
        <v>271905951.22630715</v>
      </c>
      <c r="F86" s="54">
        <f>SUMIFS(tbl_Monthly[revenue],tbl_Monthly[month],EDATE(B86,-12))</f>
        <v>260233530</v>
      </c>
      <c r="G86" s="54" cm="1">
        <f t="array" ref="G86">IF(ISCLOSED(B86),"",_xlfn.FORECAST.ETS(MATCH(B86,$B$97:$B$216,0),$D$97:INDEX($D$97:$D$216,MATCH(AsOfMonth,$B$97:$B$216,0)),$C$97:INDEX($C$97:$C$216,MATCH(AsOfMonth,$B$97:$B$216,0)),12))</f>
        <v>274067196.42973036</v>
      </c>
      <c r="H86" s="23" cm="1">
        <f t="array" ref="H86">IF(ISCLOSED(B86),"",SAFEDIV(D86-G86,G86))</f>
        <v>-8.8669639465907835E-2</v>
      </c>
    </row>
    <row r="87" spans="2:13" x14ac:dyDescent="0.3">
      <c r="B87" s="79">
        <f>DATE(FiscalYear,ROWS($B$80:B87),1)</f>
        <v>46235</v>
      </c>
      <c r="C87" s="54" t="str" cm="1">
        <f t="array" ref="C87">IF(ISCLOSED(B87),SUMIFS(tbl_Monthly[revenue],tbl_Monthly[month],B87),"")</f>
        <v/>
      </c>
      <c r="D87" s="54" cm="1">
        <f t="array" ref="D87">IF(ISCLOSED(B87),"",SUMIFS($K$19:$K$66,$B$19:$B$66,B87))</f>
        <v>261871304.79094505</v>
      </c>
      <c r="E87" s="54">
        <f>IF(PlanYear=FiscalYear,SUMIFS(Plan!$J$28:$J$75,Plan!$B$28:$B$75,B87),"")</f>
        <v>282850946.04563272</v>
      </c>
      <c r="F87" s="54">
        <f>SUMIFS(tbl_Monthly[revenue],tbl_Monthly[month],EDATE(B87,-12))</f>
        <v>268274378</v>
      </c>
      <c r="G87" s="54" cm="1">
        <f t="array" ref="G87">IF(ISCLOSED(B87),"",_xlfn.FORECAST.ETS(MATCH(B87,$B$97:$B$216,0),$D$97:INDEX($D$97:$D$216,MATCH(AsOfMonth,$B$97:$B$216,0)),$C$97:INDEX($C$97:$C$216,MATCH(AsOfMonth,$B$97:$B$216,0)),12))</f>
        <v>272387566.26117349</v>
      </c>
      <c r="H87" s="23" cm="1">
        <f t="array" ref="H87">IF(ISCLOSED(B87),"",SAFEDIV(D87-G87,G87))</f>
        <v>-3.8607714788806188E-2</v>
      </c>
    </row>
    <row r="88" spans="2:13" x14ac:dyDescent="0.3">
      <c r="B88" s="79">
        <f>DATE(FiscalYear,ROWS($B$80:B88),1)</f>
        <v>46266</v>
      </c>
      <c r="C88" s="54" t="str" cm="1">
        <f t="array" ref="C88">IF(ISCLOSED(B88),SUMIFS(tbl_Monthly[revenue],tbl_Monthly[month],B88),"")</f>
        <v/>
      </c>
      <c r="D88" s="54" cm="1">
        <f t="array" ref="D88">IF(ISCLOSED(B88),"",SUMIFS($K$19:$K$66,$B$19:$B$66,B88))</f>
        <v>233295188.66523248</v>
      </c>
      <c r="E88" s="54">
        <f>IF(PlanYear=FiscalYear,SUMIFS(Plan!$J$28:$J$75,Plan!$B$28:$B$75,B88),"")</f>
        <v>242720940.82044315</v>
      </c>
      <c r="F88" s="54">
        <f>SUMIFS(tbl_Monthly[revenue],tbl_Monthly[month],EDATE(B88,-12))</f>
        <v>230382555</v>
      </c>
      <c r="G88" s="54" cm="1">
        <f t="array" ref="G88">IF(ISCLOSED(B88),"",_xlfn.FORECAST.ETS(MATCH(B88,$B$97:$B$216,0),$D$97:INDEX($D$97:$D$216,MATCH(AsOfMonth,$B$97:$B$216,0)),$C$97:INDEX($C$97:$C$216,MATCH(AsOfMonth,$B$97:$B$216,0)),12))</f>
        <v>235632779.17089617</v>
      </c>
      <c r="H88" s="23" cm="1">
        <f t="array" ref="H88">IF(ISCLOSED(B88),"",SAFEDIV(D88-G88,G88))</f>
        <v>-9.9204809869356952E-3</v>
      </c>
    </row>
    <row r="89" spans="2:13" x14ac:dyDescent="0.3">
      <c r="B89" s="79">
        <f>DATE(FiscalYear,ROWS($B$80:B89),1)</f>
        <v>46296</v>
      </c>
      <c r="C89" s="54" t="str" cm="1">
        <f t="array" ref="C89">IF(ISCLOSED(B89),SUMIFS(tbl_Monthly[revenue],tbl_Monthly[month],B89),"")</f>
        <v/>
      </c>
      <c r="D89" s="54" cm="1">
        <f t="array" ref="D89">IF(ISCLOSED(B89),"",SUMIFS($K$19:$K$66,$B$19:$B$66,B89))</f>
        <v>242431371.7977902</v>
      </c>
      <c r="E89" s="54">
        <f>IF(PlanYear=FiscalYear,SUMIFS(Plan!$J$28:$J$75,Plan!$B$28:$B$75,B89),"")</f>
        <v>252029999.89322755</v>
      </c>
      <c r="F89" s="54">
        <f>SUMIFS(tbl_Monthly[revenue],tbl_Monthly[month],EDATE(B89,-12))</f>
        <v>226390278</v>
      </c>
      <c r="G89" s="54" cm="1">
        <f t="array" ref="G89">IF(ISCLOSED(B89),"",_xlfn.FORECAST.ETS(MATCH(B89,$B$97:$B$216,0),$D$97:INDEX($D$97:$D$216,MATCH(AsOfMonth,$B$97:$B$216,0)),$C$97:INDEX($C$97:$C$216,MATCH(AsOfMonth,$B$97:$B$216,0)),12))</f>
        <v>234894503.76176316</v>
      </c>
      <c r="H89" s="23" cm="1">
        <f t="array" ref="H89">IF(ISCLOSED(B89),"",SAFEDIV(D89-G89,G89))</f>
        <v>3.2086183011208962E-2</v>
      </c>
    </row>
    <row r="90" spans="2:13" x14ac:dyDescent="0.3">
      <c r="B90" s="79">
        <f>DATE(FiscalYear,ROWS($B$80:B90),1)</f>
        <v>46327</v>
      </c>
      <c r="C90" s="54" t="str" cm="1">
        <f t="array" ref="C90">IF(ISCLOSED(B90),SUMIFS(tbl_Monthly[revenue],tbl_Monthly[month],B90),"")</f>
        <v/>
      </c>
      <c r="D90" s="54" cm="1">
        <f t="array" ref="D90">IF(ISCLOSED(B90),"",SUMIFS($K$19:$K$66,$B$19:$B$66,B90))</f>
        <v>266289804.2440725</v>
      </c>
      <c r="E90" s="54">
        <f>IF(PlanYear=FiscalYear,SUMIFS(Plan!$J$28:$J$75,Plan!$B$28:$B$75,B90),"")</f>
        <v>276514241.51783502</v>
      </c>
      <c r="F90" s="54">
        <f>SUMIFS(tbl_Monthly[revenue],tbl_Monthly[month],EDATE(B90,-12))</f>
        <v>236444019</v>
      </c>
      <c r="G90" s="54" cm="1">
        <f t="array" ref="G90">IF(ISCLOSED(B90),"",_xlfn.FORECAST.ETS(MATCH(B90,$B$97:$B$216,0),$D$97:INDEX($D$97:$D$216,MATCH(AsOfMonth,$B$97:$B$216,0)),$C$97:INDEX($C$97:$C$216,MATCH(AsOfMonth,$B$97:$B$216,0)),12))</f>
        <v>252515521.44956625</v>
      </c>
      <c r="H90" s="23" cm="1">
        <f t="array" ref="H90">IF(ISCLOSED(B90),"",SAFEDIV(D90-G90,G90))</f>
        <v>5.4548261886774058E-2</v>
      </c>
    </row>
    <row r="91" spans="2:13" x14ac:dyDescent="0.3">
      <c r="B91" s="79">
        <f>DATE(FiscalYear,ROWS($B$80:B91),1)</f>
        <v>46357</v>
      </c>
      <c r="C91" s="54" t="str" cm="1">
        <f t="array" ref="C91">IF(ISCLOSED(B91),SUMIFS(tbl_Monthly[revenue],tbl_Monthly[month],B91),"")</f>
        <v/>
      </c>
      <c r="D91" s="54" cm="1">
        <f t="array" ref="D91">IF(ISCLOSED(B91),"",SUMIFS($K$19:$K$66,$B$19:$B$66,B91))</f>
        <v>284049255.41110104</v>
      </c>
      <c r="E91" s="54">
        <f>IF(PlanYear=FiscalYear,SUMIFS(Plan!$J$28:$J$75,Plan!$B$28:$B$75,B91),"")</f>
        <v>294983141.47881377</v>
      </c>
      <c r="F91" s="54">
        <f>SUMIFS(tbl_Monthly[revenue],tbl_Monthly[month],EDATE(B91,-12))</f>
        <v>264090576</v>
      </c>
      <c r="G91" s="54" cm="1">
        <f t="array" ref="G91">IF(ISCLOSED(B91),"",_xlfn.FORECAST.ETS(MATCH(B91,$B$97:$B$216,0),$D$97:INDEX($D$97:$D$216,MATCH(AsOfMonth,$B$97:$B$216,0)),$C$97:INDEX($C$97:$C$216,MATCH(AsOfMonth,$B$97:$B$216,0)),12))</f>
        <v>282105098.01344764</v>
      </c>
      <c r="H91" s="23" cm="1">
        <f t="array" ref="H91">IF(ISCLOSED(B91),"",SAFEDIV(D91-G91,G91))</f>
        <v>6.8916067499096558E-3</v>
      </c>
    </row>
    <row r="92" spans="2:13" x14ac:dyDescent="0.3">
      <c r="B92" s="42" t="s">
        <v>389</v>
      </c>
      <c r="C92" s="69">
        <f>SUM(C80:C91)</f>
        <v>1469962155</v>
      </c>
      <c r="D92" s="69">
        <f>SUM(D80:D91)</f>
        <v>1537702681.8420153</v>
      </c>
      <c r="E92" s="69">
        <f>SUM(E80:E91)</f>
        <v>3191908353.3592319</v>
      </c>
      <c r="F92" s="69">
        <f>SUM(F80:F91)</f>
        <v>2928179950</v>
      </c>
      <c r="G92" s="69">
        <f>SUM(G80:G91)</f>
        <v>1551602665.0865774</v>
      </c>
      <c r="H92" s="109" cm="1">
        <f t="array" ref="H92">SAFEDIV(D92-G92,G92)</f>
        <v>-8.9584682711192354E-3</v>
      </c>
    </row>
    <row r="95" spans="2:13" ht="18" customHeight="1" x14ac:dyDescent="0.3">
      <c r="B95" s="7" t="s">
        <v>396</v>
      </c>
      <c r="C95" s="7"/>
      <c r="D95" s="7"/>
      <c r="E95" s="7"/>
      <c r="F95" s="7"/>
      <c r="G95" s="7"/>
      <c r="H95" s="7"/>
      <c r="I95" s="7"/>
      <c r="J95" s="7"/>
      <c r="K95" s="7"/>
      <c r="L95" s="7"/>
      <c r="M95" s="7"/>
    </row>
    <row r="96" spans="2:13" x14ac:dyDescent="0.3">
      <c r="B96" s="24" t="s">
        <v>299</v>
      </c>
      <c r="C96" s="24" t="s">
        <v>397</v>
      </c>
      <c r="D96" s="24" t="s">
        <v>220</v>
      </c>
    </row>
    <row r="97" spans="2:4" x14ac:dyDescent="0.3">
      <c r="B97" s="79">
        <f>FitStart</f>
        <v>42736</v>
      </c>
      <c r="C97">
        <f>ROWS($B$97:B97)</f>
        <v>1</v>
      </c>
      <c r="D97" s="54" cm="1">
        <f t="array" ref="D97">IF(ISCLOSED(B97),SUMIFS(tbl_Monthly[revenue],tbl_Monthly[month],B97),"")</f>
        <v>178422184</v>
      </c>
    </row>
    <row r="98" spans="2:4" x14ac:dyDescent="0.3">
      <c r="B98" s="79">
        <f t="shared" ref="B98:B129" si="4">EDATE(B97,1)</f>
        <v>42767</v>
      </c>
      <c r="C98">
        <f>ROWS($B$97:B98)</f>
        <v>2</v>
      </c>
      <c r="D98" s="54" cm="1">
        <f t="array" ref="D98">IF(ISCLOSED(B98),SUMIFS(tbl_Monthly[revenue],tbl_Monthly[month],B98),"")</f>
        <v>145793997</v>
      </c>
    </row>
    <row r="99" spans="2:4" x14ac:dyDescent="0.3">
      <c r="B99" s="79">
        <f t="shared" si="4"/>
        <v>42795</v>
      </c>
      <c r="C99">
        <f>ROWS($B$97:B99)</f>
        <v>3</v>
      </c>
      <c r="D99" s="54" cm="1">
        <f t="array" ref="D99">IF(ISCLOSED(B99),SUMIFS(tbl_Monthly[revenue],tbl_Monthly[month],B99),"")</f>
        <v>145632865</v>
      </c>
    </row>
    <row r="100" spans="2:4" x14ac:dyDescent="0.3">
      <c r="B100" s="79">
        <f t="shared" si="4"/>
        <v>42826</v>
      </c>
      <c r="C100">
        <f>ROWS($B$97:B100)</f>
        <v>4</v>
      </c>
      <c r="D100" s="54" cm="1">
        <f t="array" ref="D100">IF(ISCLOSED(B100),SUMIFS(tbl_Monthly[revenue],tbl_Monthly[month],B100),"")</f>
        <v>130334678</v>
      </c>
    </row>
    <row r="101" spans="2:4" x14ac:dyDescent="0.3">
      <c r="B101" s="79">
        <f t="shared" si="4"/>
        <v>42856</v>
      </c>
      <c r="C101">
        <f>ROWS($B$97:B101)</f>
        <v>5</v>
      </c>
      <c r="D101" s="54" cm="1">
        <f t="array" ref="D101">IF(ISCLOSED(B101),SUMIFS(tbl_Monthly[revenue],tbl_Monthly[month],B101),"")</f>
        <v>133136861</v>
      </c>
    </row>
    <row r="102" spans="2:4" x14ac:dyDescent="0.3">
      <c r="B102" s="79">
        <f t="shared" si="4"/>
        <v>42887</v>
      </c>
      <c r="C102">
        <f>ROWS($B$97:B102)</f>
        <v>6</v>
      </c>
      <c r="D102" s="54" cm="1">
        <f t="array" ref="D102">IF(ISCLOSED(B102),SUMIFS(tbl_Monthly[revenue],tbl_Monthly[month],B102),"")</f>
        <v>128560266</v>
      </c>
    </row>
    <row r="103" spans="2:4" x14ac:dyDescent="0.3">
      <c r="B103" s="79">
        <f t="shared" si="4"/>
        <v>42917</v>
      </c>
      <c r="C103">
        <f>ROWS($B$97:B103)</f>
        <v>7</v>
      </c>
      <c r="D103" s="54" cm="1">
        <f t="array" ref="D103">IF(ISCLOSED(B103),SUMIFS(tbl_Monthly[revenue],tbl_Monthly[month],B103),"")</f>
        <v>141088935</v>
      </c>
    </row>
    <row r="104" spans="2:4" x14ac:dyDescent="0.3">
      <c r="B104" s="79">
        <f t="shared" si="4"/>
        <v>42948</v>
      </c>
      <c r="C104">
        <f>ROWS($B$97:B104)</f>
        <v>8</v>
      </c>
      <c r="D104" s="54" cm="1">
        <f t="array" ref="D104">IF(ISCLOSED(B104),SUMIFS(tbl_Monthly[revenue],tbl_Monthly[month],B104),"")</f>
        <v>158947140</v>
      </c>
    </row>
    <row r="105" spans="2:4" x14ac:dyDescent="0.3">
      <c r="B105" s="79">
        <f t="shared" si="4"/>
        <v>42979</v>
      </c>
      <c r="C105">
        <f>ROWS($B$97:B105)</f>
        <v>9</v>
      </c>
      <c r="D105" s="54" cm="1">
        <f t="array" ref="D105">IF(ISCLOSED(B105),SUMIFS(tbl_Monthly[revenue],tbl_Monthly[month],B105),"")</f>
        <v>129789513</v>
      </c>
    </row>
    <row r="106" spans="2:4" x14ac:dyDescent="0.3">
      <c r="B106" s="79">
        <f t="shared" si="4"/>
        <v>43009</v>
      </c>
      <c r="C106">
        <f>ROWS($B$97:B106)</f>
        <v>10</v>
      </c>
      <c r="D106" s="54" cm="1">
        <f t="array" ref="D106">IF(ISCLOSED(B106),SUMIFS(tbl_Monthly[revenue],tbl_Monthly[month],B106),"")</f>
        <v>129860558</v>
      </c>
    </row>
    <row r="107" spans="2:4" x14ac:dyDescent="0.3">
      <c r="B107" s="79">
        <f t="shared" si="4"/>
        <v>43040</v>
      </c>
      <c r="C107">
        <f>ROWS($B$97:B107)</f>
        <v>11</v>
      </c>
      <c r="D107" s="54" cm="1">
        <f t="array" ref="D107">IF(ISCLOSED(B107),SUMIFS(tbl_Monthly[revenue],tbl_Monthly[month],B107),"")</f>
        <v>145124703</v>
      </c>
    </row>
    <row r="108" spans="2:4" x14ac:dyDescent="0.3">
      <c r="B108" s="79">
        <f t="shared" si="4"/>
        <v>43070</v>
      </c>
      <c r="C108">
        <f>ROWS($B$97:B108)</f>
        <v>12</v>
      </c>
      <c r="D108" s="54" cm="1">
        <f t="array" ref="D108">IF(ISCLOSED(B108),SUMIFS(tbl_Monthly[revenue],tbl_Monthly[month],B108),"")</f>
        <v>170915037</v>
      </c>
    </row>
    <row r="109" spans="2:4" x14ac:dyDescent="0.3">
      <c r="B109" s="79">
        <f t="shared" si="4"/>
        <v>43101</v>
      </c>
      <c r="C109">
        <f>ROWS($B$97:B109)</f>
        <v>13</v>
      </c>
      <c r="D109" s="54" cm="1">
        <f t="array" ref="D109">IF(ISCLOSED(B109),SUMIFS(tbl_Monthly[revenue],tbl_Monthly[month],B109),"")</f>
        <v>152233507</v>
      </c>
    </row>
    <row r="110" spans="2:4" x14ac:dyDescent="0.3">
      <c r="B110" s="79">
        <f t="shared" si="4"/>
        <v>43132</v>
      </c>
      <c r="C110">
        <f>ROWS($B$97:B110)</f>
        <v>14</v>
      </c>
      <c r="D110" s="54" cm="1">
        <f t="array" ref="D110">IF(ISCLOSED(B110),SUMIFS(tbl_Monthly[revenue],tbl_Monthly[month],B110),"")</f>
        <v>148135515</v>
      </c>
    </row>
    <row r="111" spans="2:4" x14ac:dyDescent="0.3">
      <c r="B111" s="79">
        <f t="shared" si="4"/>
        <v>43160</v>
      </c>
      <c r="C111">
        <f>ROWS($B$97:B111)</f>
        <v>15</v>
      </c>
      <c r="D111" s="54" cm="1">
        <f t="array" ref="D111">IF(ISCLOSED(B111),SUMIFS(tbl_Monthly[revenue],tbl_Monthly[month],B111),"")</f>
        <v>144760783</v>
      </c>
    </row>
    <row r="112" spans="2:4" x14ac:dyDescent="0.3">
      <c r="B112" s="79">
        <f t="shared" si="4"/>
        <v>43191</v>
      </c>
      <c r="C112">
        <f>ROWS($B$97:B112)</f>
        <v>16</v>
      </c>
      <c r="D112" s="54" cm="1">
        <f t="array" ref="D112">IF(ISCLOSED(B112),SUMIFS(tbl_Monthly[revenue],tbl_Monthly[month],B112),"")</f>
        <v>139283598</v>
      </c>
    </row>
    <row r="113" spans="2:4" x14ac:dyDescent="0.3">
      <c r="B113" s="79">
        <f t="shared" si="4"/>
        <v>43221</v>
      </c>
      <c r="C113">
        <f>ROWS($B$97:B113)</f>
        <v>17</v>
      </c>
      <c r="D113" s="54" cm="1">
        <f t="array" ref="D113">IF(ISCLOSED(B113),SUMIFS(tbl_Monthly[revenue],tbl_Monthly[month],B113),"")</f>
        <v>129639418</v>
      </c>
    </row>
    <row r="114" spans="2:4" x14ac:dyDescent="0.3">
      <c r="B114" s="79">
        <f t="shared" si="4"/>
        <v>43252</v>
      </c>
      <c r="C114">
        <f>ROWS($B$97:B114)</f>
        <v>18</v>
      </c>
      <c r="D114" s="54" cm="1">
        <f t="array" ref="D114">IF(ISCLOSED(B114),SUMIFS(tbl_Monthly[revenue],tbl_Monthly[month],B114),"")</f>
        <v>127110554</v>
      </c>
    </row>
    <row r="115" spans="2:4" x14ac:dyDescent="0.3">
      <c r="B115" s="79">
        <f t="shared" si="4"/>
        <v>43282</v>
      </c>
      <c r="C115">
        <f>ROWS($B$97:B115)</f>
        <v>19</v>
      </c>
      <c r="D115" s="54" cm="1">
        <f t="array" ref="D115">IF(ISCLOSED(B115),SUMIFS(tbl_Monthly[revenue],tbl_Monthly[month],B115),"")</f>
        <v>151678269</v>
      </c>
    </row>
    <row r="116" spans="2:4" x14ac:dyDescent="0.3">
      <c r="B116" s="79">
        <f t="shared" si="4"/>
        <v>43313</v>
      </c>
      <c r="C116">
        <f>ROWS($B$97:B116)</f>
        <v>20</v>
      </c>
      <c r="D116" s="54" cm="1">
        <f t="array" ref="D116">IF(ISCLOSED(B116),SUMIFS(tbl_Monthly[revenue],tbl_Monthly[month],B116),"")</f>
        <v>152609588</v>
      </c>
    </row>
    <row r="117" spans="2:4" x14ac:dyDescent="0.3">
      <c r="B117" s="79">
        <f t="shared" si="4"/>
        <v>43344</v>
      </c>
      <c r="C117">
        <f>ROWS($B$97:B117)</f>
        <v>21</v>
      </c>
      <c r="D117" s="54" cm="1">
        <f t="array" ref="D117">IF(ISCLOSED(B117),SUMIFS(tbl_Monthly[revenue],tbl_Monthly[month],B117),"")</f>
        <v>128885021</v>
      </c>
    </row>
    <row r="118" spans="2:4" x14ac:dyDescent="0.3">
      <c r="B118" s="79">
        <f t="shared" si="4"/>
        <v>43374</v>
      </c>
      <c r="C118">
        <f>ROWS($B$97:B118)</f>
        <v>22</v>
      </c>
      <c r="D118" s="54" cm="1">
        <f t="array" ref="D118">IF(ISCLOSED(B118),SUMIFS(tbl_Monthly[revenue],tbl_Monthly[month],B118),"")</f>
        <v>136201194</v>
      </c>
    </row>
    <row r="119" spans="2:4" x14ac:dyDescent="0.3">
      <c r="B119" s="79">
        <f t="shared" si="4"/>
        <v>43405</v>
      </c>
      <c r="C119">
        <f>ROWS($B$97:B119)</f>
        <v>23</v>
      </c>
      <c r="D119" s="54" cm="1">
        <f t="array" ref="D119">IF(ISCLOSED(B119),SUMIFS(tbl_Monthly[revenue],tbl_Monthly[month],B119),"")</f>
        <v>142206953</v>
      </c>
    </row>
    <row r="120" spans="2:4" x14ac:dyDescent="0.3">
      <c r="B120" s="79">
        <f t="shared" si="4"/>
        <v>43435</v>
      </c>
      <c r="C120">
        <f>ROWS($B$97:B120)</f>
        <v>24</v>
      </c>
      <c r="D120" s="54" cm="1">
        <f t="array" ref="D120">IF(ISCLOSED(B120),SUMIFS(tbl_Monthly[revenue],tbl_Monthly[month],B120),"")</f>
        <v>164757335</v>
      </c>
    </row>
    <row r="121" spans="2:4" x14ac:dyDescent="0.3">
      <c r="B121" s="79">
        <f t="shared" si="4"/>
        <v>43466</v>
      </c>
      <c r="C121">
        <f>ROWS($B$97:B121)</f>
        <v>25</v>
      </c>
      <c r="D121" s="54" cm="1">
        <f t="array" ref="D121">IF(ISCLOSED(B121),SUMIFS(tbl_Monthly[revenue],tbl_Monthly[month],B121),"")</f>
        <v>157836857</v>
      </c>
    </row>
    <row r="122" spans="2:4" x14ac:dyDescent="0.3">
      <c r="B122" s="79">
        <f t="shared" si="4"/>
        <v>43497</v>
      </c>
      <c r="C122">
        <f>ROWS($B$97:B122)</f>
        <v>26</v>
      </c>
      <c r="D122" s="54" cm="1">
        <f t="array" ref="D122">IF(ISCLOSED(B122),SUMIFS(tbl_Monthly[revenue],tbl_Monthly[month],B122),"")</f>
        <v>162689247</v>
      </c>
    </row>
    <row r="123" spans="2:4" x14ac:dyDescent="0.3">
      <c r="B123" s="79">
        <f t="shared" si="4"/>
        <v>43525</v>
      </c>
      <c r="C123">
        <f>ROWS($B$97:B123)</f>
        <v>27</v>
      </c>
      <c r="D123" s="54" cm="1">
        <f t="array" ref="D123">IF(ISCLOSED(B123),SUMIFS(tbl_Monthly[revenue],tbl_Monthly[month],B123),"")</f>
        <v>148837688</v>
      </c>
    </row>
    <row r="124" spans="2:4" x14ac:dyDescent="0.3">
      <c r="B124" s="79">
        <f t="shared" si="4"/>
        <v>43556</v>
      </c>
      <c r="C124">
        <f>ROWS($B$97:B124)</f>
        <v>28</v>
      </c>
      <c r="D124" s="54" cm="1">
        <f t="array" ref="D124">IF(ISCLOSED(B124),SUMIFS(tbl_Monthly[revenue],tbl_Monthly[month],B124),"")</f>
        <v>134159422</v>
      </c>
    </row>
    <row r="125" spans="2:4" x14ac:dyDescent="0.3">
      <c r="B125" s="79">
        <f t="shared" si="4"/>
        <v>43586</v>
      </c>
      <c r="C125">
        <f>ROWS($B$97:B125)</f>
        <v>29</v>
      </c>
      <c r="D125" s="54" cm="1">
        <f t="array" ref="D125">IF(ISCLOSED(B125),SUMIFS(tbl_Monthly[revenue],tbl_Monthly[month],B125),"")</f>
        <v>132226805</v>
      </c>
    </row>
    <row r="126" spans="2:4" x14ac:dyDescent="0.3">
      <c r="B126" s="79">
        <f t="shared" si="4"/>
        <v>43617</v>
      </c>
      <c r="C126">
        <f>ROWS($B$97:B126)</f>
        <v>30</v>
      </c>
      <c r="D126" s="54" cm="1">
        <f t="array" ref="D126">IF(ISCLOSED(B126),SUMIFS(tbl_Monthly[revenue],tbl_Monthly[month],B126),"")</f>
        <v>131873996</v>
      </c>
    </row>
    <row r="127" spans="2:4" x14ac:dyDescent="0.3">
      <c r="B127" s="79">
        <f t="shared" si="4"/>
        <v>43647</v>
      </c>
      <c r="C127">
        <f>ROWS($B$97:B127)</f>
        <v>31</v>
      </c>
      <c r="D127" s="54" cm="1">
        <f t="array" ref="D127">IF(ISCLOSED(B127),SUMIFS(tbl_Monthly[revenue],tbl_Monthly[month],B127),"")</f>
        <v>142494105</v>
      </c>
    </row>
    <row r="128" spans="2:4" x14ac:dyDescent="0.3">
      <c r="B128" s="79">
        <f t="shared" si="4"/>
        <v>43678</v>
      </c>
      <c r="C128">
        <f>ROWS($B$97:B128)</f>
        <v>32</v>
      </c>
      <c r="D128" s="54" cm="1">
        <f t="array" ref="D128">IF(ISCLOSED(B128),SUMIFS(tbl_Monthly[revenue],tbl_Monthly[month],B128),"")</f>
        <v>149200839</v>
      </c>
    </row>
    <row r="129" spans="2:4" x14ac:dyDescent="0.3">
      <c r="B129" s="79">
        <f t="shared" si="4"/>
        <v>43709</v>
      </c>
      <c r="C129">
        <f>ROWS($B$97:B129)</f>
        <v>33</v>
      </c>
      <c r="D129" s="54" cm="1">
        <f t="array" ref="D129">IF(ISCLOSED(B129),SUMIFS(tbl_Monthly[revenue],tbl_Monthly[month],B129),"")</f>
        <v>128426204</v>
      </c>
    </row>
    <row r="130" spans="2:4" x14ac:dyDescent="0.3">
      <c r="B130" s="79">
        <f t="shared" ref="B130:B161" si="5">EDATE(B129,1)</f>
        <v>43739</v>
      </c>
      <c r="C130">
        <f>ROWS($B$97:B130)</f>
        <v>34</v>
      </c>
      <c r="D130" s="54" cm="1">
        <f t="array" ref="D130">IF(ISCLOSED(B130),SUMIFS(tbl_Monthly[revenue],tbl_Monthly[month],B130),"")</f>
        <v>143347898</v>
      </c>
    </row>
    <row r="131" spans="2:4" x14ac:dyDescent="0.3">
      <c r="B131" s="79">
        <f t="shared" si="5"/>
        <v>43770</v>
      </c>
      <c r="C131">
        <f>ROWS($B$97:B131)</f>
        <v>35</v>
      </c>
      <c r="D131" s="54" cm="1">
        <f t="array" ref="D131">IF(ISCLOSED(B131),SUMIFS(tbl_Monthly[revenue],tbl_Monthly[month],B131),"")</f>
        <v>149141960</v>
      </c>
    </row>
    <row r="132" spans="2:4" x14ac:dyDescent="0.3">
      <c r="B132" s="79">
        <f t="shared" si="5"/>
        <v>43800</v>
      </c>
      <c r="C132">
        <f>ROWS($B$97:B132)</f>
        <v>36</v>
      </c>
      <c r="D132" s="54" cm="1">
        <f t="array" ref="D132">IF(ISCLOSED(B132),SUMIFS(tbl_Monthly[revenue],tbl_Monthly[month],B132),"")</f>
        <v>165516536</v>
      </c>
    </row>
    <row r="133" spans="2:4" x14ac:dyDescent="0.3">
      <c r="B133" s="79">
        <f t="shared" si="5"/>
        <v>43831</v>
      </c>
      <c r="C133">
        <f>ROWS($B$97:B133)</f>
        <v>37</v>
      </c>
      <c r="D133" s="54" cm="1">
        <f t="array" ref="D133">IF(ISCLOSED(B133),SUMIFS(tbl_Monthly[revenue],tbl_Monthly[month],B133),"")</f>
        <v>161603077</v>
      </c>
    </row>
    <row r="134" spans="2:4" x14ac:dyDescent="0.3">
      <c r="B134" s="79">
        <f t="shared" si="5"/>
        <v>43862</v>
      </c>
      <c r="C134">
        <f>ROWS($B$97:B134)</f>
        <v>38</v>
      </c>
      <c r="D134" s="54" cm="1">
        <f t="array" ref="D134">IF(ISCLOSED(B134),SUMIFS(tbl_Monthly[revenue],tbl_Monthly[month],B134),"")</f>
        <v>155077243</v>
      </c>
    </row>
    <row r="135" spans="2:4" x14ac:dyDescent="0.3">
      <c r="B135" s="79">
        <f t="shared" si="5"/>
        <v>43891</v>
      </c>
      <c r="C135">
        <f>ROWS($B$97:B135)</f>
        <v>39</v>
      </c>
      <c r="D135" s="54" cm="1">
        <f t="array" ref="D135">IF(ISCLOSED(B135),SUMIFS(tbl_Monthly[revenue],tbl_Monthly[month],B135),"")</f>
        <v>155856510</v>
      </c>
    </row>
    <row r="136" spans="2:4" x14ac:dyDescent="0.3">
      <c r="B136" s="79">
        <f t="shared" si="5"/>
        <v>43922</v>
      </c>
      <c r="C136">
        <f>ROWS($B$97:B136)</f>
        <v>40</v>
      </c>
      <c r="D136" s="54" cm="1">
        <f t="array" ref="D136">IF(ISCLOSED(B136),SUMIFS(tbl_Monthly[revenue],tbl_Monthly[month],B136),"")</f>
        <v>132594293</v>
      </c>
    </row>
    <row r="137" spans="2:4" x14ac:dyDescent="0.3">
      <c r="B137" s="79">
        <f t="shared" si="5"/>
        <v>43952</v>
      </c>
      <c r="C137">
        <f>ROWS($B$97:B137)</f>
        <v>41</v>
      </c>
      <c r="D137" s="54" cm="1">
        <f t="array" ref="D137">IF(ISCLOSED(B137),SUMIFS(tbl_Monthly[revenue],tbl_Monthly[month],B137),"")</f>
        <v>138235221</v>
      </c>
    </row>
    <row r="138" spans="2:4" x14ac:dyDescent="0.3">
      <c r="B138" s="79">
        <f t="shared" si="5"/>
        <v>43983</v>
      </c>
      <c r="C138">
        <f>ROWS($B$97:B138)</f>
        <v>42</v>
      </c>
      <c r="D138" s="54" cm="1">
        <f t="array" ref="D138">IF(ISCLOSED(B138),SUMIFS(tbl_Monthly[revenue],tbl_Monthly[month],B138),"")</f>
        <v>131372440</v>
      </c>
    </row>
    <row r="139" spans="2:4" x14ac:dyDescent="0.3">
      <c r="B139" s="79">
        <f t="shared" si="5"/>
        <v>44013</v>
      </c>
      <c r="C139">
        <f>ROWS($B$97:B139)</f>
        <v>43</v>
      </c>
      <c r="D139" s="54" cm="1">
        <f t="array" ref="D139">IF(ISCLOSED(B139),SUMIFS(tbl_Monthly[revenue],tbl_Monthly[month],B139),"")</f>
        <v>154097482</v>
      </c>
    </row>
    <row r="140" spans="2:4" x14ac:dyDescent="0.3">
      <c r="B140" s="79">
        <f t="shared" si="5"/>
        <v>44044</v>
      </c>
      <c r="C140">
        <f>ROWS($B$97:B140)</f>
        <v>44</v>
      </c>
      <c r="D140" s="54" cm="1">
        <f t="array" ref="D140">IF(ISCLOSED(B140),SUMIFS(tbl_Monthly[revenue],tbl_Monthly[month],B140),"")</f>
        <v>159561975</v>
      </c>
    </row>
    <row r="141" spans="2:4" x14ac:dyDescent="0.3">
      <c r="B141" s="79">
        <f t="shared" si="5"/>
        <v>44075</v>
      </c>
      <c r="C141">
        <f>ROWS($B$97:B141)</f>
        <v>45</v>
      </c>
      <c r="D141" s="54" cm="1">
        <f t="array" ref="D141">IF(ISCLOSED(B141),SUMIFS(tbl_Monthly[revenue],tbl_Monthly[month],B141),"")</f>
        <v>137792727</v>
      </c>
    </row>
    <row r="142" spans="2:4" x14ac:dyDescent="0.3">
      <c r="B142" s="79">
        <f t="shared" si="5"/>
        <v>44105</v>
      </c>
      <c r="C142">
        <f>ROWS($B$97:B142)</f>
        <v>46</v>
      </c>
      <c r="D142" s="54" cm="1">
        <f t="array" ref="D142">IF(ISCLOSED(B142),SUMIFS(tbl_Monthly[revenue],tbl_Monthly[month],B142),"")</f>
        <v>143396467</v>
      </c>
    </row>
    <row r="143" spans="2:4" x14ac:dyDescent="0.3">
      <c r="B143" s="79">
        <f t="shared" si="5"/>
        <v>44136</v>
      </c>
      <c r="C143">
        <f>ROWS($B$97:B143)</f>
        <v>47</v>
      </c>
      <c r="D143" s="54" cm="1">
        <f t="array" ref="D143">IF(ISCLOSED(B143),SUMIFS(tbl_Monthly[revenue],tbl_Monthly[month],B143),"")</f>
        <v>156942811</v>
      </c>
    </row>
    <row r="144" spans="2:4" x14ac:dyDescent="0.3">
      <c r="B144" s="79">
        <f t="shared" si="5"/>
        <v>44166</v>
      </c>
      <c r="C144">
        <f>ROWS($B$97:B144)</f>
        <v>48</v>
      </c>
      <c r="D144" s="54" cm="1">
        <f t="array" ref="D144">IF(ISCLOSED(B144),SUMIFS(tbl_Monthly[revenue],tbl_Monthly[month],B144),"")</f>
        <v>173583065</v>
      </c>
    </row>
    <row r="145" spans="2:4" x14ac:dyDescent="0.3">
      <c r="B145" s="79">
        <f t="shared" si="5"/>
        <v>44197</v>
      </c>
      <c r="C145">
        <f>ROWS($B$97:B145)</f>
        <v>49</v>
      </c>
      <c r="D145" s="54" cm="1">
        <f t="array" ref="D145">IF(ISCLOSED(B145),SUMIFS(tbl_Monthly[revenue],tbl_Monthly[month],B145),"")</f>
        <v>176214405</v>
      </c>
    </row>
    <row r="146" spans="2:4" x14ac:dyDescent="0.3">
      <c r="B146" s="79">
        <f t="shared" si="5"/>
        <v>44228</v>
      </c>
      <c r="C146">
        <f>ROWS($B$97:B146)</f>
        <v>50</v>
      </c>
      <c r="D146" s="54" cm="1">
        <f t="array" ref="D146">IF(ISCLOSED(B146),SUMIFS(tbl_Monthly[revenue],tbl_Monthly[month],B146),"")</f>
        <v>165308138</v>
      </c>
    </row>
    <row r="147" spans="2:4" x14ac:dyDescent="0.3">
      <c r="B147" s="79">
        <f t="shared" si="5"/>
        <v>44256</v>
      </c>
      <c r="C147">
        <f>ROWS($B$97:B147)</f>
        <v>51</v>
      </c>
      <c r="D147" s="54" cm="1">
        <f t="array" ref="D147">IF(ISCLOSED(B147),SUMIFS(tbl_Monthly[revenue],tbl_Monthly[month],B147),"")</f>
        <v>172696766</v>
      </c>
    </row>
    <row r="148" spans="2:4" x14ac:dyDescent="0.3">
      <c r="B148" s="79">
        <f t="shared" si="5"/>
        <v>44287</v>
      </c>
      <c r="C148">
        <f>ROWS($B$97:B148)</f>
        <v>52</v>
      </c>
      <c r="D148" s="54" cm="1">
        <f t="array" ref="D148">IF(ISCLOSED(B148),SUMIFS(tbl_Monthly[revenue],tbl_Monthly[month],B148),"")</f>
        <v>148395589</v>
      </c>
    </row>
    <row r="149" spans="2:4" x14ac:dyDescent="0.3">
      <c r="B149" s="79">
        <f t="shared" si="5"/>
        <v>44317</v>
      </c>
      <c r="C149">
        <f>ROWS($B$97:B149)</f>
        <v>53</v>
      </c>
      <c r="D149" s="54" cm="1">
        <f t="array" ref="D149">IF(ISCLOSED(B149),SUMIFS(tbl_Monthly[revenue],tbl_Monthly[month],B149),"")</f>
        <v>151318701</v>
      </c>
    </row>
    <row r="150" spans="2:4" x14ac:dyDescent="0.3">
      <c r="B150" s="79">
        <f t="shared" si="5"/>
        <v>44348</v>
      </c>
      <c r="C150">
        <f>ROWS($B$97:B150)</f>
        <v>54</v>
      </c>
      <c r="D150" s="54" cm="1">
        <f t="array" ref="D150">IF(ISCLOSED(B150),SUMIFS(tbl_Monthly[revenue],tbl_Monthly[month],B150),"")</f>
        <v>166440785</v>
      </c>
    </row>
    <row r="151" spans="2:4" x14ac:dyDescent="0.3">
      <c r="B151" s="79">
        <f t="shared" si="5"/>
        <v>44378</v>
      </c>
      <c r="C151">
        <f>ROWS($B$97:B151)</f>
        <v>55</v>
      </c>
      <c r="D151" s="54" cm="1">
        <f t="array" ref="D151">IF(ISCLOSED(B151),SUMIFS(tbl_Monthly[revenue],tbl_Monthly[month],B151),"")</f>
        <v>175865906</v>
      </c>
    </row>
    <row r="152" spans="2:4" x14ac:dyDescent="0.3">
      <c r="B152" s="79">
        <f t="shared" si="5"/>
        <v>44409</v>
      </c>
      <c r="C152">
        <f>ROWS($B$97:B152)</f>
        <v>56</v>
      </c>
      <c r="D152" s="54" cm="1">
        <f t="array" ref="D152">IF(ISCLOSED(B152),SUMIFS(tbl_Monthly[revenue],tbl_Monthly[month],B152),"")</f>
        <v>175419121</v>
      </c>
    </row>
    <row r="153" spans="2:4" x14ac:dyDescent="0.3">
      <c r="B153" s="79">
        <f t="shared" si="5"/>
        <v>44440</v>
      </c>
      <c r="C153">
        <f>ROWS($B$97:B153)</f>
        <v>57</v>
      </c>
      <c r="D153" s="54" cm="1">
        <f t="array" ref="D153">IF(ISCLOSED(B153),SUMIFS(tbl_Monthly[revenue],tbl_Monthly[month],B153),"")</f>
        <v>148028632</v>
      </c>
    </row>
    <row r="154" spans="2:4" x14ac:dyDescent="0.3">
      <c r="B154" s="79">
        <f t="shared" si="5"/>
        <v>44470</v>
      </c>
      <c r="C154">
        <f>ROWS($B$97:B154)</f>
        <v>58</v>
      </c>
      <c r="D154" s="54" cm="1">
        <f t="array" ref="D154">IF(ISCLOSED(B154),SUMIFS(tbl_Monthly[revenue],tbl_Monthly[month],B154),"")</f>
        <v>152559676</v>
      </c>
    </row>
    <row r="155" spans="2:4" x14ac:dyDescent="0.3">
      <c r="B155" s="79">
        <f t="shared" si="5"/>
        <v>44501</v>
      </c>
      <c r="C155">
        <f>ROWS($B$97:B155)</f>
        <v>59</v>
      </c>
      <c r="D155" s="54" cm="1">
        <f t="array" ref="D155">IF(ISCLOSED(B155),SUMIFS(tbl_Monthly[revenue],tbl_Monthly[month],B155),"")</f>
        <v>157190459</v>
      </c>
    </row>
    <row r="156" spans="2:4" x14ac:dyDescent="0.3">
      <c r="B156" s="79">
        <f t="shared" si="5"/>
        <v>44531</v>
      </c>
      <c r="C156">
        <f>ROWS($B$97:B156)</f>
        <v>60</v>
      </c>
      <c r="D156" s="54" cm="1">
        <f t="array" ref="D156">IF(ISCLOSED(B156),SUMIFS(tbl_Monthly[revenue],tbl_Monthly[month],B156),"")</f>
        <v>202727822</v>
      </c>
    </row>
    <row r="157" spans="2:4" x14ac:dyDescent="0.3">
      <c r="B157" s="79">
        <f t="shared" si="5"/>
        <v>44562</v>
      </c>
      <c r="C157">
        <f>ROWS($B$97:B157)</f>
        <v>61</v>
      </c>
      <c r="D157" s="54" cm="1">
        <f t="array" ref="D157">IF(ISCLOSED(B157),SUMIFS(tbl_Monthly[revenue],tbl_Monthly[month],B157),"")</f>
        <v>193181405</v>
      </c>
    </row>
    <row r="158" spans="2:4" x14ac:dyDescent="0.3">
      <c r="B158" s="79">
        <f t="shared" si="5"/>
        <v>44593</v>
      </c>
      <c r="C158">
        <f>ROWS($B$97:B158)</f>
        <v>62</v>
      </c>
      <c r="D158" s="54" cm="1">
        <f t="array" ref="D158">IF(ISCLOSED(B158),SUMIFS(tbl_Monthly[revenue],tbl_Monthly[month],B158),"")</f>
        <v>169314339</v>
      </c>
    </row>
    <row r="159" spans="2:4" x14ac:dyDescent="0.3">
      <c r="B159" s="79">
        <f t="shared" si="5"/>
        <v>44621</v>
      </c>
      <c r="C159">
        <f>ROWS($B$97:B159)</f>
        <v>63</v>
      </c>
      <c r="D159" s="54" cm="1">
        <f t="array" ref="D159">IF(ISCLOSED(B159),SUMIFS(tbl_Monthly[revenue],tbl_Monthly[month],B159),"")</f>
        <v>175666059</v>
      </c>
    </row>
    <row r="160" spans="2:4" x14ac:dyDescent="0.3">
      <c r="B160" s="79">
        <f t="shared" si="5"/>
        <v>44652</v>
      </c>
      <c r="C160">
        <f>ROWS($B$97:B160)</f>
        <v>64</v>
      </c>
      <c r="D160" s="54" cm="1">
        <f t="array" ref="D160">IF(ISCLOSED(B160),SUMIFS(tbl_Monthly[revenue],tbl_Monthly[month],B160),"")</f>
        <v>165605448</v>
      </c>
    </row>
    <row r="161" spans="2:4" x14ac:dyDescent="0.3">
      <c r="B161" s="79">
        <f t="shared" si="5"/>
        <v>44682</v>
      </c>
      <c r="C161">
        <f>ROWS($B$97:B161)</f>
        <v>65</v>
      </c>
      <c r="D161" s="54" cm="1">
        <f t="array" ref="D161">IF(ISCLOSED(B161),SUMIFS(tbl_Monthly[revenue],tbl_Monthly[month],B161),"")</f>
        <v>160308688</v>
      </c>
    </row>
    <row r="162" spans="2:4" x14ac:dyDescent="0.3">
      <c r="B162" s="79">
        <f t="shared" ref="B162:B193" si="6">EDATE(B161,1)</f>
        <v>44713</v>
      </c>
      <c r="C162">
        <f>ROWS($B$97:B162)</f>
        <v>66</v>
      </c>
      <c r="D162" s="54" cm="1">
        <f t="array" ref="D162">IF(ISCLOSED(B162),SUMIFS(tbl_Monthly[revenue],tbl_Monthly[month],B162),"")</f>
        <v>153244571</v>
      </c>
    </row>
    <row r="163" spans="2:4" x14ac:dyDescent="0.3">
      <c r="B163" s="79">
        <f t="shared" si="6"/>
        <v>44743</v>
      </c>
      <c r="C163">
        <f>ROWS($B$97:B163)</f>
        <v>67</v>
      </c>
      <c r="D163" s="54" cm="1">
        <f t="array" ref="D163">IF(ISCLOSED(B163),SUMIFS(tbl_Monthly[revenue],tbl_Monthly[month],B163),"")</f>
        <v>186068067</v>
      </c>
    </row>
    <row r="164" spans="2:4" x14ac:dyDescent="0.3">
      <c r="B164" s="79">
        <f t="shared" si="6"/>
        <v>44774</v>
      </c>
      <c r="C164">
        <f>ROWS($B$97:B164)</f>
        <v>68</v>
      </c>
      <c r="D164" s="54" cm="1">
        <f t="array" ref="D164">IF(ISCLOSED(B164),SUMIFS(tbl_Monthly[revenue],tbl_Monthly[month],B164),"")</f>
        <v>192573069</v>
      </c>
    </row>
    <row r="165" spans="2:4" x14ac:dyDescent="0.3">
      <c r="B165" s="79">
        <f t="shared" si="6"/>
        <v>44805</v>
      </c>
      <c r="C165">
        <f>ROWS($B$97:B165)</f>
        <v>69</v>
      </c>
      <c r="D165" s="54" cm="1">
        <f t="array" ref="D165">IF(ISCLOSED(B165),SUMIFS(tbl_Monthly[revenue],tbl_Monthly[month],B165),"")</f>
        <v>158255474</v>
      </c>
    </row>
    <row r="166" spans="2:4" x14ac:dyDescent="0.3">
      <c r="B166" s="79">
        <f t="shared" si="6"/>
        <v>44835</v>
      </c>
      <c r="C166">
        <f>ROWS($B$97:B166)</f>
        <v>70</v>
      </c>
      <c r="D166" s="54" cm="1">
        <f t="array" ref="D166">IF(ISCLOSED(B166),SUMIFS(tbl_Monthly[revenue],tbl_Monthly[month],B166),"")</f>
        <v>159214998</v>
      </c>
    </row>
    <row r="167" spans="2:4" x14ac:dyDescent="0.3">
      <c r="B167" s="79">
        <f t="shared" si="6"/>
        <v>44866</v>
      </c>
      <c r="C167">
        <f>ROWS($B$97:B167)</f>
        <v>71</v>
      </c>
      <c r="D167" s="54" cm="1">
        <f t="array" ref="D167">IF(ISCLOSED(B167),SUMIFS(tbl_Monthly[revenue],tbl_Monthly[month],B167),"")</f>
        <v>188390725</v>
      </c>
    </row>
    <row r="168" spans="2:4" x14ac:dyDescent="0.3">
      <c r="B168" s="79">
        <f t="shared" si="6"/>
        <v>44896</v>
      </c>
      <c r="C168">
        <f>ROWS($B$97:B168)</f>
        <v>72</v>
      </c>
      <c r="D168" s="54" cm="1">
        <f t="array" ref="D168">IF(ISCLOSED(B168),SUMIFS(tbl_Monthly[revenue],tbl_Monthly[month],B168),"")</f>
        <v>209161211</v>
      </c>
    </row>
    <row r="169" spans="2:4" x14ac:dyDescent="0.3">
      <c r="B169" s="79">
        <f t="shared" si="6"/>
        <v>44927</v>
      </c>
      <c r="C169">
        <f>ROWS($B$97:B169)</f>
        <v>73</v>
      </c>
      <c r="D169" s="54" cm="1">
        <f t="array" ref="D169">IF(ISCLOSED(B169),SUMIFS(tbl_Monthly[revenue],tbl_Monthly[month],B169),"")</f>
        <v>211430237</v>
      </c>
    </row>
    <row r="170" spans="2:4" x14ac:dyDescent="0.3">
      <c r="B170" s="79">
        <f t="shared" si="6"/>
        <v>44958</v>
      </c>
      <c r="C170">
        <f>ROWS($B$97:B170)</f>
        <v>74</v>
      </c>
      <c r="D170" s="54" cm="1">
        <f t="array" ref="D170">IF(ISCLOSED(B170),SUMIFS(tbl_Monthly[revenue],tbl_Monthly[month],B170),"")</f>
        <v>202893462</v>
      </c>
    </row>
    <row r="171" spans="2:4" x14ac:dyDescent="0.3">
      <c r="B171" s="79">
        <f t="shared" si="6"/>
        <v>44986</v>
      </c>
      <c r="C171">
        <f>ROWS($B$97:B171)</f>
        <v>75</v>
      </c>
      <c r="D171" s="54" cm="1">
        <f t="array" ref="D171">IF(ISCLOSED(B171),SUMIFS(tbl_Monthly[revenue],tbl_Monthly[month],B171),"")</f>
        <v>209385962</v>
      </c>
    </row>
    <row r="172" spans="2:4" x14ac:dyDescent="0.3">
      <c r="B172" s="79">
        <f t="shared" si="6"/>
        <v>45017</v>
      </c>
      <c r="C172">
        <f>ROWS($B$97:B172)</f>
        <v>76</v>
      </c>
      <c r="D172" s="54" cm="1">
        <f t="array" ref="D172">IF(ISCLOSED(B172),SUMIFS(tbl_Monthly[revenue],tbl_Monthly[month],B172),"")</f>
        <v>191707150</v>
      </c>
    </row>
    <row r="173" spans="2:4" x14ac:dyDescent="0.3">
      <c r="B173" s="79">
        <f t="shared" si="6"/>
        <v>45047</v>
      </c>
      <c r="C173">
        <f>ROWS($B$97:B173)</f>
        <v>77</v>
      </c>
      <c r="D173" s="54" cm="1">
        <f t="array" ref="D173">IF(ISCLOSED(B173),SUMIFS(tbl_Monthly[revenue],tbl_Monthly[month],B173),"")</f>
        <v>180913813</v>
      </c>
    </row>
    <row r="174" spans="2:4" x14ac:dyDescent="0.3">
      <c r="B174" s="79">
        <f t="shared" si="6"/>
        <v>45078</v>
      </c>
      <c r="C174">
        <f>ROWS($B$97:B174)</f>
        <v>78</v>
      </c>
      <c r="D174" s="54" cm="1">
        <f t="array" ref="D174">IF(ISCLOSED(B174),SUMIFS(tbl_Monthly[revenue],tbl_Monthly[month],B174),"")</f>
        <v>176733443</v>
      </c>
    </row>
    <row r="175" spans="2:4" x14ac:dyDescent="0.3">
      <c r="B175" s="79">
        <f t="shared" si="6"/>
        <v>45108</v>
      </c>
      <c r="C175">
        <f>ROWS($B$97:B175)</f>
        <v>79</v>
      </c>
      <c r="D175" s="54" cm="1">
        <f t="array" ref="D175">IF(ISCLOSED(B175),SUMIFS(tbl_Monthly[revenue],tbl_Monthly[month],B175),"")</f>
        <v>204968725</v>
      </c>
    </row>
    <row r="176" spans="2:4" x14ac:dyDescent="0.3">
      <c r="B176" s="79">
        <f t="shared" si="6"/>
        <v>45139</v>
      </c>
      <c r="C176">
        <f>ROWS($B$97:B176)</f>
        <v>80</v>
      </c>
      <c r="D176" s="54" cm="1">
        <f t="array" ref="D176">IF(ISCLOSED(B176),SUMIFS(tbl_Monthly[revenue],tbl_Monthly[month],B176),"")</f>
        <v>211018813</v>
      </c>
    </row>
    <row r="177" spans="2:4" x14ac:dyDescent="0.3">
      <c r="B177" s="79">
        <f t="shared" si="6"/>
        <v>45170</v>
      </c>
      <c r="C177">
        <f>ROWS($B$97:B177)</f>
        <v>81</v>
      </c>
      <c r="D177" s="54" cm="1">
        <f t="array" ref="D177">IF(ISCLOSED(B177),SUMIFS(tbl_Monthly[revenue],tbl_Monthly[month],B177),"")</f>
        <v>173443320</v>
      </c>
    </row>
    <row r="178" spans="2:4" x14ac:dyDescent="0.3">
      <c r="B178" s="79">
        <f t="shared" si="6"/>
        <v>45200</v>
      </c>
      <c r="C178">
        <f>ROWS($B$97:B178)</f>
        <v>82</v>
      </c>
      <c r="D178" s="54" cm="1">
        <f t="array" ref="D178">IF(ISCLOSED(B178),SUMIFS(tbl_Monthly[revenue],tbl_Monthly[month],B178),"")</f>
        <v>179990403</v>
      </c>
    </row>
    <row r="179" spans="2:4" x14ac:dyDescent="0.3">
      <c r="B179" s="79">
        <f t="shared" si="6"/>
        <v>45231</v>
      </c>
      <c r="C179">
        <f>ROWS($B$97:B179)</f>
        <v>83</v>
      </c>
      <c r="D179" s="54" cm="1">
        <f t="array" ref="D179">IF(ISCLOSED(B179),SUMIFS(tbl_Monthly[revenue],tbl_Monthly[month],B179),"")</f>
        <v>199318227</v>
      </c>
    </row>
    <row r="180" spans="2:4" x14ac:dyDescent="0.3">
      <c r="B180" s="79">
        <f t="shared" si="6"/>
        <v>45261</v>
      </c>
      <c r="C180">
        <f>ROWS($B$97:B180)</f>
        <v>84</v>
      </c>
      <c r="D180" s="54" cm="1">
        <f t="array" ref="D180">IF(ISCLOSED(B180),SUMIFS(tbl_Monthly[revenue],tbl_Monthly[month],B180),"")</f>
        <v>212026170</v>
      </c>
    </row>
    <row r="181" spans="2:4" x14ac:dyDescent="0.3">
      <c r="B181" s="79">
        <f t="shared" si="6"/>
        <v>45292</v>
      </c>
      <c r="C181">
        <f>ROWS($B$97:B181)</f>
        <v>85</v>
      </c>
      <c r="D181" s="54" cm="1">
        <f t="array" ref="D181">IF(ISCLOSED(B181),SUMIFS(tbl_Monthly[revenue],tbl_Monthly[month],B181),"")</f>
        <v>264743545</v>
      </c>
    </row>
    <row r="182" spans="2:4" x14ac:dyDescent="0.3">
      <c r="B182" s="79">
        <f t="shared" si="6"/>
        <v>45323</v>
      </c>
      <c r="C182">
        <f>ROWS($B$97:B182)</f>
        <v>86</v>
      </c>
      <c r="D182" s="54" cm="1">
        <f t="array" ref="D182">IF(ISCLOSED(B182),SUMIFS(tbl_Monthly[revenue],tbl_Monthly[month],B182),"")</f>
        <v>230983859</v>
      </c>
    </row>
    <row r="183" spans="2:4" x14ac:dyDescent="0.3">
      <c r="B183" s="79">
        <f t="shared" si="6"/>
        <v>45352</v>
      </c>
      <c r="C183">
        <f>ROWS($B$97:B183)</f>
        <v>87</v>
      </c>
      <c r="D183" s="54" cm="1">
        <f t="array" ref="D183">IF(ISCLOSED(B183),SUMIFS(tbl_Monthly[revenue],tbl_Monthly[month],B183),"")</f>
        <v>232479399</v>
      </c>
    </row>
    <row r="184" spans="2:4" x14ac:dyDescent="0.3">
      <c r="B184" s="79">
        <f t="shared" si="6"/>
        <v>45383</v>
      </c>
      <c r="C184">
        <f>ROWS($B$97:B184)</f>
        <v>88</v>
      </c>
      <c r="D184" s="54" cm="1">
        <f t="array" ref="D184">IF(ISCLOSED(B184),SUMIFS(tbl_Monthly[revenue],tbl_Monthly[month],B184),"")</f>
        <v>205410806</v>
      </c>
    </row>
    <row r="185" spans="2:4" x14ac:dyDescent="0.3">
      <c r="B185" s="79">
        <f t="shared" si="6"/>
        <v>45413</v>
      </c>
      <c r="C185">
        <f>ROWS($B$97:B185)</f>
        <v>89</v>
      </c>
      <c r="D185" s="54" cm="1">
        <f t="array" ref="D185">IF(ISCLOSED(B185),SUMIFS(tbl_Monthly[revenue],tbl_Monthly[month],B185),"")</f>
        <v>208812911</v>
      </c>
    </row>
    <row r="186" spans="2:4" x14ac:dyDescent="0.3">
      <c r="B186" s="79">
        <f t="shared" si="6"/>
        <v>45444</v>
      </c>
      <c r="C186">
        <f>ROWS($B$97:B186)</f>
        <v>90</v>
      </c>
      <c r="D186" s="54" cm="1">
        <f t="array" ref="D186">IF(ISCLOSED(B186),SUMIFS(tbl_Monthly[revenue],tbl_Monthly[month],B186),"")</f>
        <v>204832437</v>
      </c>
    </row>
    <row r="187" spans="2:4" x14ac:dyDescent="0.3">
      <c r="B187" s="79">
        <f t="shared" si="6"/>
        <v>45474</v>
      </c>
      <c r="C187">
        <f>ROWS($B$97:B187)</f>
        <v>91</v>
      </c>
      <c r="D187" s="54" cm="1">
        <f t="array" ref="D187">IF(ISCLOSED(B187),SUMIFS(tbl_Monthly[revenue],tbl_Monthly[month],B187),"")</f>
        <v>251609740</v>
      </c>
    </row>
    <row r="188" spans="2:4" x14ac:dyDescent="0.3">
      <c r="B188" s="79">
        <f t="shared" si="6"/>
        <v>45505</v>
      </c>
      <c r="C188">
        <f>ROWS($B$97:B188)</f>
        <v>92</v>
      </c>
      <c r="D188" s="54" cm="1">
        <f t="array" ref="D188">IF(ISCLOSED(B188),SUMIFS(tbl_Monthly[revenue],tbl_Monthly[month],B188),"")</f>
        <v>235683405</v>
      </c>
    </row>
    <row r="189" spans="2:4" x14ac:dyDescent="0.3">
      <c r="B189" s="79">
        <f t="shared" si="6"/>
        <v>45536</v>
      </c>
      <c r="C189">
        <f>ROWS($B$97:B189)</f>
        <v>93</v>
      </c>
      <c r="D189" s="54" cm="1">
        <f t="array" ref="D189">IF(ISCLOSED(B189),SUMIFS(tbl_Monthly[revenue],tbl_Monthly[month],B189),"")</f>
        <v>213844142</v>
      </c>
    </row>
    <row r="190" spans="2:4" x14ac:dyDescent="0.3">
      <c r="B190" s="79">
        <f t="shared" si="6"/>
        <v>45566</v>
      </c>
      <c r="C190">
        <f>ROWS($B$97:B190)</f>
        <v>94</v>
      </c>
      <c r="D190" s="54" cm="1">
        <f t="array" ref="D190">IF(ISCLOSED(B190),SUMIFS(tbl_Monthly[revenue],tbl_Monthly[month],B190),"")</f>
        <v>212696332</v>
      </c>
    </row>
    <row r="191" spans="2:4" x14ac:dyDescent="0.3">
      <c r="B191" s="79">
        <f t="shared" si="6"/>
        <v>45597</v>
      </c>
      <c r="C191">
        <f>ROWS($B$97:B191)</f>
        <v>95</v>
      </c>
      <c r="D191" s="54" cm="1">
        <f t="array" ref="D191">IF(ISCLOSED(B191),SUMIFS(tbl_Monthly[revenue],tbl_Monthly[month],B191),"")</f>
        <v>232165597</v>
      </c>
    </row>
    <row r="192" spans="2:4" x14ac:dyDescent="0.3">
      <c r="B192" s="79">
        <f t="shared" si="6"/>
        <v>45627</v>
      </c>
      <c r="C192">
        <f>ROWS($B$97:B192)</f>
        <v>96</v>
      </c>
      <c r="D192" s="54" cm="1">
        <f t="array" ref="D192">IF(ISCLOSED(B192),SUMIFS(tbl_Monthly[revenue],tbl_Monthly[month],B192),"")</f>
        <v>257819729</v>
      </c>
    </row>
    <row r="193" spans="2:4" x14ac:dyDescent="0.3">
      <c r="B193" s="79">
        <f t="shared" si="6"/>
        <v>45658</v>
      </c>
      <c r="C193">
        <f>ROWS($B$97:B193)</f>
        <v>97</v>
      </c>
      <c r="D193" s="54" cm="1">
        <f t="array" ref="D193">IF(ISCLOSED(B193),SUMIFS(tbl_Monthly[revenue],tbl_Monthly[month],B193),"")</f>
        <v>280461721</v>
      </c>
    </row>
    <row r="194" spans="2:4" x14ac:dyDescent="0.3">
      <c r="B194" s="79">
        <f t="shared" ref="B194:B216" si="7">EDATE(B193,1)</f>
        <v>45689</v>
      </c>
      <c r="C194">
        <f>ROWS($B$97:B194)</f>
        <v>98</v>
      </c>
      <c r="D194" s="54" cm="1">
        <f t="array" ref="D194">IF(ISCLOSED(B194),SUMIFS(tbl_Monthly[revenue],tbl_Monthly[month],B194),"")</f>
        <v>252288295</v>
      </c>
    </row>
    <row r="195" spans="2:4" x14ac:dyDescent="0.3">
      <c r="B195" s="79">
        <f t="shared" si="7"/>
        <v>45717</v>
      </c>
      <c r="C195">
        <f>ROWS($B$97:B195)</f>
        <v>99</v>
      </c>
      <c r="D195" s="54" cm="1">
        <f t="array" ref="D195">IF(ISCLOSED(B195),SUMIFS(tbl_Monthly[revenue],tbl_Monthly[month],B195),"")</f>
        <v>247602397</v>
      </c>
    </row>
    <row r="196" spans="2:4" x14ac:dyDescent="0.3">
      <c r="B196" s="79">
        <f t="shared" si="7"/>
        <v>45748</v>
      </c>
      <c r="C196">
        <f>ROWS($B$97:B196)</f>
        <v>100</v>
      </c>
      <c r="D196" s="54" cm="1">
        <f t="array" ref="D196">IF(ISCLOSED(B196),SUMIFS(tbl_Monthly[revenue],tbl_Monthly[month],B196),"")</f>
        <v>217637842</v>
      </c>
    </row>
    <row r="197" spans="2:4" x14ac:dyDescent="0.3">
      <c r="B197" s="79">
        <f t="shared" si="7"/>
        <v>45778</v>
      </c>
      <c r="C197">
        <f>ROWS($B$97:B197)</f>
        <v>101</v>
      </c>
      <c r="D197" s="54" cm="1">
        <f t="array" ref="D197">IF(ISCLOSED(B197),SUMIFS(tbl_Monthly[revenue],tbl_Monthly[month],B197),"")</f>
        <v>216290531</v>
      </c>
    </row>
    <row r="198" spans="2:4" x14ac:dyDescent="0.3">
      <c r="B198" s="79">
        <f t="shared" si="7"/>
        <v>45809</v>
      </c>
      <c r="C198">
        <f>ROWS($B$97:B198)</f>
        <v>102</v>
      </c>
      <c r="D198" s="54" cm="1">
        <f t="array" ref="D198">IF(ISCLOSED(B198),SUMIFS(tbl_Monthly[revenue],tbl_Monthly[month],B198),"")</f>
        <v>228083828</v>
      </c>
    </row>
    <row r="199" spans="2:4" x14ac:dyDescent="0.3">
      <c r="B199" s="79">
        <f t="shared" si="7"/>
        <v>45839</v>
      </c>
      <c r="C199">
        <f>ROWS($B$97:B199)</f>
        <v>103</v>
      </c>
      <c r="D199" s="54" cm="1">
        <f t="array" ref="D199">IF(ISCLOSED(B199),SUMIFS(tbl_Monthly[revenue],tbl_Monthly[month],B199),"")</f>
        <v>260233530</v>
      </c>
    </row>
    <row r="200" spans="2:4" x14ac:dyDescent="0.3">
      <c r="B200" s="79">
        <f t="shared" si="7"/>
        <v>45870</v>
      </c>
      <c r="C200">
        <f>ROWS($B$97:B200)</f>
        <v>104</v>
      </c>
      <c r="D200" s="54" cm="1">
        <f t="array" ref="D200">IF(ISCLOSED(B200),SUMIFS(tbl_Monthly[revenue],tbl_Monthly[month],B200),"")</f>
        <v>268274378</v>
      </c>
    </row>
    <row r="201" spans="2:4" x14ac:dyDescent="0.3">
      <c r="B201" s="79">
        <f t="shared" si="7"/>
        <v>45901</v>
      </c>
      <c r="C201">
        <f>ROWS($B$97:B201)</f>
        <v>105</v>
      </c>
      <c r="D201" s="54" cm="1">
        <f t="array" ref="D201">IF(ISCLOSED(B201),SUMIFS(tbl_Monthly[revenue],tbl_Monthly[month],B201),"")</f>
        <v>230382555</v>
      </c>
    </row>
    <row r="202" spans="2:4" x14ac:dyDescent="0.3">
      <c r="B202" s="79">
        <f t="shared" si="7"/>
        <v>45931</v>
      </c>
      <c r="C202">
        <f>ROWS($B$97:B202)</f>
        <v>106</v>
      </c>
      <c r="D202" s="54" cm="1">
        <f t="array" ref="D202">IF(ISCLOSED(B202),SUMIFS(tbl_Monthly[revenue],tbl_Monthly[month],B202),"")</f>
        <v>226390278</v>
      </c>
    </row>
    <row r="203" spans="2:4" x14ac:dyDescent="0.3">
      <c r="B203" s="79">
        <f t="shared" si="7"/>
        <v>45962</v>
      </c>
      <c r="C203">
        <f>ROWS($B$97:B203)</f>
        <v>107</v>
      </c>
      <c r="D203" s="54" cm="1">
        <f t="array" ref="D203">IF(ISCLOSED(B203),SUMIFS(tbl_Monthly[revenue],tbl_Monthly[month],B203),"")</f>
        <v>236444019</v>
      </c>
    </row>
    <row r="204" spans="2:4" x14ac:dyDescent="0.3">
      <c r="B204" s="79">
        <f t="shared" si="7"/>
        <v>45992</v>
      </c>
      <c r="C204">
        <f>ROWS($B$97:B204)</f>
        <v>108</v>
      </c>
      <c r="D204" s="54" cm="1">
        <f t="array" ref="D204">IF(ISCLOSED(B204),SUMIFS(tbl_Monthly[revenue],tbl_Monthly[month],B204),"")</f>
        <v>264090576</v>
      </c>
    </row>
    <row r="205" spans="2:4" x14ac:dyDescent="0.3">
      <c r="B205" s="79">
        <f t="shared" si="7"/>
        <v>46023</v>
      </c>
      <c r="C205">
        <f>ROWS($B$97:B205)</f>
        <v>109</v>
      </c>
      <c r="D205" s="54" cm="1">
        <f t="array" ref="D205">IF(ISCLOSED(B205),SUMIFS(tbl_Monthly[revenue],tbl_Monthly[month],B205),"")</f>
        <v>271495430</v>
      </c>
    </row>
    <row r="206" spans="2:4" x14ac:dyDescent="0.3">
      <c r="B206" s="79">
        <f t="shared" si="7"/>
        <v>46054</v>
      </c>
      <c r="C206">
        <f>ROWS($B$97:B206)</f>
        <v>110</v>
      </c>
      <c r="D206" s="54" cm="1">
        <f t="array" ref="D206">IF(ISCLOSED(B206),SUMIFS(tbl_Monthly[revenue],tbl_Monthly[month],B206),"")</f>
        <v>236446919</v>
      </c>
    </row>
    <row r="207" spans="2:4" x14ac:dyDescent="0.3">
      <c r="B207" s="79">
        <f t="shared" si="7"/>
        <v>46082</v>
      </c>
      <c r="C207">
        <f>ROWS($B$97:B207)</f>
        <v>111</v>
      </c>
      <c r="D207" s="54" cm="1">
        <f t="array" ref="D207">IF(ISCLOSED(B207),SUMIFS(tbl_Monthly[revenue],tbl_Monthly[month],B207),"")</f>
        <v>241516825</v>
      </c>
    </row>
    <row r="208" spans="2:4" x14ac:dyDescent="0.3">
      <c r="B208" s="79">
        <f t="shared" si="7"/>
        <v>46113</v>
      </c>
      <c r="C208">
        <f>ROWS($B$97:B208)</f>
        <v>112</v>
      </c>
      <c r="D208" s="54" cm="1">
        <f t="array" ref="D208">IF(ISCLOSED(B208),SUMIFS(tbl_Monthly[revenue],tbl_Monthly[month],B208),"")</f>
        <v>233585146</v>
      </c>
    </row>
    <row r="209" spans="2:4" x14ac:dyDescent="0.3">
      <c r="B209" s="79">
        <f t="shared" si="7"/>
        <v>46143</v>
      </c>
      <c r="C209">
        <f>ROWS($B$97:B209)</f>
        <v>113</v>
      </c>
      <c r="D209" s="54" cm="1">
        <f t="array" ref="D209">IF(ISCLOSED(B209),SUMIFS(tbl_Monthly[revenue],tbl_Monthly[month],B209),"")</f>
        <v>239271154</v>
      </c>
    </row>
    <row r="210" spans="2:4" x14ac:dyDescent="0.3">
      <c r="B210" s="79">
        <f t="shared" si="7"/>
        <v>46174</v>
      </c>
      <c r="C210">
        <f>ROWS($B$97:B210)</f>
        <v>114</v>
      </c>
      <c r="D210" s="54" cm="1">
        <f t="array" ref="D210">IF(ISCLOSED(B210),SUMIFS(tbl_Monthly[revenue],tbl_Monthly[month],B210),"")</f>
        <v>247646681</v>
      </c>
    </row>
    <row r="211" spans="2:4" x14ac:dyDescent="0.3">
      <c r="B211" s="79">
        <f t="shared" si="7"/>
        <v>46204</v>
      </c>
      <c r="C211">
        <f>ROWS($B$97:B211)</f>
        <v>115</v>
      </c>
      <c r="D211" s="54" t="str" cm="1">
        <f t="array" ref="D211">IF(ISCLOSED(B211),SUMIFS(tbl_Monthly[revenue],tbl_Monthly[month],B211),"")</f>
        <v/>
      </c>
    </row>
    <row r="212" spans="2:4" x14ac:dyDescent="0.3">
      <c r="B212" s="79">
        <f t="shared" si="7"/>
        <v>46235</v>
      </c>
      <c r="C212">
        <f>ROWS($B$97:B212)</f>
        <v>116</v>
      </c>
      <c r="D212" s="54" t="str" cm="1">
        <f t="array" ref="D212">IF(ISCLOSED(B212),SUMIFS(tbl_Monthly[revenue],tbl_Monthly[month],B212),"")</f>
        <v/>
      </c>
    </row>
    <row r="213" spans="2:4" x14ac:dyDescent="0.3">
      <c r="B213" s="79">
        <f t="shared" si="7"/>
        <v>46266</v>
      </c>
      <c r="C213">
        <f>ROWS($B$97:B213)</f>
        <v>117</v>
      </c>
      <c r="D213" s="54" t="str" cm="1">
        <f t="array" ref="D213">IF(ISCLOSED(B213),SUMIFS(tbl_Monthly[revenue],tbl_Monthly[month],B213),"")</f>
        <v/>
      </c>
    </row>
    <row r="214" spans="2:4" x14ac:dyDescent="0.3">
      <c r="B214" s="79">
        <f t="shared" si="7"/>
        <v>46296</v>
      </c>
      <c r="C214">
        <f>ROWS($B$97:B214)</f>
        <v>118</v>
      </c>
      <c r="D214" s="54" t="str" cm="1">
        <f t="array" ref="D214">IF(ISCLOSED(B214),SUMIFS(tbl_Monthly[revenue],tbl_Monthly[month],B214),"")</f>
        <v/>
      </c>
    </row>
    <row r="215" spans="2:4" x14ac:dyDescent="0.3">
      <c r="B215" s="79">
        <f t="shared" si="7"/>
        <v>46327</v>
      </c>
      <c r="C215">
        <f>ROWS($B$97:B215)</f>
        <v>119</v>
      </c>
      <c r="D215" s="54" t="str" cm="1">
        <f t="array" ref="D215">IF(ISCLOSED(B215),SUMIFS(tbl_Monthly[revenue],tbl_Monthly[month],B215),"")</f>
        <v/>
      </c>
    </row>
    <row r="216" spans="2:4" x14ac:dyDescent="0.3">
      <c r="B216" s="79">
        <f t="shared" si="7"/>
        <v>46357</v>
      </c>
      <c r="C216">
        <f>ROWS($B$97:B216)</f>
        <v>120</v>
      </c>
      <c r="D216" s="54" t="str" cm="1">
        <f t="array" ref="D216">IF(ISCLOSED(B216),SUMIFS(tbl_Monthly[revenue],tbl_Monthly[month],B216),"")</f>
        <v/>
      </c>
    </row>
  </sheetData>
  <mergeCells count="1">
    <mergeCell ref="B2:Q2"/>
  </mergeCells>
  <conditionalFormatting sqref="B19:K66">
    <cfRule type="expression" dxfId="30" priority="1" stopIfTrue="1">
      <formula>NOT($D19)</formula>
    </cfRule>
  </conditionalFormatting>
  <conditionalFormatting sqref="H71:H75">
    <cfRule type="cellIs" dxfId="29" priority="2" stopIfTrue="1" operator="greaterThan">
      <formula>0</formula>
    </cfRule>
    <cfRule type="cellIs" dxfId="28" priority="3" stopIfTrue="1" operator="lessThan">
      <formula>0</formula>
    </cfRule>
  </conditionalFormatting>
  <conditionalFormatting sqref="J71:J75">
    <cfRule type="cellIs" dxfId="27" priority="4" stopIfTrue="1" operator="greaterThan">
      <formula>0</formula>
    </cfRule>
    <cfRule type="cellIs" dxfId="26" priority="5" stopIfTrue="1" operator="lessThan">
      <formula>0</formula>
    </cfRule>
  </conditionalFormatting>
  <printOptions horizontalCentered="1"/>
  <pageMargins left="0.35" right="0.35" top="0.44999999999999996" bottom="0.5" header="0.3" footer="0.2"/>
  <pageSetup scale="76" fitToHeight="2" orientation="landscape" r:id="rId1"/>
  <headerFooter>
    <oddFooter>&amp;C&amp;8&amp;A&amp;L&amp;8Portland General Electric utility FP&amp;&amp;A model · public data (EIA, FERC via PUDL, NOAA)&amp;R&amp;8Page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6EAC5-8852-4313-A9C1-422EE104B69E}">
  <sheetPr>
    <tabColor rgb="FF0F766E"/>
    <pageSetUpPr fitToPage="1"/>
  </sheetPr>
  <dimension ref="B1:T57"/>
  <sheetViews>
    <sheetView showGridLines="0" zoomScale="90" zoomScaleNormal="90" workbookViewId="0"/>
  </sheetViews>
  <sheetFormatPr defaultRowHeight="13" x14ac:dyDescent="0.3"/>
  <cols>
    <col min="1" max="1" width="2.69921875" customWidth="1"/>
    <col min="2" max="2" width="40.69921875" customWidth="1"/>
    <col min="3" max="9" width="13.69921875" customWidth="1"/>
    <col min="10" max="10" width="2.69921875" customWidth="1"/>
    <col min="11" max="11" width="26.69921875" customWidth="1"/>
    <col min="12" max="12" width="14.69921875" customWidth="1"/>
    <col min="13" max="13" width="2.69921875" customWidth="1"/>
    <col min="14" max="18" width="11.69921875" customWidth="1"/>
    <col min="19" max="19" width="26.69921875" customWidth="1"/>
    <col min="20" max="20" width="12.69921875" customWidth="1"/>
  </cols>
  <sheetData>
    <row r="1" spans="2:20" ht="30" customHeight="1" x14ac:dyDescent="0.55000000000000004">
      <c r="B1" s="1" t="str">
        <f>"Scenarios: what moves the "&amp;FiscalYear&amp;" outlook"</f>
        <v>Scenarios: what moves the 2026 outlook</v>
      </c>
    </row>
    <row r="2" spans="2:20" ht="28" customHeight="1" x14ac:dyDescent="0.3">
      <c r="B2" s="32" t="s">
        <v>398</v>
      </c>
      <c r="C2" s="32"/>
      <c r="D2" s="32"/>
      <c r="E2" s="32"/>
      <c r="F2" s="32"/>
      <c r="G2" s="32"/>
      <c r="H2" s="32"/>
      <c r="I2" s="32"/>
      <c r="J2" s="32"/>
      <c r="K2" s="32"/>
      <c r="L2" s="32"/>
      <c r="M2" s="32"/>
      <c r="N2" s="32"/>
      <c r="O2" s="32"/>
      <c r="P2" s="32"/>
      <c r="Q2" s="32"/>
      <c r="R2" s="32"/>
      <c r="S2" s="32"/>
      <c r="T2" s="32"/>
    </row>
    <row r="4" spans="2:20" x14ac:dyDescent="0.3">
      <c r="B4" s="24" t="s">
        <v>186</v>
      </c>
      <c r="C4" s="124" t="s">
        <v>180</v>
      </c>
      <c r="D4" s="25">
        <f>MATCH(WeatherScenario,ScenarioList,0)</f>
        <v>1</v>
      </c>
      <c r="E4" s="2" t="s">
        <v>187</v>
      </c>
    </row>
    <row r="5" spans="2:20" x14ac:dyDescent="0.3">
      <c r="B5" s="24" t="s">
        <v>188</v>
      </c>
      <c r="C5" s="125">
        <v>0</v>
      </c>
      <c r="E5" s="2" t="s">
        <v>189</v>
      </c>
    </row>
    <row r="6" spans="2:20" x14ac:dyDescent="0.3">
      <c r="B6" s="24" t="s">
        <v>190</v>
      </c>
      <c r="C6" s="126">
        <v>0</v>
      </c>
      <c r="E6" s="2" t="s">
        <v>191</v>
      </c>
    </row>
    <row r="7" spans="2:20" x14ac:dyDescent="0.3">
      <c r="B7" s="24" t="s">
        <v>192</v>
      </c>
      <c r="C7" s="125">
        <v>0</v>
      </c>
      <c r="E7" s="2" t="s">
        <v>193</v>
      </c>
    </row>
    <row r="8" spans="2:20" x14ac:dyDescent="0.3">
      <c r="B8" s="24" t="s">
        <v>194</v>
      </c>
      <c r="C8" s="127">
        <v>1</v>
      </c>
      <c r="E8" s="2" t="s">
        <v>195</v>
      </c>
    </row>
    <row r="9" spans="2:20" x14ac:dyDescent="0.3">
      <c r="B9" s="24" t="s">
        <v>196</v>
      </c>
      <c r="C9" s="128">
        <v>1</v>
      </c>
      <c r="E9" s="2" t="s">
        <v>197</v>
      </c>
    </row>
    <row r="11" spans="2:20" ht="18" customHeight="1" x14ac:dyDescent="0.3">
      <c r="B11" s="7" t="s">
        <v>399</v>
      </c>
      <c r="C11" s="7"/>
      <c r="D11" s="7"/>
      <c r="E11" s="7"/>
      <c r="F11" s="7"/>
      <c r="G11" s="7"/>
      <c r="H11" s="7"/>
      <c r="I11" s="7"/>
    </row>
    <row r="12" spans="2:20" x14ac:dyDescent="0.3">
      <c r="B12" t="s">
        <v>226</v>
      </c>
      <c r="C12" s="110">
        <f>fy_revenue</f>
        <v>3007664836.8420153</v>
      </c>
    </row>
    <row r="13" spans="2:20" x14ac:dyDescent="0.3">
      <c r="B13" t="s">
        <v>206</v>
      </c>
      <c r="C13" s="110">
        <f>fy_mwh</f>
        <v>20445093.326071545</v>
      </c>
    </row>
    <row r="14" spans="2:20" x14ac:dyDescent="0.3">
      <c r="B14" t="s">
        <v>400</v>
      </c>
      <c r="C14" s="111" cm="1">
        <f t="array" ref="C14">CPK(fy_revenue,fy_mwh)</f>
        <v>14.710937186120088</v>
      </c>
    </row>
    <row r="15" spans="2:20" x14ac:dyDescent="0.3">
      <c r="B15" t="str">
        <f>"Growth on "&amp;(FiscalYear-1)</f>
        <v>Growth on 2025</v>
      </c>
      <c r="C15" s="112">
        <f>Forecast!H75</f>
        <v>2.7144809471841124E-2</v>
      </c>
    </row>
    <row r="16" spans="2:20" x14ac:dyDescent="0.3">
      <c r="B16" t="s">
        <v>391</v>
      </c>
      <c r="C16" s="113">
        <f>Forecast!J75</f>
        <v>-184243516.51721668</v>
      </c>
    </row>
    <row r="17" spans="2:9" x14ac:dyDescent="0.3">
      <c r="B17" t="s">
        <v>401</v>
      </c>
      <c r="C17" s="110">
        <f>h2_revenue</f>
        <v>1537702681.8420153</v>
      </c>
    </row>
    <row r="19" spans="2:9" ht="18" customHeight="1" x14ac:dyDescent="0.3">
      <c r="B19" s="7" t="s">
        <v>402</v>
      </c>
      <c r="C19" s="7"/>
      <c r="D19" s="7"/>
      <c r="E19" s="7"/>
      <c r="F19" s="7"/>
      <c r="G19" s="7"/>
      <c r="H19" s="7"/>
      <c r="I19" s="7"/>
    </row>
    <row r="20" spans="2:9" ht="39" x14ac:dyDescent="0.3">
      <c r="B20" s="64" t="s">
        <v>176</v>
      </c>
      <c r="C20" s="65" t="s">
        <v>226</v>
      </c>
      <c r="D20" s="65" t="s">
        <v>206</v>
      </c>
      <c r="E20" s="65" t="s">
        <v>213</v>
      </c>
      <c r="F20" s="65" t="s">
        <v>391</v>
      </c>
      <c r="G20" s="65" t="s">
        <v>401</v>
      </c>
    </row>
    <row r="21" spans="2:9" x14ac:dyDescent="0.3">
      <c r="B21" s="47" t="s">
        <v>403</v>
      </c>
      <c r="C21" s="101">
        <f>C12</f>
        <v>3007664836.8420153</v>
      </c>
      <c r="D21" s="101">
        <f>C13</f>
        <v>20445093.326071545</v>
      </c>
      <c r="E21" s="114">
        <f>C14</f>
        <v>14.710937186120088</v>
      </c>
      <c r="F21" s="115">
        <f>C16</f>
        <v>-184243516.51721668</v>
      </c>
      <c r="G21" s="101">
        <f>C17</f>
        <v>1537702681.8420153</v>
      </c>
    </row>
    <row r="22" spans="2:9" x14ac:dyDescent="0.3">
      <c r="B22" t="s">
        <v>180</v>
      </c>
      <c r="C22" s="54">
        <f t="dataTable" ref="C22:G24" dt2D="0" dtr="0" r1="C4" ca="1"/>
        <v>3007664836.8420153</v>
      </c>
      <c r="D22" s="54">
        <v>20445093.326071545</v>
      </c>
      <c r="E22" s="56">
        <v>14.710937186120088</v>
      </c>
      <c r="F22" s="55">
        <v>-184243516.51721668</v>
      </c>
      <c r="G22" s="54">
        <v>1537702681.8420153</v>
      </c>
    </row>
    <row r="23" spans="2:9" x14ac:dyDescent="0.3">
      <c r="B23" t="s">
        <v>182</v>
      </c>
      <c r="C23" s="54">
        <v>2981163087.5629063</v>
      </c>
      <c r="D23" s="54">
        <v>20302661.11972788</v>
      </c>
      <c r="E23" s="56">
        <v>14.683607582190996</v>
      </c>
      <c r="F23" s="55">
        <v>-210745265.79632568</v>
      </c>
      <c r="G23" s="54">
        <v>1511200932.5629058</v>
      </c>
    </row>
    <row r="24" spans="2:9" x14ac:dyDescent="0.3">
      <c r="B24" t="s">
        <v>184</v>
      </c>
      <c r="C24" s="54">
        <v>3034166586.1211252</v>
      </c>
      <c r="D24" s="54">
        <v>20587525.532415204</v>
      </c>
      <c r="E24" s="56">
        <v>14.737888637193473</v>
      </c>
      <c r="F24" s="55">
        <v>-157741767.23810673</v>
      </c>
      <c r="G24" s="54">
        <v>1564204431.121125</v>
      </c>
    </row>
    <row r="26" spans="2:9" ht="18" customHeight="1" x14ac:dyDescent="0.3">
      <c r="B26" s="7" t="s">
        <v>404</v>
      </c>
      <c r="C26" s="7"/>
      <c r="D26" s="7"/>
      <c r="E26" s="7"/>
      <c r="F26" s="7"/>
      <c r="G26" s="7"/>
      <c r="H26" s="7"/>
      <c r="I26" s="7"/>
    </row>
    <row r="27" spans="2:9" x14ac:dyDescent="0.3">
      <c r="B27" s="47" t="s">
        <v>405</v>
      </c>
    </row>
    <row r="28" spans="2:9" x14ac:dyDescent="0.3">
      <c r="B28" s="116">
        <f>C12</f>
        <v>3007664836.8420153</v>
      </c>
      <c r="C28" s="118">
        <v>0</v>
      </c>
      <c r="D28" s="118">
        <v>50</v>
      </c>
      <c r="E28" s="118">
        <v>100</v>
      </c>
      <c r="F28" s="118">
        <v>150</v>
      </c>
      <c r="G28" s="118">
        <v>200</v>
      </c>
      <c r="H28" s="118">
        <v>250</v>
      </c>
      <c r="I28" s="118">
        <v>300</v>
      </c>
    </row>
    <row r="29" spans="2:9" x14ac:dyDescent="0.3">
      <c r="B29" s="119">
        <v>-0.02</v>
      </c>
      <c r="C29" s="117">
        <f t="dataTable" ref="C29:I35" dt2D="1" dtr="1" r1="C6" r2="C5" ca="1"/>
        <v>2976910783.2051749</v>
      </c>
      <c r="D29" s="117">
        <v>2997589615.0585637</v>
      </c>
      <c r="E29" s="117">
        <v>3018268446.911953</v>
      </c>
      <c r="F29" s="117">
        <v>3038947278.7653422</v>
      </c>
      <c r="G29" s="117">
        <v>3059626110.618731</v>
      </c>
      <c r="H29" s="117">
        <v>3080304942.4721203</v>
      </c>
      <c r="I29" s="117">
        <v>3100983774.3255095</v>
      </c>
    </row>
    <row r="30" spans="2:9" x14ac:dyDescent="0.3">
      <c r="B30" s="119">
        <v>-0.01</v>
      </c>
      <c r="C30" s="117">
        <v>2992287810.0235949</v>
      </c>
      <c r="D30" s="117">
        <v>3013177650.365284</v>
      </c>
      <c r="E30" s="117">
        <v>3034067490.7069726</v>
      </c>
      <c r="F30" s="117">
        <v>3054957331.0486617</v>
      </c>
      <c r="G30" s="117">
        <v>3075847171.3903508</v>
      </c>
      <c r="H30" s="117">
        <v>3096737011.7320399</v>
      </c>
      <c r="I30" s="117">
        <v>3117626852.073729</v>
      </c>
    </row>
    <row r="31" spans="2:9" x14ac:dyDescent="0.3">
      <c r="B31" s="119">
        <v>0</v>
      </c>
      <c r="C31" s="117">
        <v>3007664836.8420153</v>
      </c>
      <c r="D31" s="117">
        <v>3028765685.6720047</v>
      </c>
      <c r="E31" s="117">
        <v>3049866534.5019932</v>
      </c>
      <c r="F31" s="117">
        <v>3070967383.3319821</v>
      </c>
      <c r="G31" s="117">
        <v>3092068232.1619711</v>
      </c>
      <c r="H31" s="117">
        <v>3113169080.9919596</v>
      </c>
      <c r="I31" s="117">
        <v>3134269929.821949</v>
      </c>
    </row>
    <row r="32" spans="2:9" x14ac:dyDescent="0.3">
      <c r="B32" s="119">
        <v>0.01</v>
      </c>
      <c r="C32" s="117">
        <v>3023041863.6604362</v>
      </c>
      <c r="D32" s="117">
        <v>3044353720.978725</v>
      </c>
      <c r="E32" s="117">
        <v>3065665578.2970138</v>
      </c>
      <c r="F32" s="117">
        <v>3086977435.6153021</v>
      </c>
      <c r="G32" s="117">
        <v>3108289292.9335909</v>
      </c>
      <c r="H32" s="117">
        <v>3129601150.2518797</v>
      </c>
      <c r="I32" s="117">
        <v>3150913007.5701685</v>
      </c>
    </row>
    <row r="33" spans="2:20" x14ac:dyDescent="0.3">
      <c r="B33" s="119">
        <v>0.02</v>
      </c>
      <c r="C33" s="117">
        <v>3038418890.4788561</v>
      </c>
      <c r="D33" s="117">
        <v>3059941756.2854443</v>
      </c>
      <c r="E33" s="117">
        <v>3081464622.0920334</v>
      </c>
      <c r="F33" s="117">
        <v>3102987487.8986216</v>
      </c>
      <c r="G33" s="117">
        <v>3124510353.7052107</v>
      </c>
      <c r="H33" s="117">
        <v>3146033219.5117989</v>
      </c>
      <c r="I33" s="117">
        <v>3167556085.318388</v>
      </c>
    </row>
    <row r="34" spans="2:20" x14ac:dyDescent="0.3">
      <c r="B34" s="119">
        <v>0.03</v>
      </c>
      <c r="C34" s="117">
        <v>3053795917.2972755</v>
      </c>
      <c r="D34" s="117">
        <v>3075529791.5921645</v>
      </c>
      <c r="E34" s="117">
        <v>3097263665.887053</v>
      </c>
      <c r="F34" s="117">
        <v>3118997540.1819415</v>
      </c>
      <c r="G34" s="117">
        <v>3140731414.47683</v>
      </c>
      <c r="H34" s="117">
        <v>3162465288.7717185</v>
      </c>
      <c r="I34" s="117">
        <v>3184199163.066607</v>
      </c>
    </row>
    <row r="35" spans="2:20" x14ac:dyDescent="0.3">
      <c r="B35" s="119">
        <v>0.04</v>
      </c>
      <c r="C35" s="117">
        <v>3069172944.115696</v>
      </c>
      <c r="D35" s="117">
        <v>3091117826.8988843</v>
      </c>
      <c r="E35" s="117">
        <v>3113062709.6820726</v>
      </c>
      <c r="F35" s="117">
        <v>3135007592.4652615</v>
      </c>
      <c r="G35" s="117">
        <v>3156952475.2484498</v>
      </c>
      <c r="H35" s="117">
        <v>3178897358.0316381</v>
      </c>
      <c r="I35" s="117">
        <v>3200842240.8148265</v>
      </c>
    </row>
    <row r="37" spans="2:20" ht="18" customHeight="1" x14ac:dyDescent="0.3">
      <c r="B37" s="7" t="s">
        <v>406</v>
      </c>
      <c r="C37" s="7"/>
      <c r="D37" s="7"/>
      <c r="E37" s="7"/>
      <c r="F37" s="7"/>
      <c r="G37" s="7"/>
      <c r="H37" s="7"/>
      <c r="I37" s="7"/>
      <c r="K37" s="47" t="s">
        <v>412</v>
      </c>
    </row>
    <row r="38" spans="2:20" ht="26" x14ac:dyDescent="0.3">
      <c r="B38" s="64" t="s">
        <v>407</v>
      </c>
      <c r="C38" s="65" t="s">
        <v>408</v>
      </c>
      <c r="D38" s="65" t="s">
        <v>409</v>
      </c>
      <c r="E38" s="65" t="s">
        <v>410</v>
      </c>
      <c r="F38" s="65" t="s">
        <v>411</v>
      </c>
      <c r="S38" s="47" t="s">
        <v>421</v>
      </c>
    </row>
    <row r="39" spans="2:20" x14ac:dyDescent="0.3">
      <c r="B39" t="s">
        <v>188</v>
      </c>
      <c r="C39" s="121" t="s">
        <v>413</v>
      </c>
      <c r="D39" s="54">
        <f>L40</f>
        <v>3007664836.8420153</v>
      </c>
      <c r="E39" s="54">
        <f>L41</f>
        <v>3023041863.6604362</v>
      </c>
      <c r="F39" s="55">
        <f>E39-D39</f>
        <v>15377026.818420887</v>
      </c>
      <c r="K39" s="61" t="s">
        <v>188</v>
      </c>
      <c r="L39" s="120">
        <f>C12</f>
        <v>3007664836.8420153</v>
      </c>
      <c r="S39" s="2" t="str" cm="1">
        <f t="array" ref="S39:T43">_xlfn.SORTBY(_xlfn.HSTACK(B39:B43,F39:F43),ABS(F39:F43),1)</f>
        <v>Cooling degree days</v>
      </c>
      <c r="T39" s="122">
        <v>2013299.0033082962</v>
      </c>
    </row>
    <row r="40" spans="2:20" x14ac:dyDescent="0.3">
      <c r="B40" t="s">
        <v>414</v>
      </c>
      <c r="C40" s="121" t="s">
        <v>415</v>
      </c>
      <c r="D40" s="54">
        <f>L44</f>
        <v>3007664836.8420153</v>
      </c>
      <c r="E40" s="54">
        <f>L45</f>
        <v>3028765685.6720047</v>
      </c>
      <c r="F40" s="55">
        <f>E40-D40</f>
        <v>21100848.829989433</v>
      </c>
      <c r="K40" s="61">
        <v>0</v>
      </c>
      <c r="L40" s="120">
        <f t="dataTable" ref="L40:L41" dt2D="0" dtr="0" r1="C5" ca="1"/>
        <v>3007664836.8420153</v>
      </c>
      <c r="S40" s="2" t="str">
        <v>Rate change on open months</v>
      </c>
      <c r="T40" s="122">
        <v>15377026.818420887</v>
      </c>
    </row>
    <row r="41" spans="2:20" x14ac:dyDescent="0.3">
      <c r="B41" t="s">
        <v>416</v>
      </c>
      <c r="C41" s="121" t="s">
        <v>417</v>
      </c>
      <c r="D41" s="54">
        <f>L48</f>
        <v>3007664836.8420153</v>
      </c>
      <c r="E41" s="54">
        <f>L49</f>
        <v>2985580045.7760906</v>
      </c>
      <c r="F41" s="55">
        <f>E41-D41</f>
        <v>-22084791.065924644</v>
      </c>
      <c r="K41" s="61">
        <v>0.01</v>
      </c>
      <c r="L41" s="120">
        <v>3023041863.6604362</v>
      </c>
      <c r="S41" s="2" t="str">
        <v>Customers</v>
      </c>
      <c r="T41" s="122">
        <v>15377026.818420887</v>
      </c>
    </row>
    <row r="42" spans="2:20" x14ac:dyDescent="0.3">
      <c r="B42" t="s">
        <v>418</v>
      </c>
      <c r="C42" s="121" t="s">
        <v>419</v>
      </c>
      <c r="D42" s="54">
        <f>L52</f>
        <v>3007664836.8420153</v>
      </c>
      <c r="E42" s="54">
        <f>L53</f>
        <v>3009678135.8453236</v>
      </c>
      <c r="F42" s="55">
        <f>E42-D42</f>
        <v>2013299.0033082962</v>
      </c>
      <c r="S42" s="2" t="str">
        <v>New data-center load</v>
      </c>
      <c r="T42" s="122">
        <v>21100848.829989433</v>
      </c>
    </row>
    <row r="43" spans="2:20" x14ac:dyDescent="0.3">
      <c r="B43" t="s">
        <v>355</v>
      </c>
      <c r="C43" s="121" t="s">
        <v>420</v>
      </c>
      <c r="D43" s="54">
        <f>L56</f>
        <v>3007664836.8420153</v>
      </c>
      <c r="E43" s="54">
        <f>L57</f>
        <v>3023041863.6604362</v>
      </c>
      <c r="F43" s="55">
        <f>E43-D43</f>
        <v>15377026.818420887</v>
      </c>
      <c r="K43" s="61" t="s">
        <v>414</v>
      </c>
      <c r="L43" s="120">
        <f>C12</f>
        <v>3007664836.8420153</v>
      </c>
      <c r="S43" s="2" t="str">
        <v>Heating degree days</v>
      </c>
      <c r="T43" s="122">
        <v>-22084791.065924644</v>
      </c>
    </row>
    <row r="44" spans="2:20" x14ac:dyDescent="0.3">
      <c r="K44" s="61">
        <v>0</v>
      </c>
      <c r="L44" s="120">
        <f t="dataTable" ref="L44:L45" dt2D="0" dtr="0" r1="C6" ca="1"/>
        <v>3007664836.8420153</v>
      </c>
    </row>
    <row r="45" spans="2:20" ht="18" customHeight="1" x14ac:dyDescent="0.3">
      <c r="B45" s="7" t="s">
        <v>422</v>
      </c>
      <c r="C45" s="7"/>
      <c r="D45" s="7"/>
      <c r="E45" s="7"/>
      <c r="F45" s="7"/>
      <c r="G45" s="7"/>
      <c r="H45" s="7"/>
      <c r="I45" s="7"/>
      <c r="K45" s="61">
        <v>50</v>
      </c>
      <c r="L45" s="120">
        <v>3028765685.6720047</v>
      </c>
    </row>
    <row r="46" spans="2:20" x14ac:dyDescent="0.3">
      <c r="B46" t="s">
        <v>423</v>
      </c>
      <c r="C46" s="68">
        <f>C22-C23</f>
        <v>26501749.279109001</v>
      </c>
    </row>
    <row r="47" spans="2:20" x14ac:dyDescent="0.3">
      <c r="B47" t="s">
        <v>424</v>
      </c>
      <c r="C47" s="123" cm="1">
        <f t="array" ref="C47">SAFEDIV(C46,G23)</f>
        <v>1.7536879913224796E-2</v>
      </c>
      <c r="K47" s="61" t="s">
        <v>416</v>
      </c>
      <c r="L47" s="120">
        <f>C12</f>
        <v>3007664836.8420153</v>
      </c>
    </row>
    <row r="48" spans="2:20" x14ac:dyDescent="0.3">
      <c r="B48" s="87" t="str" cm="1">
        <f t="array" ref="B48">"A mild rest of the year would cost "&amp;MONEY(C46)&amp;" of retail revenue: about a "&amp;TEXT(C47,"0.0%")&amp;" rate change on the open months, or "&amp;TEXT(SAFEDIV(C46,F40/50),"#,##0")&amp;" MW of new data-center load from now."</f>
        <v>A mild rest of the year would cost $26.5M of retail revenue: about a 1.8% rate change on the open months, or 63 MW of new data-center load from now.</v>
      </c>
      <c r="K48" s="61">
        <v>1</v>
      </c>
      <c r="L48" s="120">
        <f t="dataTable" ref="L48:L49" dt2D="0" dtr="0" r1="C8" ca="1"/>
        <v>3007664836.8420153</v>
      </c>
    </row>
    <row r="49" spans="11:12" x14ac:dyDescent="0.3">
      <c r="K49" s="61">
        <v>0.9</v>
      </c>
      <c r="L49" s="120">
        <v>2985580045.7760906</v>
      </c>
    </row>
    <row r="51" spans="11:12" x14ac:dyDescent="0.3">
      <c r="K51" s="61" t="s">
        <v>418</v>
      </c>
      <c r="L51" s="120">
        <f>C12</f>
        <v>3007664836.8420153</v>
      </c>
    </row>
    <row r="52" spans="11:12" x14ac:dyDescent="0.3">
      <c r="K52" s="61">
        <v>1</v>
      </c>
      <c r="L52" s="120">
        <f t="dataTable" ref="L52:L53" dt2D="0" dtr="0" r1="C9" ca="1"/>
        <v>3007664836.8420153</v>
      </c>
    </row>
    <row r="53" spans="11:12" x14ac:dyDescent="0.3">
      <c r="K53" s="61">
        <v>1.1000000000000001</v>
      </c>
      <c r="L53" s="120">
        <v>3009678135.8453236</v>
      </c>
    </row>
    <row r="55" spans="11:12" x14ac:dyDescent="0.3">
      <c r="K55" s="61" t="s">
        <v>355</v>
      </c>
      <c r="L55" s="120">
        <f>C12</f>
        <v>3007664836.8420153</v>
      </c>
    </row>
    <row r="56" spans="11:12" x14ac:dyDescent="0.3">
      <c r="K56" s="61">
        <v>0</v>
      </c>
      <c r="L56" s="120">
        <f t="dataTable" ref="L56:L57" dt2D="0" dtr="0" r1="C7"/>
        <v>3007664836.8420153</v>
      </c>
    </row>
    <row r="57" spans="11:12" x14ac:dyDescent="0.3">
      <c r="K57" s="61">
        <v>0.01</v>
      </c>
      <c r="L57" s="120">
        <v>3023041863.6604362</v>
      </c>
    </row>
  </sheetData>
  <mergeCells count="1">
    <mergeCell ref="B2:T2"/>
  </mergeCells>
  <conditionalFormatting sqref="C15:C16">
    <cfRule type="cellIs" dxfId="25" priority="1" stopIfTrue="1" operator="greaterThan">
      <formula>0</formula>
    </cfRule>
    <cfRule type="cellIs" dxfId="24" priority="2" stopIfTrue="1" operator="lessThan">
      <formula>0</formula>
    </cfRule>
  </conditionalFormatting>
  <conditionalFormatting sqref="F22:F24">
    <cfRule type="cellIs" dxfId="23" priority="3" stopIfTrue="1" operator="greaterThan">
      <formula>0</formula>
    </cfRule>
    <cfRule type="cellIs" dxfId="22" priority="4" stopIfTrue="1" operator="lessThan">
      <formula>0</formula>
    </cfRule>
  </conditionalFormatting>
  <conditionalFormatting sqref="C29:I35">
    <cfRule type="colorScale" priority="5">
      <colorScale>
        <cfvo type="min"/>
        <cfvo type="percentile" val="50"/>
        <cfvo type="max"/>
        <color rgb="FFF4C7C0"/>
        <color rgb="FFFFFFFF"/>
        <color rgb="FFBFE3CB"/>
      </colorScale>
    </cfRule>
  </conditionalFormatting>
  <conditionalFormatting sqref="F39:F43">
    <cfRule type="cellIs" dxfId="21" priority="6" stopIfTrue="1" operator="greaterThan">
      <formula>0</formula>
    </cfRule>
    <cfRule type="cellIs" dxfId="20" priority="7" stopIfTrue="1" operator="lessThan">
      <formula>0</formula>
    </cfRule>
  </conditionalFormatting>
  <dataValidations count="4">
    <dataValidation type="list" allowBlank="1" showInputMessage="1" showErrorMessage="1" sqref="C4" xr:uid="{ADB338BB-9E9E-4E24-A9EB-154C38049789}">
      <formula1>ScenarioList</formula1>
    </dataValidation>
    <dataValidation type="decimal" allowBlank="1" showInputMessage="1" showErrorMessage="1" sqref="C5 C7" xr:uid="{9F5571B4-78DB-47F1-A0BE-0CF07CF5D058}">
      <formula1>-0.2</formula1>
      <formula2>0.2</formula2>
    </dataValidation>
    <dataValidation type="decimal" allowBlank="1" showInputMessage="1" showErrorMessage="1" sqref="C6" xr:uid="{B2E670C5-35B8-4377-B826-8F82613759F0}">
      <formula1>0</formula1>
      <formula2>2000</formula2>
    </dataValidation>
    <dataValidation type="decimal" allowBlank="1" showInputMessage="1" showErrorMessage="1" sqref="C8 C9" xr:uid="{14898B26-33F6-4742-A312-CD3C30217F3A}">
      <formula1>0.5</formula1>
      <formula2>1.5</formula2>
    </dataValidation>
  </dataValidations>
  <printOptions horizontalCentered="1"/>
  <pageMargins left="0.35" right="0.35" top="0.44999999999999996" bottom="0.5" header="0.3" footer="0.2"/>
  <pageSetup scale="52" orientation="landscape" r:id="rId1"/>
  <headerFooter>
    <oddFooter>&amp;C&amp;8&amp;A&amp;L&amp;8Portland General Electric utility FP&amp;&amp;A model · public data (EIA, FERC via PUDL, NOAA)&amp;R&amp;8Page &amp;P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23902-62D4-4F9E-9ED3-BB20BB187535}">
  <sheetPr>
    <tabColor rgb="FF0F766E"/>
    <pageSetUpPr fitToPage="1"/>
  </sheetPr>
  <dimension ref="B1:J18"/>
  <sheetViews>
    <sheetView showGridLines="0" zoomScale="90" zoomScaleNormal="90" workbookViewId="0"/>
  </sheetViews>
  <sheetFormatPr defaultRowHeight="13" x14ac:dyDescent="0.3"/>
  <cols>
    <col min="1" max="1" width="2.69921875" customWidth="1"/>
    <col min="2" max="2" width="36.69921875" customWidth="1"/>
    <col min="3" max="7" width="16.69921875" customWidth="1"/>
    <col min="8" max="8" width="10.69921875" customWidth="1"/>
    <col min="9" max="10" width="6.69921875" customWidth="1"/>
  </cols>
  <sheetData>
    <row r="1" spans="2:10" ht="30" customHeight="1" x14ac:dyDescent="0.55000000000000004">
      <c r="B1" s="1" t="s">
        <v>425</v>
      </c>
    </row>
    <row r="2" spans="2:10" ht="28" customHeight="1" x14ac:dyDescent="0.3">
      <c r="B2" s="32" t="str">
        <f>"Electric operations only, as filed with FERC. Price and cost metrics are for "&amp;FercYear&amp;"; growth is the yearly rate since "&amp;BaseYear&amp;". Rank 1 is the highest value."</f>
        <v>Electric operations only, as filed with FERC. Price and cost metrics are for 2025; growth is the yearly rate since 2019. Rank 1 is the highest value.</v>
      </c>
      <c r="C2" s="32"/>
      <c r="D2" s="32"/>
      <c r="E2" s="32"/>
      <c r="F2" s="32"/>
      <c r="G2" s="32"/>
      <c r="H2" s="32"/>
      <c r="I2" s="32"/>
      <c r="J2" s="32"/>
    </row>
    <row r="4" spans="2:10" x14ac:dyDescent="0.3">
      <c r="B4" s="24" t="s">
        <v>426</v>
      </c>
      <c r="C4" s="34" t="str" cm="1">
        <f t="array" ref="C4">INDEX(tbl_Utilities[short_name],COLUMN()-2)</f>
        <v>PGE</v>
      </c>
      <c r="D4" s="34" t="str" cm="1">
        <f t="array" ref="D4">INDEX(tbl_Utilities[short_name],COLUMN()-2)</f>
        <v>PacifiCorp</v>
      </c>
      <c r="E4" s="34" t="str" cm="1">
        <f t="array" ref="E4">INDEX(tbl_Utilities[short_name],COLUMN()-2)</f>
        <v>Puget Sound Energy</v>
      </c>
      <c r="F4" s="34" t="str" cm="1">
        <f t="array" ref="F4">INDEX(tbl_Utilities[short_name],COLUMN()-2)</f>
        <v>Avista</v>
      </c>
      <c r="G4" s="34" t="str" cm="1">
        <f t="array" ref="G4">INDEX(tbl_Utilities[short_name],COLUMN()-2)</f>
        <v>Idaho Power</v>
      </c>
      <c r="H4" s="34" t="s">
        <v>427</v>
      </c>
    </row>
    <row r="5" spans="2:10" x14ac:dyDescent="0.3">
      <c r="B5" s="61" t="s">
        <v>428</v>
      </c>
      <c r="C5" s="107" cm="1">
        <f t="array" ref="C5">INDEX(tbl_Utilities[utility_id_ferc1],COLUMN()-2)</f>
        <v>250</v>
      </c>
      <c r="D5" s="107" cm="1">
        <f t="array" ref="D5">INDEX(tbl_Utilities[utility_id_ferc1],COLUMN()-2)</f>
        <v>303</v>
      </c>
      <c r="E5" s="107" cm="1">
        <f t="array" ref="E5">INDEX(tbl_Utilities[utility_id_ferc1],COLUMN()-2)</f>
        <v>162</v>
      </c>
      <c r="F5" s="107" cm="1">
        <f t="array" ref="F5">INDEX(tbl_Utilities[utility_id_ferc1],COLUMN()-2)</f>
        <v>182</v>
      </c>
      <c r="G5" s="107" cm="1">
        <f t="array" ref="G5">INDEX(tbl_Utilities[utility_id_ferc1],COLUMN()-2)</f>
        <v>216</v>
      </c>
      <c r="H5" s="129"/>
    </row>
    <row r="7" spans="2:10" x14ac:dyDescent="0.3">
      <c r="B7" t="s">
        <v>226</v>
      </c>
      <c r="C7" s="131">
        <f>SUMIFS(tbl_FERC_Revenue[dollar_value],tbl_FERC_Revenue[utility_id_ferc1],C$5,tbl_FERC_Revenue[report_year],FercYear,tbl_FERC_Revenue[revenue_type],"sales_to_ultimate_consumers")</f>
        <v>2969346620</v>
      </c>
      <c r="D7" s="54">
        <f>SUMIFS(tbl_FERC_Revenue[dollar_value],tbl_FERC_Revenue[utility_id_ferc1],D$5,tbl_FERC_Revenue[report_year],FercYear,tbl_FERC_Revenue[revenue_type],"sales_to_ultimate_consumers")</f>
        <v>6966157006</v>
      </c>
      <c r="E7" s="54">
        <f>SUMIFS(tbl_FERC_Revenue[dollar_value],tbl_FERC_Revenue[utility_id_ferc1],E$5,tbl_FERC_Revenue[report_year],FercYear,tbl_FERC_Revenue[revenue_type],"sales_to_ultimate_consumers")</f>
        <v>3473690941</v>
      </c>
      <c r="F7" s="54">
        <f>SUMIFS(tbl_FERC_Revenue[dollar_value],tbl_FERC_Revenue[utility_id_ferc1],F$5,tbl_FERC_Revenue[report_year],FercYear,tbl_FERC_Revenue[revenue_type],"sales_to_ultimate_consumers")</f>
        <v>1123713791</v>
      </c>
      <c r="G7" s="54">
        <f>SUMIFS(tbl_FERC_Revenue[dollar_value],tbl_FERC_Revenue[utility_id_ferc1],G$5,tbl_FERC_Revenue[report_year],FercYear,tbl_FERC_Revenue[revenue_type],"sales_to_ultimate_consumers")</f>
        <v>1571541674</v>
      </c>
      <c r="H7" s="130">
        <f>_xlfn.RANK.EQ(C7,C7:G7,0)</f>
        <v>3</v>
      </c>
    </row>
    <row r="8" spans="2:10" x14ac:dyDescent="0.3">
      <c r="B8" t="s">
        <v>206</v>
      </c>
      <c r="C8" s="131">
        <f>SUMIFS(tbl_FERC_Revenue[sales_mwh],tbl_FERC_Revenue[utility_id_ferc1],C$5,tbl_FERC_Revenue[report_year],FercYear,tbl_FERC_Revenue[revenue_type],"sales_to_ultimate_consumers")</f>
        <v>19968167</v>
      </c>
      <c r="D8" s="54">
        <f>SUMIFS(tbl_FERC_Revenue[sales_mwh],tbl_FERC_Revenue[utility_id_ferc1],D$5,tbl_FERC_Revenue[report_year],FercYear,tbl_FERC_Revenue[revenue_type],"sales_to_ultimate_consumers")</f>
        <v>59211862</v>
      </c>
      <c r="E8" s="54">
        <f>SUMIFS(tbl_FERC_Revenue[sales_mwh],tbl_FERC_Revenue[utility_id_ferc1],E$5,tbl_FERC_Revenue[report_year],FercYear,tbl_FERC_Revenue[revenue_type],"sales_to_ultimate_consumers")</f>
        <v>21194633</v>
      </c>
      <c r="F8" s="54">
        <f>SUMIFS(tbl_FERC_Revenue[sales_mwh],tbl_FERC_Revenue[utility_id_ferc1],F$5,tbl_FERC_Revenue[report_year],FercYear,tbl_FERC_Revenue[revenue_type],"sales_to_ultimate_consumers")</f>
        <v>9756846</v>
      </c>
      <c r="G8" s="54">
        <f>SUMIFS(tbl_FERC_Revenue[sales_mwh],tbl_FERC_Revenue[utility_id_ferc1],G$5,tbl_FERC_Revenue[report_year],FercYear,tbl_FERC_Revenue[revenue_type],"sales_to_ultimate_consumers")</f>
        <v>16179760</v>
      </c>
      <c r="H8" s="130">
        <f>_xlfn.RANK.EQ(C8,C8:G8,0)</f>
        <v>3</v>
      </c>
    </row>
    <row r="9" spans="2:10" x14ac:dyDescent="0.3">
      <c r="B9" t="s">
        <v>429</v>
      </c>
      <c r="C9" s="131">
        <f>SUMIFS(tbl_FERC_Revenue[avg_customers_per_month],tbl_FERC_Revenue[utility_id_ferc1],C$5,tbl_FERC_Revenue[report_year],FercYear,tbl_FERC_Revenue[revenue_type],"sales_to_ultimate_consumers")</f>
        <v>955654</v>
      </c>
      <c r="D9" s="54">
        <f>SUMIFS(tbl_FERC_Revenue[avg_customers_per_month],tbl_FERC_Revenue[utility_id_ferc1],D$5,tbl_FERC_Revenue[report_year],FercYear,tbl_FERC_Revenue[revenue_type],"sales_to_ultimate_consumers")</f>
        <v>2136853</v>
      </c>
      <c r="E9" s="54">
        <f>SUMIFS(tbl_FERC_Revenue[avg_customers_per_month],tbl_FERC_Revenue[utility_id_ferc1],E$5,tbl_FERC_Revenue[report_year],FercYear,tbl_FERC_Revenue[revenue_type],"sales_to_ultimate_consumers")</f>
        <v>1251443</v>
      </c>
      <c r="F9" s="54">
        <f>SUMIFS(tbl_FERC_Revenue[avg_customers_per_month],tbl_FERC_Revenue[utility_id_ferc1],F$5,tbl_FERC_Revenue[report_year],FercYear,tbl_FERC_Revenue[revenue_type],"sales_to_ultimate_consumers")</f>
        <v>424410</v>
      </c>
      <c r="G9" s="54">
        <f>SUMIFS(tbl_FERC_Revenue[avg_customers_per_month],tbl_FERC_Revenue[utility_id_ferc1],G$5,tbl_FERC_Revenue[report_year],FercYear,tbl_FERC_Revenue[revenue_type],"sales_to_ultimate_consumers")</f>
        <v>657261</v>
      </c>
      <c r="H9" s="130">
        <f>_xlfn.RANK.EQ(C9,C9:G9,0)</f>
        <v>3</v>
      </c>
    </row>
    <row r="10" spans="2:10" x14ac:dyDescent="0.3">
      <c r="B10" t="s">
        <v>254</v>
      </c>
      <c r="C10" s="132" cm="1">
        <f t="array" ref="C10">CPK(SUMIFS(tbl_FERC_Revenue[dollar_value],tbl_FERC_Revenue[utility_id_ferc1],C$5,tbl_FERC_Revenue[report_year],FercYear,tbl_FERC_Revenue[revenue_type],"sales_to_ultimate_consumers"),SUMIFS(tbl_FERC_Revenue[sales_mwh],tbl_FERC_Revenue[utility_id_ferc1],C$5,tbl_FERC_Revenue[report_year],FercYear,tbl_FERC_Revenue[revenue_type],"sales_to_ultimate_consumers"))</f>
        <v>14.870401574666317</v>
      </c>
      <c r="D10" s="56" cm="1">
        <f t="array" ref="D10">CPK(SUMIFS(tbl_FERC_Revenue[dollar_value],tbl_FERC_Revenue[utility_id_ferc1],D$5,tbl_FERC_Revenue[report_year],FercYear,tbl_FERC_Revenue[revenue_type],"sales_to_ultimate_consumers"),SUMIFS(tbl_FERC_Revenue[sales_mwh],tbl_FERC_Revenue[utility_id_ferc1],D$5,tbl_FERC_Revenue[report_year],FercYear,tbl_FERC_Revenue[revenue_type],"sales_to_ultimate_consumers"))</f>
        <v>11.764799772721215</v>
      </c>
      <c r="E10" s="56" cm="1">
        <f t="array" ref="E10">CPK(SUMIFS(tbl_FERC_Revenue[dollar_value],tbl_FERC_Revenue[utility_id_ferc1],E$5,tbl_FERC_Revenue[report_year],FercYear,tbl_FERC_Revenue[revenue_type],"sales_to_ultimate_consumers"),SUMIFS(tbl_FERC_Revenue[sales_mwh],tbl_FERC_Revenue[utility_id_ferc1],E$5,tbl_FERC_Revenue[report_year],FercYear,tbl_FERC_Revenue[revenue_type],"sales_to_ultimate_consumers"))</f>
        <v>16.389483795260809</v>
      </c>
      <c r="F10" s="56" cm="1">
        <f t="array" ref="F10">CPK(SUMIFS(tbl_FERC_Revenue[dollar_value],tbl_FERC_Revenue[utility_id_ferc1],F$5,tbl_FERC_Revenue[report_year],FercYear,tbl_FERC_Revenue[revenue_type],"sales_to_ultimate_consumers"),SUMIFS(tbl_FERC_Revenue[sales_mwh],tbl_FERC_Revenue[utility_id_ferc1],F$5,tbl_FERC_Revenue[report_year],FercYear,tbl_FERC_Revenue[revenue_type],"sales_to_ultimate_consumers"))</f>
        <v>11.517182817070189</v>
      </c>
      <c r="G10" s="56" cm="1">
        <f t="array" ref="G10">CPK(SUMIFS(tbl_FERC_Revenue[dollar_value],tbl_FERC_Revenue[utility_id_ferc1],G$5,tbl_FERC_Revenue[report_year],FercYear,tbl_FERC_Revenue[revenue_type],"sales_to_ultimate_consumers"),SUMIFS(tbl_FERC_Revenue[sales_mwh],tbl_FERC_Revenue[utility_id_ferc1],G$5,tbl_FERC_Revenue[report_year],FercYear,tbl_FERC_Revenue[revenue_type],"sales_to_ultimate_consumers"))</f>
        <v>9.7130097974259204</v>
      </c>
      <c r="H10" s="130">
        <f>_xlfn.RANK.EQ(C10,C10:G10,0)</f>
        <v>2</v>
      </c>
    </row>
    <row r="11" spans="2:10" x14ac:dyDescent="0.3">
      <c r="B11" t="s">
        <v>255</v>
      </c>
      <c r="C11" s="132" cm="1">
        <f t="array" ref="C11">CPK(SUMIFS(tbl_FERC_Revenue[dollar_value],tbl_FERC_Revenue[utility_id_ferc1],C$5,tbl_FERC_Revenue[report_year],FercYear,tbl_FERC_Revenue[revenue_type],"residential_sales"),SUMIFS(tbl_FERC_Revenue[sales_mwh],tbl_FERC_Revenue[utility_id_ferc1],C$5,tbl_FERC_Revenue[report_year],FercYear,tbl_FERC_Revenue[revenue_type],"residential_sales"))</f>
        <v>18.794483418107085</v>
      </c>
      <c r="D11" s="56" cm="1">
        <f t="array" ref="D11">CPK(SUMIFS(tbl_FERC_Revenue[dollar_value],tbl_FERC_Revenue[utility_id_ferc1],D$5,tbl_FERC_Revenue[report_year],FercYear,tbl_FERC_Revenue[revenue_type],"residential_sales"),SUMIFS(tbl_FERC_Revenue[sales_mwh],tbl_FERC_Revenue[utility_id_ferc1],D$5,tbl_FERC_Revenue[report_year],FercYear,tbl_FERC_Revenue[revenue_type],"residential_sales"))</f>
        <v>15.157331027501126</v>
      </c>
      <c r="E11" s="56" cm="1">
        <f t="array" ref="E11">CPK(SUMIFS(tbl_FERC_Revenue[dollar_value],tbl_FERC_Revenue[utility_id_ferc1],E$5,tbl_FERC_Revenue[report_year],FercYear,tbl_FERC_Revenue[revenue_type],"residential_sales"),SUMIFS(tbl_FERC_Revenue[sales_mwh],tbl_FERC_Revenue[utility_id_ferc1],E$5,tbl_FERC_Revenue[report_year],FercYear,tbl_FERC_Revenue[revenue_type],"residential_sales"))</f>
        <v>17.006600278025935</v>
      </c>
      <c r="F11" s="56" cm="1">
        <f t="array" ref="F11">CPK(SUMIFS(tbl_FERC_Revenue[dollar_value],tbl_FERC_Revenue[utility_id_ferc1],F$5,tbl_FERC_Revenue[report_year],FercYear,tbl_FERC_Revenue[revenue_type],"residential_sales"),SUMIFS(tbl_FERC_Revenue[sales_mwh],tbl_FERC_Revenue[utility_id_ferc1],F$5,tbl_FERC_Revenue[report_year],FercYear,tbl_FERC_Revenue[revenue_type],"residential_sales"))</f>
        <v>13.373679116036712</v>
      </c>
      <c r="G11" s="56" cm="1">
        <f t="array" ref="G11">CPK(SUMIFS(tbl_FERC_Revenue[dollar_value],tbl_FERC_Revenue[utility_id_ferc1],G$5,tbl_FERC_Revenue[report_year],FercYear,tbl_FERC_Revenue[revenue_type],"residential_sales"),SUMIFS(tbl_FERC_Revenue[sales_mwh],tbl_FERC_Revenue[utility_id_ferc1],G$5,tbl_FERC_Revenue[report_year],FercYear,tbl_FERC_Revenue[revenue_type],"residential_sales"))</f>
        <v>11.782179096183379</v>
      </c>
      <c r="H11" s="130">
        <f>_xlfn.RANK.EQ(C11,C11:G11,0)</f>
        <v>1</v>
      </c>
    </row>
    <row r="12" spans="2:10" x14ac:dyDescent="0.3">
      <c r="B12" t="s">
        <v>259</v>
      </c>
      <c r="C12" s="133" cm="1">
        <f t="array" ref="C12">SAFEDIV(SUMIFS(tbl_FERC_Revenue[sales_mwh],tbl_FERC_Revenue[utility_id_ferc1],C$5,tbl_FERC_Revenue[report_year],FercYear,tbl_FERC_Revenue[revenue_type],"large_or_industrial"),SUMIFS(tbl_FERC_Revenue[sales_mwh],tbl_FERC_Revenue[utility_id_ferc1],C$5,tbl_FERC_Revenue[report_year],FercYear,tbl_FERC_Revenue[revenue_type],"sales_to_ultimate_consumers"))</f>
        <v>0.29569709628329932</v>
      </c>
      <c r="D12" s="46" cm="1">
        <f t="array" ref="D12">SAFEDIV(SUMIFS(tbl_FERC_Revenue[sales_mwh],tbl_FERC_Revenue[utility_id_ferc1],D$5,tbl_FERC_Revenue[report_year],FercYear,tbl_FERC_Revenue[revenue_type],"large_or_industrial"),SUMIFS(tbl_FERC_Revenue[sales_mwh],tbl_FERC_Revenue[utility_id_ferc1],D$5,tbl_FERC_Revenue[report_year],FercYear,tbl_FERC_Revenue[revenue_type],"sales_to_ultimate_consumers"))</f>
        <v>0.30682436569888649</v>
      </c>
      <c r="E12" s="46" cm="1">
        <f t="array" ref="E12">SAFEDIV(SUMIFS(tbl_FERC_Revenue[sales_mwh],tbl_FERC_Revenue[utility_id_ferc1],E$5,tbl_FERC_Revenue[report_year],FercYear,tbl_FERC_Revenue[revenue_type],"large_or_industrial"),SUMIFS(tbl_FERC_Revenue[sales_mwh],tbl_FERC_Revenue[utility_id_ferc1],E$5,tbl_FERC_Revenue[report_year],FercYear,tbl_FERC_Revenue[revenue_type],"sales_to_ultimate_consumers"))</f>
        <v>4.9111584050547136E-2</v>
      </c>
      <c r="F12" s="46" cm="1">
        <f t="array" ref="F12">SAFEDIV(SUMIFS(tbl_FERC_Revenue[sales_mwh],tbl_FERC_Revenue[utility_id_ferc1],F$5,tbl_FERC_Revenue[report_year],FercYear,tbl_FERC_Revenue[revenue_type],"large_or_industrial"),SUMIFS(tbl_FERC_Revenue[sales_mwh],tbl_FERC_Revenue[utility_id_ferc1],F$5,tbl_FERC_Revenue[report_year],FercYear,tbl_FERC_Revenue[revenue_type],"sales_to_ultimate_consumers"))</f>
        <v>0.2455167376834686</v>
      </c>
      <c r="G12" s="46" cm="1">
        <f t="array" ref="G12">SAFEDIV(SUMIFS(tbl_FERC_Revenue[sales_mwh],tbl_FERC_Revenue[utility_id_ferc1],G$5,tbl_FERC_Revenue[report_year],FercYear,tbl_FERC_Revenue[revenue_type],"large_or_industrial"),SUMIFS(tbl_FERC_Revenue[sales_mwh],tbl_FERC_Revenue[utility_id_ferc1],G$5,tbl_FERC_Revenue[report_year],FercYear,tbl_FERC_Revenue[revenue_type],"sales_to_ultimate_consumers"))</f>
        <v>0.23351434137465574</v>
      </c>
      <c r="H12" s="130">
        <f>_xlfn.RANK.EQ(C12,C12:G12,0)</f>
        <v>2</v>
      </c>
    </row>
    <row r="13" spans="2:10" x14ac:dyDescent="0.3">
      <c r="B13" t="s">
        <v>430</v>
      </c>
      <c r="C13" s="134">
        <f>(SUMIFS(tbl_FERC_Revenue[sales_mwh],tbl_FERC_Revenue[utility_id_ferc1],C$5,tbl_FERC_Revenue[report_year],FercYear,tbl_FERC_Revenue[revenue_type],"sales_to_ultimate_consumers")/SUMIFS(tbl_FERC_Revenue[sales_mwh],tbl_FERC_Revenue[utility_id_ferc1],C$5,tbl_FERC_Revenue[report_year],BaseYear,tbl_FERC_Revenue[revenue_type],"sales_to_ultimate_consumers"))^(1/(FercYear-BaseYear))-1</f>
        <v>2.4147223384501926E-2</v>
      </c>
      <c r="D13" s="39">
        <f>(SUMIFS(tbl_FERC_Revenue[sales_mwh],tbl_FERC_Revenue[utility_id_ferc1],D$5,tbl_FERC_Revenue[report_year],FercYear,tbl_FERC_Revenue[revenue_type],"sales_to_ultimate_consumers")/SUMIFS(tbl_FERC_Revenue[sales_mwh],tbl_FERC_Revenue[utility_id_ferc1],D$5,tbl_FERC_Revenue[report_year],BaseYear,tbl_FERC_Revenue[revenue_type],"sales_to_ultimate_consumers"))^(1/(FercYear-BaseYear))-1</f>
        <v>1.1326803151352483E-2</v>
      </c>
      <c r="E13" s="39">
        <f>(SUMIFS(tbl_FERC_Revenue[sales_mwh],tbl_FERC_Revenue[utility_id_ferc1],E$5,tbl_FERC_Revenue[report_year],FercYear,tbl_FERC_Revenue[revenue_type],"sales_to_ultimate_consumers")/SUMIFS(tbl_FERC_Revenue[sales_mwh],tbl_FERC_Revenue[utility_id_ferc1],E$5,tbl_FERC_Revenue[report_year],BaseYear,tbl_FERC_Revenue[revenue_type],"sales_to_ultimate_consumers"))^(1/(FercYear-BaseYear))-1</f>
        <v>2.8705590516913126E-3</v>
      </c>
      <c r="F13" s="39">
        <f>(SUMIFS(tbl_FERC_Revenue[sales_mwh],tbl_FERC_Revenue[utility_id_ferc1],F$5,tbl_FERC_Revenue[report_year],FercYear,tbl_FERC_Revenue[revenue_type],"sales_to_ultimate_consumers")/SUMIFS(tbl_FERC_Revenue[sales_mwh],tbl_FERC_Revenue[utility_id_ferc1],F$5,tbl_FERC_Revenue[report_year],BaseYear,tbl_FERC_Revenue[revenue_type],"sales_to_ultimate_consumers"))^(1/(FercYear-BaseYear))-1</f>
        <v>1.3248619875765089E-2</v>
      </c>
      <c r="G13" s="39">
        <f>(SUMIFS(tbl_FERC_Revenue[sales_mwh],tbl_FERC_Revenue[utility_id_ferc1],G$5,tbl_FERC_Revenue[report_year],FercYear,tbl_FERC_Revenue[revenue_type],"sales_to_ultimate_consumers")/SUMIFS(tbl_FERC_Revenue[sales_mwh],tbl_FERC_Revenue[utility_id_ferc1],G$5,tbl_FERC_Revenue[report_year],BaseYear,tbl_FERC_Revenue[revenue_type],"sales_to_ultimate_consumers"))^(1/(FercYear-BaseYear))-1</f>
        <v>1.8007485773088305E-2</v>
      </c>
      <c r="H13" s="130">
        <f>_xlfn.RANK.EQ(C13,C13:G13,0)</f>
        <v>1</v>
      </c>
    </row>
    <row r="14" spans="2:10" x14ac:dyDescent="0.3">
      <c r="B14" t="s">
        <v>431</v>
      </c>
      <c r="C14" s="134">
        <f>(SUMIFS(tbl_FERC_Revenue[sales_mwh],tbl_FERC_Revenue[utility_id_ferc1],C$5,tbl_FERC_Revenue[report_year],FercYear,tbl_FERC_Revenue[revenue_type],"large_or_industrial")/SUMIFS(tbl_FERC_Revenue[sales_mwh],tbl_FERC_Revenue[utility_id_ferc1],C$5,tbl_FERC_Revenue[report_year],BaseYear,tbl_FERC_Revenue[revenue_type],"large_or_industrial"))^(1/(FercYear-BaseYear))-1</f>
        <v>0.1085886412197552</v>
      </c>
      <c r="D14" s="39">
        <f>(SUMIFS(tbl_FERC_Revenue[sales_mwh],tbl_FERC_Revenue[utility_id_ferc1],D$5,tbl_FERC_Revenue[report_year],FercYear,tbl_FERC_Revenue[revenue_type],"large_or_industrial")/SUMIFS(tbl_FERC_Revenue[sales_mwh],tbl_FERC_Revenue[utility_id_ferc1],D$5,tbl_FERC_Revenue[report_year],BaseYear,tbl_FERC_Revenue[revenue_type],"large_or_industrial"))^(1/(FercYear-BaseYear))-1</f>
        <v>-1.9097226670755307E-2</v>
      </c>
      <c r="E14" s="39">
        <f>(SUMIFS(tbl_FERC_Revenue[sales_mwh],tbl_FERC_Revenue[utility_id_ferc1],E$5,tbl_FERC_Revenue[report_year],FercYear,tbl_FERC_Revenue[revenue_type],"large_or_industrial")/SUMIFS(tbl_FERC_Revenue[sales_mwh],tbl_FERC_Revenue[utility_id_ferc1],E$5,tbl_FERC_Revenue[report_year],BaseYear,tbl_FERC_Revenue[revenue_type],"large_or_industrial"))^(1/(FercYear-BaseYear))-1</f>
        <v>-1.8055409980379133E-2</v>
      </c>
      <c r="F14" s="39">
        <f>(SUMIFS(tbl_FERC_Revenue[sales_mwh],tbl_FERC_Revenue[utility_id_ferc1],F$5,tbl_FERC_Revenue[report_year],FercYear,tbl_FERC_Revenue[revenue_type],"large_or_industrial")/SUMIFS(tbl_FERC_Revenue[sales_mwh],tbl_FERC_Revenue[utility_id_ferc1],F$5,tbl_FERC_Revenue[report_year],BaseYear,tbl_FERC_Revenue[revenue_type],"large_or_industrial"))^(1/(FercYear-BaseYear))-1</f>
        <v>2.6527819977373968E-2</v>
      </c>
      <c r="G14" s="39">
        <f>(SUMIFS(tbl_FERC_Revenue[sales_mwh],tbl_FERC_Revenue[utility_id_ferc1],G$5,tbl_FERC_Revenue[report_year],FercYear,tbl_FERC_Revenue[revenue_type],"large_or_industrial")/SUMIFS(tbl_FERC_Revenue[sales_mwh],tbl_FERC_Revenue[utility_id_ferc1],G$5,tbl_FERC_Revenue[report_year],BaseYear,tbl_FERC_Revenue[revenue_type],"large_or_industrial"))^(1/(FercYear-BaseYear))-1</f>
        <v>1.7116589606506638E-2</v>
      </c>
      <c r="H14" s="130">
        <f>_xlfn.RANK.EQ(C14,C14:G14,0)</f>
        <v>1</v>
      </c>
    </row>
    <row r="15" spans="2:10" x14ac:dyDescent="0.3">
      <c r="B15" t="s">
        <v>432</v>
      </c>
      <c r="C15" s="134" cm="1">
        <f t="array" ref="C15">(CPK(SUMIFS(tbl_FERC_Revenue[dollar_value],tbl_FERC_Revenue[utility_id_ferc1],C$5,tbl_FERC_Revenue[report_year],FercYear,tbl_FERC_Revenue[revenue_type],"sales_to_ultimate_consumers"),SUMIFS(tbl_FERC_Revenue[sales_mwh],tbl_FERC_Revenue[utility_id_ferc1],C$5,tbl_FERC_Revenue[report_year],FercYear,tbl_FERC_Revenue[revenue_type],"sales_to_ultimate_consumers"))/CPK(SUMIFS(tbl_FERC_Revenue[dollar_value],tbl_FERC_Revenue[utility_id_ferc1],C$5,tbl_FERC_Revenue[report_year],BaseYear,tbl_FERC_Revenue[revenue_type],"sales_to_ultimate_consumers"),SUMIFS(tbl_FERC_Revenue[sales_mwh],tbl_FERC_Revenue[utility_id_ferc1],C$5,tbl_FERC_Revenue[report_year],BaseYear,tbl_FERC_Revenue[revenue_type],"sales_to_ultimate_consumers")))^(1/(FercYear-BaseYear))-1</f>
        <v>6.2430209963266314E-2</v>
      </c>
      <c r="D15" s="39" cm="1">
        <f t="array" ref="D15">(CPK(SUMIFS(tbl_FERC_Revenue[dollar_value],tbl_FERC_Revenue[utility_id_ferc1],D$5,tbl_FERC_Revenue[report_year],FercYear,tbl_FERC_Revenue[revenue_type],"sales_to_ultimate_consumers"),SUMIFS(tbl_FERC_Revenue[sales_mwh],tbl_FERC_Revenue[utility_id_ferc1],D$5,tbl_FERC_Revenue[report_year],FercYear,tbl_FERC_Revenue[revenue_type],"sales_to_ultimate_consumers"))/CPK(SUMIFS(tbl_FERC_Revenue[dollar_value],tbl_FERC_Revenue[utility_id_ferc1],D$5,tbl_FERC_Revenue[report_year],BaseYear,tbl_FERC_Revenue[revenue_type],"sales_to_ultimate_consumers"),SUMIFS(tbl_FERC_Revenue[sales_mwh],tbl_FERC_Revenue[utility_id_ferc1],D$5,tbl_FERC_Revenue[report_year],BaseYear,tbl_FERC_Revenue[revenue_type],"sales_to_ultimate_consumers")))^(1/(FercYear-BaseYear))-1</f>
        <v>5.5914397718155762E-2</v>
      </c>
      <c r="E15" s="39" cm="1">
        <f t="array" ref="E15">(CPK(SUMIFS(tbl_FERC_Revenue[dollar_value],tbl_FERC_Revenue[utility_id_ferc1],E$5,tbl_FERC_Revenue[report_year],FercYear,tbl_FERC_Revenue[revenue_type],"sales_to_ultimate_consumers"),SUMIFS(tbl_FERC_Revenue[sales_mwh],tbl_FERC_Revenue[utility_id_ferc1],E$5,tbl_FERC_Revenue[report_year],FercYear,tbl_FERC_Revenue[revenue_type],"sales_to_ultimate_consumers"))/CPK(SUMIFS(tbl_FERC_Revenue[dollar_value],tbl_FERC_Revenue[utility_id_ferc1],E$5,tbl_FERC_Revenue[report_year],BaseYear,tbl_FERC_Revenue[revenue_type],"sales_to_ultimate_consumers"),SUMIFS(tbl_FERC_Revenue[sales_mwh],tbl_FERC_Revenue[utility_id_ferc1],E$5,tbl_FERC_Revenue[report_year],BaseYear,tbl_FERC_Revenue[revenue_type],"sales_to_ultimate_consumers")))^(1/(FercYear-BaseYear))-1</f>
        <v>8.2074751677245095E-2</v>
      </c>
      <c r="F15" s="39" cm="1">
        <f t="array" ref="F15">(CPK(SUMIFS(tbl_FERC_Revenue[dollar_value],tbl_FERC_Revenue[utility_id_ferc1],F$5,tbl_FERC_Revenue[report_year],FercYear,tbl_FERC_Revenue[revenue_type],"sales_to_ultimate_consumers"),SUMIFS(tbl_FERC_Revenue[sales_mwh],tbl_FERC_Revenue[utility_id_ferc1],F$5,tbl_FERC_Revenue[report_year],FercYear,tbl_FERC_Revenue[revenue_type],"sales_to_ultimate_consumers"))/CPK(SUMIFS(tbl_FERC_Revenue[dollar_value],tbl_FERC_Revenue[utility_id_ferc1],F$5,tbl_FERC_Revenue[report_year],BaseYear,tbl_FERC_Revenue[revenue_type],"sales_to_ultimate_consumers"),SUMIFS(tbl_FERC_Revenue[sales_mwh],tbl_FERC_Revenue[utility_id_ferc1],F$5,tbl_FERC_Revenue[report_year],BaseYear,tbl_FERC_Revenue[revenue_type],"sales_to_ultimate_consumers")))^(1/(FercYear-BaseYear))-1</f>
        <v>4.2230556349483361E-2</v>
      </c>
      <c r="G15" s="39" cm="1">
        <f t="array" ref="G15">(CPK(SUMIFS(tbl_FERC_Revenue[dollar_value],tbl_FERC_Revenue[utility_id_ferc1],G$5,tbl_FERC_Revenue[report_year],FercYear,tbl_FERC_Revenue[revenue_type],"sales_to_ultimate_consumers"),SUMIFS(tbl_FERC_Revenue[sales_mwh],tbl_FERC_Revenue[utility_id_ferc1],G$5,tbl_FERC_Revenue[report_year],FercYear,tbl_FERC_Revenue[revenue_type],"sales_to_ultimate_consumers"))/CPK(SUMIFS(tbl_FERC_Revenue[dollar_value],tbl_FERC_Revenue[utility_id_ferc1],G$5,tbl_FERC_Revenue[report_year],BaseYear,tbl_FERC_Revenue[revenue_type],"sales_to_ultimate_consumers"),SUMIFS(tbl_FERC_Revenue[sales_mwh],tbl_FERC_Revenue[utility_id_ferc1],G$5,tbl_FERC_Revenue[report_year],BaseYear,tbl_FERC_Revenue[revenue_type],"sales_to_ultimate_consumers")))^(1/(FercYear-BaseYear))-1</f>
        <v>3.5809657502966052E-2</v>
      </c>
      <c r="H15" s="130">
        <f>_xlfn.RANK.EQ(C15,C15:G15,0)</f>
        <v>2</v>
      </c>
    </row>
    <row r="16" spans="2:10" x14ac:dyDescent="0.3">
      <c r="B16" t="s">
        <v>257</v>
      </c>
      <c r="C16" s="135" cm="1">
        <f t="array" ref="C16">SAFEDIV((SUM(SUMIFS(tbl_FERC_Expense[dollar_value],tbl_FERC_Expense[utility_id_ferc1],C$5,tbl_FERC_Expense[report_year],FercYear,tbl_FERC_Expense[expense_type],{"fuel_steam_power_generation","nuclear_fuel_expense","fuel","fuel_other_renewable_generation"}))+SUM(SUMIFS(tbl_FERC_Expense[dollar_value],tbl_FERC_Expense[utility_id_ferc1],C$5,tbl_FERC_Expense[report_year],FercYear,tbl_FERC_Expense[expense_type],{"purchased_power","power_purchased_for_storage_operations","storage_fuel_energy_storage_expense"}))),SUMIFS(tbl_FERC_Revenue[sales_mwh],tbl_FERC_Revenue[utility_id_ferc1],C$5,tbl_FERC_Revenue[report_year],FercYear,tbl_FERC_Revenue[revenue_type],"sales_of_electricity"))</f>
        <v>44.317767650092449</v>
      </c>
      <c r="D16" s="58" cm="1">
        <f t="array" ref="D16">SAFEDIV((SUM(SUMIFS(tbl_FERC_Expense[dollar_value],tbl_FERC_Expense[utility_id_ferc1],D$5,tbl_FERC_Expense[report_year],FercYear,tbl_FERC_Expense[expense_type],{"fuel_steam_power_generation","nuclear_fuel_expense","fuel","fuel_other_renewable_generation"}))+SUM(SUMIFS(tbl_FERC_Expense[dollar_value],tbl_FERC_Expense[utility_id_ferc1],D$5,tbl_FERC_Expense[report_year],FercYear,tbl_FERC_Expense[expense_type],{"purchased_power","power_purchased_for_storage_operations","storage_fuel_energy_storage_expense"}))),SUMIFS(tbl_FERC_Revenue[sales_mwh],tbl_FERC_Revenue[utility_id_ferc1],D$5,tbl_FERC_Revenue[report_year],FercYear,tbl_FERC_Revenue[revenue_type],"sales_of_electricity"))</f>
        <v>46.31778759434895</v>
      </c>
      <c r="E16" s="58" cm="1">
        <f t="array" ref="E16">SAFEDIV((SUM(SUMIFS(tbl_FERC_Expense[dollar_value],tbl_FERC_Expense[utility_id_ferc1],E$5,tbl_FERC_Expense[report_year],FercYear,tbl_FERC_Expense[expense_type],{"fuel_steam_power_generation","nuclear_fuel_expense","fuel","fuel_other_renewable_generation"}))+SUM(SUMIFS(tbl_FERC_Expense[dollar_value],tbl_FERC_Expense[utility_id_ferc1],E$5,tbl_FERC_Expense[report_year],FercYear,tbl_FERC_Expense[expense_type],{"purchased_power","power_purchased_for_storage_operations","storage_fuel_energy_storage_expense"}))),SUMIFS(tbl_FERC_Revenue[sales_mwh],tbl_FERC_Revenue[utility_id_ferc1],E$5,tbl_FERC_Revenue[report_year],FercYear,tbl_FERC_Revenue[revenue_type],"sales_of_electricity"))</f>
        <v>50.202835569538898</v>
      </c>
      <c r="F16" s="58" cm="1">
        <f t="array" ref="F16">SAFEDIV((SUM(SUMIFS(tbl_FERC_Expense[dollar_value],tbl_FERC_Expense[utility_id_ferc1],F$5,tbl_FERC_Expense[report_year],FercYear,tbl_FERC_Expense[expense_type],{"fuel_steam_power_generation","nuclear_fuel_expense","fuel","fuel_other_renewable_generation"}))+SUM(SUMIFS(tbl_FERC_Expense[dollar_value],tbl_FERC_Expense[utility_id_ferc1],F$5,tbl_FERC_Expense[report_year],FercYear,tbl_FERC_Expense[expense_type],{"purchased_power","power_purchased_for_storage_operations","storage_fuel_energy_storage_expense"}))),SUMIFS(tbl_FERC_Revenue[sales_mwh],tbl_FERC_Revenue[utility_id_ferc1],F$5,tbl_FERC_Revenue[report_year],FercYear,tbl_FERC_Revenue[revenue_type],"sales_of_electricity"))</f>
        <v>27.385874046820607</v>
      </c>
      <c r="G16" s="58" cm="1">
        <f t="array" ref="G16">SAFEDIV((SUM(SUMIFS(tbl_FERC_Expense[dollar_value],tbl_FERC_Expense[utility_id_ferc1],G$5,tbl_FERC_Expense[report_year],FercYear,tbl_FERC_Expense[expense_type],{"fuel_steam_power_generation","nuclear_fuel_expense","fuel","fuel_other_renewable_generation"}))+SUM(SUMIFS(tbl_FERC_Expense[dollar_value],tbl_FERC_Expense[utility_id_ferc1],G$5,tbl_FERC_Expense[report_year],FercYear,tbl_FERC_Expense[expense_type],{"purchased_power","power_purchased_for_storage_operations","storage_fuel_energy_storage_expense"}))),SUMIFS(tbl_FERC_Revenue[sales_mwh],tbl_FERC_Revenue[utility_id_ferc1],G$5,tbl_FERC_Revenue[report_year],FercYear,tbl_FERC_Revenue[revenue_type],"sales_of_electricity"))</f>
        <v>33.204499413382329</v>
      </c>
      <c r="H16" s="130">
        <f>_xlfn.RANK.EQ(C16,C16:G16,0)</f>
        <v>3</v>
      </c>
    </row>
    <row r="17" spans="2:8" x14ac:dyDescent="0.3">
      <c r="B17" t="s">
        <v>258</v>
      </c>
      <c r="C17" s="135" cm="1">
        <f t="array" ref="C17">SAFEDIV(SUMIFS(tbl_FERC_Expense[dollar_value],tbl_FERC_Expense[utility_id_ferc1],C$5,tbl_FERC_Expense[report_year],FercYear,tbl_FERC_Expense[expense_type],"operations_and_maintenance_expenses_electric")-(SUM(SUMIFS(tbl_FERC_Expense[dollar_value],tbl_FERC_Expense[utility_id_ferc1],C$5,tbl_FERC_Expense[report_year],FercYear,tbl_FERC_Expense[expense_type],{"fuel_steam_power_generation","nuclear_fuel_expense","fuel","fuel_other_renewable_generation"}))+SUM(SUMIFS(tbl_FERC_Expense[dollar_value],tbl_FERC_Expense[utility_id_ferc1],C$5,tbl_FERC_Expense[report_year],FercYear,tbl_FERC_Expense[expense_type],{"purchased_power","power_purchased_for_storage_operations","storage_fuel_energy_storage_expense"}))),SUMIFS(tbl_FERC_Revenue[avg_customers_per_month],tbl_FERC_Revenue[utility_id_ferc1],C$5,tbl_FERC_Revenue[report_year],FercYear,tbl_FERC_Revenue[revenue_type],"sales_to_ultimate_consumers"))</f>
        <v>1010.4148457496123</v>
      </c>
      <c r="D17" s="58" cm="1">
        <f t="array" ref="D17">SAFEDIV(SUMIFS(tbl_FERC_Expense[dollar_value],tbl_FERC_Expense[utility_id_ferc1],D$5,tbl_FERC_Expense[report_year],FercYear,tbl_FERC_Expense[expense_type],"operations_and_maintenance_expenses_electric")-(SUM(SUMIFS(tbl_FERC_Expense[dollar_value],tbl_FERC_Expense[utility_id_ferc1],D$5,tbl_FERC_Expense[report_year],FercYear,tbl_FERC_Expense[expense_type],{"fuel_steam_power_generation","nuclear_fuel_expense","fuel","fuel_other_renewable_generation"}))+SUM(SUMIFS(tbl_FERC_Expense[dollar_value],tbl_FERC_Expense[utility_id_ferc1],D$5,tbl_FERC_Expense[report_year],FercYear,tbl_FERC_Expense[expense_type],{"purchased_power","power_purchased_for_storage_operations","storage_fuel_energy_storage_expense"}))),SUMIFS(tbl_FERC_Revenue[avg_customers_per_month],tbl_FERC_Revenue[utility_id_ferc1],D$5,tbl_FERC_Revenue[report_year],FercYear,tbl_FERC_Revenue[revenue_type],"sales_to_ultimate_consumers"))</f>
        <v>1005.8380356533651</v>
      </c>
      <c r="E17" s="58" cm="1">
        <f t="array" ref="E17">SAFEDIV(SUMIFS(tbl_FERC_Expense[dollar_value],tbl_FERC_Expense[utility_id_ferc1],E$5,tbl_FERC_Expense[report_year],FercYear,tbl_FERC_Expense[expense_type],"operations_and_maintenance_expenses_electric")-(SUM(SUMIFS(tbl_FERC_Expense[dollar_value],tbl_FERC_Expense[utility_id_ferc1],E$5,tbl_FERC_Expense[report_year],FercYear,tbl_FERC_Expense[expense_type],{"fuel_steam_power_generation","nuclear_fuel_expense","fuel","fuel_other_renewable_generation"}))+SUM(SUMIFS(tbl_FERC_Expense[dollar_value],tbl_FERC_Expense[utility_id_ferc1],E$5,tbl_FERC_Expense[report_year],FercYear,tbl_FERC_Expense[expense_type],{"purchased_power","power_purchased_for_storage_operations","storage_fuel_energy_storage_expense"}))),SUMIFS(tbl_FERC_Revenue[avg_customers_per_month],tbl_FERC_Revenue[utility_id_ferc1],E$5,tbl_FERC_Revenue[report_year],FercYear,tbl_FERC_Revenue[revenue_type],"sales_to_ultimate_consumers"))</f>
        <v>831.49214147188491</v>
      </c>
      <c r="F17" s="58" cm="1">
        <f t="array" ref="F17">SAFEDIV(SUMIFS(tbl_FERC_Expense[dollar_value],tbl_FERC_Expense[utility_id_ferc1],F$5,tbl_FERC_Expense[report_year],FercYear,tbl_FERC_Expense[expense_type],"operations_and_maintenance_expenses_electric")-(SUM(SUMIFS(tbl_FERC_Expense[dollar_value],tbl_FERC_Expense[utility_id_ferc1],F$5,tbl_FERC_Expense[report_year],FercYear,tbl_FERC_Expense[expense_type],{"fuel_steam_power_generation","nuclear_fuel_expense","fuel","fuel_other_renewable_generation"}))+SUM(SUMIFS(tbl_FERC_Expense[dollar_value],tbl_FERC_Expense[utility_id_ferc1],F$5,tbl_FERC_Expense[report_year],FercYear,tbl_FERC_Expense[expense_type],{"purchased_power","power_purchased_for_storage_operations","storage_fuel_energy_storage_expense"}))),SUMIFS(tbl_FERC_Revenue[avg_customers_per_month],tbl_FERC_Revenue[utility_id_ferc1],F$5,tbl_FERC_Revenue[report_year],FercYear,tbl_FERC_Revenue[revenue_type],"sales_to_ultimate_consumers"))</f>
        <v>953.18210221248319</v>
      </c>
      <c r="G17" s="58" cm="1">
        <f t="array" ref="G17">SAFEDIV(SUMIFS(tbl_FERC_Expense[dollar_value],tbl_FERC_Expense[utility_id_ferc1],G$5,tbl_FERC_Expense[report_year],FercYear,tbl_FERC_Expense[expense_type],"operations_and_maintenance_expenses_electric")-(SUM(SUMIFS(tbl_FERC_Expense[dollar_value],tbl_FERC_Expense[utility_id_ferc1],G$5,tbl_FERC_Expense[report_year],FercYear,tbl_FERC_Expense[expense_type],{"fuel_steam_power_generation","nuclear_fuel_expense","fuel","fuel_other_renewable_generation"}))+SUM(SUMIFS(tbl_FERC_Expense[dollar_value],tbl_FERC_Expense[utility_id_ferc1],G$5,tbl_FERC_Expense[report_year],FercYear,tbl_FERC_Expense[expense_type],{"purchased_power","power_purchased_for_storage_operations","storage_fuel_energy_storage_expense"}))),SUMIFS(tbl_FERC_Revenue[avg_customers_per_month],tbl_FERC_Revenue[utility_id_ferc1],G$5,tbl_FERC_Revenue[report_year],FercYear,tbl_FERC_Revenue[revenue_type],"sales_to_ultimate_consumers"))</f>
        <v>820.66816987467689</v>
      </c>
      <c r="H17" s="130">
        <f>_xlfn.RANK.EQ(C17,C17:G17,0)</f>
        <v>1</v>
      </c>
    </row>
    <row r="18" spans="2:8" x14ac:dyDescent="0.3">
      <c r="B18" t="s">
        <v>433</v>
      </c>
      <c r="C18" s="133" cm="1">
        <f t="array" ref="C18">SAFEDIV(SUMIFS(tbl_FERC_Revenue[dollar_value],tbl_FERC_Revenue[utility_id_ferc1],C$5,tbl_FERC_Revenue[report_year],FercYear,tbl_FERC_Revenue[revenue_type],"electric_operating_revenues")-SUMIFS(tbl_FERC_Expense[dollar_value],tbl_FERC_Expense[utility_id_ferc1],C$5,tbl_FERC_Expense[report_year],FercYear,tbl_FERC_Expense[expense_type],"operations_and_maintenance_expenses_electric")-SUM(SUMIFS(tbl_FERC_Income[dollar_value],tbl_FERC_Income[utility_id_ferc1],C$5,tbl_FERC_Income[report_year],FercYear,tbl_FERC_Income[income_type],{"depreciation_expense","depreciation_expense_for_asset_retirement_costs","amortization_and_depletion_of_utility_plant","amortization_of_other_utility_plant"}))-SUMIFS(tbl_FERC_Income[dollar_value],tbl_FERC_Income[utility_id_ferc1],C$5,tbl_FERC_Income[report_year],FercYear,tbl_FERC_Income[income_type],"taxes_other_than_income_taxes_utility_operating_income"),SUMIFS(tbl_FERC_Revenue[dollar_value],tbl_FERC_Revenue[utility_id_ferc1],C$5,tbl_FERC_Revenue[report_year],FercYear,tbl_FERC_Revenue[revenue_type],"electric_operating_revenues"))</f>
        <v>0.15287795659551495</v>
      </c>
      <c r="D18" s="46" cm="1">
        <f t="array" ref="D18">SAFEDIV(SUMIFS(tbl_FERC_Revenue[dollar_value],tbl_FERC_Revenue[utility_id_ferc1],D$5,tbl_FERC_Revenue[report_year],FercYear,tbl_FERC_Revenue[revenue_type],"electric_operating_revenues")-SUMIFS(tbl_FERC_Expense[dollar_value],tbl_FERC_Expense[utility_id_ferc1],D$5,tbl_FERC_Expense[report_year],FercYear,tbl_FERC_Expense[expense_type],"operations_and_maintenance_expenses_electric")-SUM(SUMIFS(tbl_FERC_Income[dollar_value],tbl_FERC_Income[utility_id_ferc1],D$5,tbl_FERC_Income[report_year],FercYear,tbl_FERC_Income[income_type],{"depreciation_expense","depreciation_expense_for_asset_retirement_costs","amortization_and_depletion_of_utility_plant","amortization_of_other_utility_plant"}))-SUMIFS(tbl_FERC_Income[dollar_value],tbl_FERC_Income[utility_id_ferc1],D$5,tbl_FERC_Income[report_year],FercYear,tbl_FERC_Income[income_type],"taxes_other_than_income_taxes_utility_operating_income"),SUMIFS(tbl_FERC_Revenue[dollar_value],tbl_FERC_Revenue[utility_id_ferc1],D$5,tbl_FERC_Revenue[report_year],FercYear,tbl_FERC_Revenue[revenue_type],"electric_operating_revenues"))</f>
        <v>0.11462443479858676</v>
      </c>
      <c r="E18" s="46" cm="1">
        <f t="array" ref="E18">SAFEDIV(SUMIFS(tbl_FERC_Revenue[dollar_value],tbl_FERC_Revenue[utility_id_ferc1],E$5,tbl_FERC_Revenue[report_year],FercYear,tbl_FERC_Revenue[revenue_type],"electric_operating_revenues")-SUMIFS(tbl_FERC_Expense[dollar_value],tbl_FERC_Expense[utility_id_ferc1],E$5,tbl_FERC_Expense[report_year],FercYear,tbl_FERC_Expense[expense_type],"operations_and_maintenance_expenses_electric")-SUM(SUMIFS(tbl_FERC_Income[dollar_value],tbl_FERC_Income[utility_id_ferc1],E$5,tbl_FERC_Income[report_year],FercYear,tbl_FERC_Income[income_type],{"depreciation_expense","depreciation_expense_for_asset_retirement_costs","amortization_and_depletion_of_utility_plant","amortization_of_other_utility_plant"}))-SUMIFS(tbl_FERC_Income[dollar_value],tbl_FERC_Income[utility_id_ferc1],E$5,tbl_FERC_Income[report_year],FercYear,tbl_FERC_Income[income_type],"taxes_other_than_income_taxes_utility_operating_income"),SUMIFS(tbl_FERC_Revenue[dollar_value],tbl_FERC_Revenue[utility_id_ferc1],E$5,tbl_FERC_Revenue[report_year],FercYear,tbl_FERC_Revenue[revenue_type],"electric_operating_revenues"))</f>
        <v>0.12504013111324652</v>
      </c>
      <c r="F18" s="46" cm="1">
        <f t="array" ref="F18">SAFEDIV(SUMIFS(tbl_FERC_Revenue[dollar_value],tbl_FERC_Revenue[utility_id_ferc1],F$5,tbl_FERC_Revenue[report_year],FercYear,tbl_FERC_Revenue[revenue_type],"electric_operating_revenues")-SUMIFS(tbl_FERC_Expense[dollar_value],tbl_FERC_Expense[utility_id_ferc1],F$5,tbl_FERC_Expense[report_year],FercYear,tbl_FERC_Expense[expense_type],"operations_and_maintenance_expenses_electric")-SUM(SUMIFS(tbl_FERC_Income[dollar_value],tbl_FERC_Income[utility_id_ferc1],F$5,tbl_FERC_Income[report_year],FercYear,tbl_FERC_Income[income_type],{"depreciation_expense","depreciation_expense_for_asset_retirement_costs","amortization_and_depletion_of_utility_plant","amortization_of_other_utility_plant"}))-SUMIFS(tbl_FERC_Income[dollar_value],tbl_FERC_Income[utility_id_ferc1],F$5,tbl_FERC_Income[report_year],FercYear,tbl_FERC_Income[income_type],"taxes_other_than_income_taxes_utility_operating_income"),SUMIFS(tbl_FERC_Revenue[dollar_value],tbl_FERC_Revenue[utility_id_ferc1],F$5,tbl_FERC_Revenue[report_year],FercYear,tbl_FERC_Revenue[revenue_type],"electric_operating_revenues"))</f>
        <v>0.19161225816555821</v>
      </c>
      <c r="G18" s="46" cm="1">
        <f t="array" ref="G18">SAFEDIV(SUMIFS(tbl_FERC_Revenue[dollar_value],tbl_FERC_Revenue[utility_id_ferc1],G$5,tbl_FERC_Revenue[report_year],FercYear,tbl_FERC_Revenue[revenue_type],"electric_operating_revenues")-SUMIFS(tbl_FERC_Expense[dollar_value],tbl_FERC_Expense[utility_id_ferc1],G$5,tbl_FERC_Expense[report_year],FercYear,tbl_FERC_Expense[expense_type],"operations_and_maintenance_expenses_electric")-SUM(SUMIFS(tbl_FERC_Income[dollar_value],tbl_FERC_Income[utility_id_ferc1],G$5,tbl_FERC_Income[report_year],FercYear,tbl_FERC_Income[income_type],{"depreciation_expense","depreciation_expense_for_asset_retirement_costs","amortization_and_depletion_of_utility_plant","amortization_of_other_utility_plant"}))-SUMIFS(tbl_FERC_Income[dollar_value],tbl_FERC_Income[utility_id_ferc1],G$5,tbl_FERC_Income[report_year],FercYear,tbl_FERC_Income[income_type],"taxes_other_than_income_taxes_utility_operating_income"),SUMIFS(tbl_FERC_Revenue[dollar_value],tbl_FERC_Revenue[utility_id_ferc1],G$5,tbl_FERC_Revenue[report_year],FercYear,tbl_FERC_Revenue[revenue_type],"electric_operating_revenues"))</f>
        <v>0.1976188191871299</v>
      </c>
      <c r="H18" s="130">
        <f>_xlfn.RANK.EQ(C18,C18:G18,0)</f>
        <v>3</v>
      </c>
    </row>
  </sheetData>
  <mergeCells count="1">
    <mergeCell ref="B2:J2"/>
  </mergeCells>
  <printOptions horizontalCentered="1"/>
  <pageMargins left="0.35" right="0.35" top="0.44999999999999996" bottom="0.5" header="0.3" footer="0.2"/>
  <pageSetup scale="96" orientation="landscape" r:id="rId1"/>
  <headerFooter>
    <oddFooter>&amp;C&amp;8&amp;A&amp;L&amp;8Portland General Electric utility FP&amp;&amp;A model · public data (EIA, FERC via PUDL, NOAA)&amp;R&amp;8Page &amp;P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B5F88-5472-4A00-A4CF-2D5A19852660}">
  <sheetPr>
    <tabColor rgb="FF0F766E"/>
  </sheetPr>
  <dimension ref="B1:L33"/>
  <sheetViews>
    <sheetView showGridLines="0" zoomScale="90" zoomScaleNormal="90" workbookViewId="0"/>
  </sheetViews>
  <sheetFormatPr defaultRowHeight="13" x14ac:dyDescent="0.3"/>
  <cols>
    <col min="1" max="1" width="2.69921875" customWidth="1"/>
    <col min="2" max="2" width="18.69921875" customWidth="1"/>
    <col min="3" max="9" width="14.69921875" customWidth="1"/>
  </cols>
  <sheetData>
    <row r="1" spans="2:12" ht="30" customHeight="1" x14ac:dyDescent="0.55000000000000004">
      <c r="B1" s="1" t="s">
        <v>434</v>
      </c>
    </row>
    <row r="2" spans="2:12" ht="28" customHeight="1" x14ac:dyDescent="0.3">
      <c r="B2" s="32" t="s">
        <v>435</v>
      </c>
      <c r="C2" s="32"/>
      <c r="D2" s="32"/>
      <c r="E2" s="32"/>
      <c r="F2" s="32"/>
      <c r="G2" s="32"/>
      <c r="H2" s="32"/>
      <c r="I2" s="32"/>
      <c r="J2" s="32"/>
      <c r="K2" s="32"/>
      <c r="L2" s="32"/>
    </row>
    <row r="4" spans="2:12" ht="18" customHeight="1" x14ac:dyDescent="0.3">
      <c r="B4" s="7" t="s">
        <v>436</v>
      </c>
      <c r="C4" s="7"/>
      <c r="D4" s="7"/>
      <c r="E4" s="7"/>
      <c r="F4" s="7"/>
      <c r="G4" s="7"/>
      <c r="H4" s="7"/>
      <c r="I4" s="7"/>
      <c r="J4" s="7"/>
      <c r="K4" s="7"/>
      <c r="L4" s="7"/>
    </row>
    <row r="16" spans="2:12" x14ac:dyDescent="0.3">
      <c r="B16" s="26" t="s">
        <v>208</v>
      </c>
      <c r="C16" t="s">
        <v>209</v>
      </c>
      <c r="D16" t="s">
        <v>210</v>
      </c>
      <c r="E16" t="s">
        <v>211</v>
      </c>
      <c r="F16" t="s">
        <v>212</v>
      </c>
      <c r="G16" t="s">
        <v>213</v>
      </c>
      <c r="H16" t="s">
        <v>214</v>
      </c>
    </row>
    <row r="17" spans="2:12" x14ac:dyDescent="0.3">
      <c r="B17" t="s">
        <v>96</v>
      </c>
      <c r="C17" s="27">
        <v>474305106</v>
      </c>
      <c r="D17" s="28">
        <v>1.2285271698539799E-2</v>
      </c>
      <c r="E17" s="29">
        <v>3100530.4840000002</v>
      </c>
      <c r="F17" s="28">
        <v>-1.6700539834531982E-2</v>
      </c>
      <c r="G17" s="30">
        <v>15.297546934229723</v>
      </c>
      <c r="H17" s="29">
        <v>110443.33333333333</v>
      </c>
    </row>
    <row r="18" spans="2:12" x14ac:dyDescent="0.3">
      <c r="B18" t="s">
        <v>98</v>
      </c>
      <c r="C18" s="27">
        <v>299820792</v>
      </c>
      <c r="D18" s="28">
        <v>0.14964436618883914</v>
      </c>
      <c r="E18" s="29">
        <v>3177473.0929999999</v>
      </c>
      <c r="F18" s="28">
        <v>0.12163368784720339</v>
      </c>
      <c r="G18" s="30">
        <v>9.435824733197828</v>
      </c>
      <c r="H18" s="29">
        <v>4309.333333333333</v>
      </c>
    </row>
    <row r="19" spans="2:12" x14ac:dyDescent="0.3">
      <c r="B19" t="s">
        <v>93</v>
      </c>
      <c r="C19" s="27">
        <v>695144762</v>
      </c>
      <c r="D19" s="28">
        <v>-2.4075305121016948E-2</v>
      </c>
      <c r="E19" s="29">
        <v>3677698.2179999999</v>
      </c>
      <c r="F19" s="28">
        <v>-3.1484413904342069E-2</v>
      </c>
      <c r="G19" s="30">
        <v>18.90162598436455</v>
      </c>
      <c r="H19" s="29">
        <v>845925.66666666663</v>
      </c>
    </row>
    <row r="20" spans="2:12" x14ac:dyDescent="0.3">
      <c r="B20" t="s">
        <v>101</v>
      </c>
      <c r="C20" s="27">
        <v>691495</v>
      </c>
      <c r="D20" s="28">
        <v>-5.0055499689531442E-2</v>
      </c>
      <c r="E20" s="29">
        <v>5240.7759999999998</v>
      </c>
      <c r="F20" s="28">
        <v>-7.631194953744011E-2</v>
      </c>
      <c r="G20" s="30">
        <v>13.194515468701582</v>
      </c>
      <c r="H20" s="29">
        <v>1</v>
      </c>
    </row>
    <row r="21" spans="2:12" x14ac:dyDescent="0.3">
      <c r="B21" t="s">
        <v>207</v>
      </c>
      <c r="C21" s="27">
        <v>1469962155</v>
      </c>
      <c r="D21" s="28">
        <v>1.91335399746572E-2</v>
      </c>
      <c r="E21" s="29">
        <v>9960942.5710000005</v>
      </c>
      <c r="F21" s="28">
        <v>1.7563415802094026E-2</v>
      </c>
      <c r="G21" s="30">
        <v>14.757259611952842</v>
      </c>
      <c r="H21" s="29">
        <v>960679.33333333337</v>
      </c>
    </row>
    <row r="26" spans="2:12" ht="18" customHeight="1" x14ac:dyDescent="0.3">
      <c r="B26" s="7" t="s">
        <v>437</v>
      </c>
      <c r="C26" s="7"/>
      <c r="D26" s="7"/>
      <c r="E26" s="7"/>
      <c r="F26" s="7"/>
      <c r="G26" s="7"/>
      <c r="H26" s="7"/>
      <c r="I26" s="7"/>
      <c r="J26" s="7"/>
      <c r="K26" s="7"/>
      <c r="L26" s="7"/>
    </row>
    <row r="27" spans="2:12" ht="26" x14ac:dyDescent="0.3">
      <c r="B27" s="64" t="s">
        <v>208</v>
      </c>
      <c r="C27" s="136">
        <f>FiscalYear-3</f>
        <v>2023</v>
      </c>
      <c r="D27" s="136">
        <f>FiscalYear-2</f>
        <v>2024</v>
      </c>
      <c r="E27" s="136">
        <f>FiscalYear-1</f>
        <v>2025</v>
      </c>
      <c r="F27" s="137">
        <f>FiscalYear</f>
        <v>2026</v>
      </c>
      <c r="G27" s="65" t="s">
        <v>438</v>
      </c>
      <c r="H27" s="65" t="s">
        <v>439</v>
      </c>
      <c r="I27" s="65" t="s">
        <v>440</v>
      </c>
    </row>
    <row r="28" spans="2:12" x14ac:dyDescent="0.3">
      <c r="B28" t="s">
        <v>93</v>
      </c>
      <c r="C28" s="54" vm="17">
        <f t="shared" ref="C28:F31" si="0">CUBEVALUE("ThisWorkbookDataModel","[Measures].[Retail Revenue]","[Class].[label].&amp;["&amp;$B28&amp;"]","[Calendar].[year].&amp;["&amp;C$27&amp;"]")</f>
        <v>1208401408</v>
      </c>
      <c r="D28" s="54" vm="9">
        <f t="shared" si="0"/>
        <v>1406370637</v>
      </c>
      <c r="E28" s="54" vm="22">
        <f t="shared" si="0"/>
        <v>1427684968</v>
      </c>
      <c r="F28" s="54" vm="24">
        <f t="shared" si="0"/>
        <v>695144762</v>
      </c>
      <c r="G28" s="39" vm="1">
        <f>CUBEVALUE("ThisWorkbookDataModel","[Measures].[Revenue YoY %]","[Class].[label].&amp;["&amp;$B28&amp;"]","[Calendar].[year].&amp;["&amp;FiscalYear&amp;"]")</f>
        <v>-2.4075305121016948E-2</v>
      </c>
      <c r="H28" s="39" cm="1">
        <f t="array" ref="H28">SAFEDIV(SUMIFS(tbl_Monthly[revenue],tbl_Monthly[class],LOWER($B28),tbl_Monthly[month],"&gt;="&amp;FYStart,tbl_Monthly[month],"&lt;="&amp;AsOfMonth)-SUMIFS(tbl_Monthly[revenue],tbl_Monthly[class],LOWER($B28),tbl_Monthly[month],"&gt;="&amp;EDATE(FYStart,-12),tbl_Monthly[month],"&lt;="&amp;EDATE(AsOfMonth,-12)),SUMIFS(tbl_Monthly[revenue],tbl_Monthly[class],LOWER($B28),tbl_Monthly[month],"&gt;="&amp;EDATE(FYStart,-12),tbl_Monthly[month],"&lt;="&amp;EDATE(AsOfMonth,-12)))</f>
        <v>-2.4075305121016948E-2</v>
      </c>
      <c r="I28" s="138" t="str">
        <f t="shared" ref="I28:I32" si="1">IF(ABS(G28-H28)&lt;0.000001,"Yes","No")</f>
        <v>Yes</v>
      </c>
    </row>
    <row r="29" spans="2:12" x14ac:dyDescent="0.3">
      <c r="B29" t="s">
        <v>96</v>
      </c>
      <c r="C29" s="54" vm="21">
        <f t="shared" si="0"/>
        <v>780087497</v>
      </c>
      <c r="D29" s="54" vm="10">
        <f t="shared" si="0"/>
        <v>892382285</v>
      </c>
      <c r="E29" s="54" vm="14">
        <f t="shared" si="0"/>
        <v>945174603</v>
      </c>
      <c r="F29" s="54" vm="13">
        <f t="shared" si="0"/>
        <v>474305106</v>
      </c>
      <c r="G29" s="39" vm="3">
        <f>CUBEVALUE("ThisWorkbookDataModel","[Measures].[Revenue YoY %]","[Class].[label].&amp;["&amp;$B29&amp;"]","[Calendar].[year].&amp;["&amp;FiscalYear&amp;"]")</f>
        <v>1.2285271698539799E-2</v>
      </c>
      <c r="H29" s="39" cm="1">
        <f t="array" ref="H29">SAFEDIV(SUMIFS(tbl_Monthly[revenue],tbl_Monthly[class],LOWER($B29),tbl_Monthly[month],"&gt;="&amp;FYStart,tbl_Monthly[month],"&lt;="&amp;AsOfMonth)-SUMIFS(tbl_Monthly[revenue],tbl_Monthly[class],LOWER($B29),tbl_Monthly[month],"&gt;="&amp;EDATE(FYStart,-12),tbl_Monthly[month],"&lt;="&amp;EDATE(AsOfMonth,-12)),SUMIFS(tbl_Monthly[revenue],tbl_Monthly[class],LOWER($B29),tbl_Monthly[month],"&gt;="&amp;EDATE(FYStart,-12),tbl_Monthly[month],"&lt;="&amp;EDATE(AsOfMonth,-12)))</f>
        <v>1.2285271698539799E-2</v>
      </c>
      <c r="I29" s="138" t="str">
        <f t="shared" si="1"/>
        <v>Yes</v>
      </c>
    </row>
    <row r="30" spans="2:12" x14ac:dyDescent="0.3">
      <c r="B30" t="s">
        <v>98</v>
      </c>
      <c r="C30" s="54" vm="23">
        <f t="shared" si="0"/>
        <v>364336313</v>
      </c>
      <c r="D30" s="54" vm="25">
        <f t="shared" si="0"/>
        <v>451098509</v>
      </c>
      <c r="E30" s="54" vm="8">
        <f t="shared" si="0"/>
        <v>553919872</v>
      </c>
      <c r="F30" s="54" vm="16">
        <f t="shared" si="0"/>
        <v>299820792</v>
      </c>
      <c r="G30" s="39" vm="5">
        <f>CUBEVALUE("ThisWorkbookDataModel","[Measures].[Revenue YoY %]","[Class].[label].&amp;["&amp;$B30&amp;"]","[Calendar].[year].&amp;["&amp;FiscalYear&amp;"]")</f>
        <v>0.14964436618883914</v>
      </c>
      <c r="H30" s="39" cm="1">
        <f t="array" ref="H30">SAFEDIV(SUMIFS(tbl_Monthly[revenue],tbl_Monthly[class],LOWER($B30),tbl_Monthly[month],"&gt;="&amp;FYStart,tbl_Monthly[month],"&lt;="&amp;AsOfMonth)-SUMIFS(tbl_Monthly[revenue],tbl_Monthly[class],LOWER($B30),tbl_Monthly[month],"&gt;="&amp;EDATE(FYStart,-12),tbl_Monthly[month],"&lt;="&amp;EDATE(AsOfMonth,-12)),SUMIFS(tbl_Monthly[revenue],tbl_Monthly[class],LOWER($B30),tbl_Monthly[month],"&gt;="&amp;EDATE(FYStart,-12),tbl_Monthly[month],"&lt;="&amp;EDATE(AsOfMonth,-12)))</f>
        <v>0.14964436618883914</v>
      </c>
      <c r="I30" s="138" t="str">
        <f t="shared" si="1"/>
        <v>Yes</v>
      </c>
    </row>
    <row r="31" spans="2:12" x14ac:dyDescent="0.3">
      <c r="B31" t="s">
        <v>101</v>
      </c>
      <c r="C31" s="54" vm="12">
        <f t="shared" si="0"/>
        <v>1004507</v>
      </c>
      <c r="D31" s="54" vm="6">
        <f t="shared" si="0"/>
        <v>1230471</v>
      </c>
      <c r="E31" s="54" vm="11">
        <f t="shared" si="0"/>
        <v>1400507</v>
      </c>
      <c r="F31" s="54" vm="18">
        <f t="shared" si="0"/>
        <v>691495</v>
      </c>
      <c r="G31" s="39" vm="4">
        <f>CUBEVALUE("ThisWorkbookDataModel","[Measures].[Revenue YoY %]","[Class].[label].&amp;["&amp;$B31&amp;"]","[Calendar].[year].&amp;["&amp;FiscalYear&amp;"]")</f>
        <v>-5.0055499689531442E-2</v>
      </c>
      <c r="H31" s="39" cm="1">
        <f t="array" ref="H31">SAFEDIV(SUMIFS(tbl_Monthly[revenue],tbl_Monthly[class],LOWER($B31),tbl_Monthly[month],"&gt;="&amp;FYStart,tbl_Monthly[month],"&lt;="&amp;AsOfMonth)-SUMIFS(tbl_Monthly[revenue],tbl_Monthly[class],LOWER($B31),tbl_Monthly[month],"&gt;="&amp;EDATE(FYStart,-12),tbl_Monthly[month],"&lt;="&amp;EDATE(AsOfMonth,-12)),SUMIFS(tbl_Monthly[revenue],tbl_Monthly[class],LOWER($B31),tbl_Monthly[month],"&gt;="&amp;EDATE(FYStart,-12),tbl_Monthly[month],"&lt;="&amp;EDATE(AsOfMonth,-12)))</f>
        <v>-5.0055499689531442E-2</v>
      </c>
      <c r="I31" s="138" t="str">
        <f t="shared" si="1"/>
        <v>Yes</v>
      </c>
    </row>
    <row r="32" spans="2:12" ht="13.5" thickBot="1" x14ac:dyDescent="0.35">
      <c r="B32" s="50" t="s">
        <v>207</v>
      </c>
      <c r="C32" s="70" vm="15">
        <f t="shared" ref="C32:F32" si="2">CUBEVALUE("ThisWorkbookDataModel","[Measures].[Retail Revenue]","[Calendar].[year].&amp;["&amp;C$27&amp;"]")</f>
        <v>2353829725</v>
      </c>
      <c r="D32" s="70" vm="7">
        <f t="shared" si="2"/>
        <v>2751081902</v>
      </c>
      <c r="E32" s="70" vm="20">
        <f t="shared" si="2"/>
        <v>2928179950</v>
      </c>
      <c r="F32" s="70" vm="19">
        <f t="shared" si="2"/>
        <v>1469962155</v>
      </c>
      <c r="G32" s="52" vm="2">
        <f>CUBEVALUE("ThisWorkbookDataModel","[Measures].[Revenue YoY %]","[Calendar].[year].&amp;["&amp;FiscalYear&amp;"]")</f>
        <v>1.91335399746572E-2</v>
      </c>
      <c r="H32" s="52" cm="1">
        <f t="array" ref="H32">SAFEDIV(SUM(SUMIFS(tbl_Monthly[revenue],tbl_Monthly[class],tbl_Class[class],tbl_Monthly[month],"&gt;="&amp;FYStart,tbl_Monthly[month],"&lt;="&amp;AsOfMonth))-SUM(SUMIFS(tbl_Monthly[revenue],tbl_Monthly[class],tbl_Class[class],tbl_Monthly[month],"&gt;="&amp;EDATE(FYStart,-12),tbl_Monthly[month],"&lt;="&amp;EDATE(AsOfMonth,-12))),SUM(SUMIFS(tbl_Monthly[revenue],tbl_Monthly[class],tbl_Class[class],tbl_Monthly[month],"&gt;="&amp;EDATE(FYStart,-12),tbl_Monthly[month],"&lt;="&amp;EDATE(AsOfMonth,-12))))</f>
        <v>1.91335399746572E-2</v>
      </c>
      <c r="I32" s="140" t="str">
        <f t="shared" si="1"/>
        <v>Yes</v>
      </c>
    </row>
    <row r="33" ht="13.5" thickTop="1" x14ac:dyDescent="0.3"/>
  </sheetData>
  <mergeCells count="1">
    <mergeCell ref="B2:L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B180-F82C-4256-8BB8-F6D52CF13CC5}">
  <sheetPr>
    <tabColor rgb="FF1E7B34"/>
    <pageSetUpPr fitToPage="1"/>
  </sheetPr>
  <dimension ref="B1:I45"/>
  <sheetViews>
    <sheetView showGridLines="0" zoomScale="90" zoomScaleNormal="90" workbookViewId="0"/>
  </sheetViews>
  <sheetFormatPr defaultRowHeight="13" x14ac:dyDescent="0.3"/>
  <cols>
    <col min="1" max="1" width="2.69921875" customWidth="1"/>
    <col min="2" max="2" width="5.69921875" customWidth="1"/>
    <col min="3" max="3" width="54.69921875" customWidth="1"/>
    <col min="4" max="6" width="16.69921875" customWidth="1"/>
    <col min="7" max="7" width="10.69921875" customWidth="1"/>
    <col min="8" max="8" width="9.69921875" customWidth="1"/>
    <col min="9" max="9" width="64.69921875" customWidth="1"/>
  </cols>
  <sheetData>
    <row r="1" spans="2:9" ht="30" customHeight="1" x14ac:dyDescent="0.55000000000000004">
      <c r="B1" s="1" t="s">
        <v>441</v>
      </c>
    </row>
    <row r="2" spans="2:9" ht="16" x14ac:dyDescent="0.4">
      <c r="B2" s="143" t="str">
        <f>IF(COUNTIF(H6:H36,"FAIL")=0,"All "&amp;COUNTA(H6:H36)&amp;" checks pass",COUNTIF(H6:H36,"FAIL")&amp;" of "&amp;COUNTA(H6:H36)&amp;" checks fail: see column H")</f>
        <v>All 31 checks pass</v>
      </c>
    </row>
    <row r="4" spans="2:9" ht="18" customHeight="1" x14ac:dyDescent="0.3">
      <c r="B4" s="7" t="s">
        <v>442</v>
      </c>
      <c r="C4" s="7"/>
      <c r="D4" s="7"/>
      <c r="E4" s="7"/>
      <c r="F4" s="7"/>
      <c r="G4" s="7"/>
      <c r="H4" s="7"/>
      <c r="I4" s="7"/>
    </row>
    <row r="5" spans="2:9" ht="26" x14ac:dyDescent="0.3">
      <c r="B5" s="64" t="s">
        <v>443</v>
      </c>
      <c r="C5" s="66" t="s">
        <v>358</v>
      </c>
      <c r="D5" s="65" t="s">
        <v>444</v>
      </c>
      <c r="E5" s="65" t="s">
        <v>360</v>
      </c>
      <c r="F5" s="65" t="s">
        <v>290</v>
      </c>
      <c r="G5" s="65" t="s">
        <v>445</v>
      </c>
      <c r="H5" s="65" t="s">
        <v>446</v>
      </c>
      <c r="I5" s="66" t="s">
        <v>447</v>
      </c>
    </row>
    <row r="6" spans="2:9" x14ac:dyDescent="0.3">
      <c r="B6" s="2">
        <v>1</v>
      </c>
      <c r="C6" t="s">
        <v>448</v>
      </c>
      <c r="D6" s="141" cm="1">
        <f t="array" ref="D6">ctrl_eia_rows</f>
        <v>114</v>
      </c>
      <c r="E6" s="141">
        <f>ROWS(tbl_EIA[])</f>
        <v>114</v>
      </c>
      <c r="F6" s="141">
        <f>E6-D6</f>
        <v>0</v>
      </c>
      <c r="G6" s="142">
        <f>Tol</f>
        <v>0.01</v>
      </c>
      <c r="H6" s="139" t="str">
        <f>IF(ISERROR(F6),"FAIL",IF(ABS(F6)&lt;=G6,"PASS","FAIL"))</f>
        <v>PASS</v>
      </c>
      <c r="I6" s="2" t="s">
        <v>449</v>
      </c>
    </row>
    <row r="7" spans="2:9" x14ac:dyDescent="0.3">
      <c r="B7" s="2">
        <v>2</v>
      </c>
      <c r="C7" t="s">
        <v>450</v>
      </c>
      <c r="D7" s="141" cm="1">
        <f t="array" ref="D7">ctrl_eia_mwh</f>
        <v>175214498.36399999</v>
      </c>
      <c r="E7" s="141">
        <f>SUM(tbl_EIA[total_mwh])</f>
        <v>175214498.36399996</v>
      </c>
      <c r="F7" s="141">
        <f>E7-D7</f>
        <v>0</v>
      </c>
      <c r="G7" s="142">
        <f>Tol</f>
        <v>0.01</v>
      </c>
      <c r="H7" s="139" t="str">
        <f>IF(ISERROR(F7),"FAIL",IF(ABS(F7)&lt;=G7,"PASS","FAIL"))</f>
        <v>PASS</v>
      </c>
      <c r="I7" s="2"/>
    </row>
    <row r="8" spans="2:9" x14ac:dyDescent="0.3">
      <c r="B8" s="2">
        <v>3</v>
      </c>
      <c r="C8" t="s">
        <v>451</v>
      </c>
      <c r="D8" s="141" cm="1">
        <f t="array" ref="D8">ctrl_eia_revenue_k</f>
        <v>20607177.125999998</v>
      </c>
      <c r="E8" s="141">
        <f>SUM(tbl_EIA[total_revenue_k])</f>
        <v>20607177.126000006</v>
      </c>
      <c r="F8" s="141">
        <f>E8-D8</f>
        <v>0</v>
      </c>
      <c r="G8" s="142">
        <f>Tol</f>
        <v>0.01</v>
      </c>
      <c r="H8" s="139" t="str">
        <f>IF(ISERROR(F8),"FAIL",IF(ABS(F8)&lt;=G8,"PASS","FAIL"))</f>
        <v>PASS</v>
      </c>
      <c r="I8" s="2"/>
    </row>
    <row r="9" spans="2:9" x14ac:dyDescent="0.3">
      <c r="B9" s="2">
        <v>4</v>
      </c>
      <c r="C9" t="s">
        <v>452</v>
      </c>
      <c r="D9" s="141">
        <f>DATEDIF(DATE(MIN(tbl_EIA[year]),1,1),AsOfMonth,"m")+1</f>
        <v>114</v>
      </c>
      <c r="E9" s="141">
        <f>ROWS(tbl_EIA[])</f>
        <v>114</v>
      </c>
      <c r="F9" s="141">
        <f>E9-D9</f>
        <v>0</v>
      </c>
      <c r="G9" s="142">
        <f>Tol</f>
        <v>0.01</v>
      </c>
      <c r="H9" s="139" t="str">
        <f>IF(ISERROR(F9),"FAIL",IF(ABS(F9)&lt;=G9,"PASS","FAIL"))</f>
        <v>PASS</v>
      </c>
      <c r="I9" s="2" t="s">
        <v>453</v>
      </c>
    </row>
    <row r="10" spans="2:9" x14ac:dyDescent="0.3">
      <c r="B10" s="2">
        <v>5</v>
      </c>
      <c r="C10" t="s">
        <v>454</v>
      </c>
      <c r="D10" s="141">
        <f>0</f>
        <v>0</v>
      </c>
      <c r="E10" s="141" cm="1">
        <f t="array" ref="E10">SUMPRODUCT(ABS(tbl_EIA[residential_revenue_k]+tbl_EIA[commercial_revenue_k]+tbl_EIA[industrial_revenue_k]+tbl_EIA[transportation_revenue_k]-tbl_EIA[total_revenue_k]))</f>
        <v>1.1204974725842476E-9</v>
      </c>
      <c r="F10" s="141">
        <f>E10-D10</f>
        <v>1.1204974725842476E-9</v>
      </c>
      <c r="G10" s="142">
        <f>Tol</f>
        <v>0.01</v>
      </c>
      <c r="H10" s="139" t="str">
        <f>IF(ISERROR(F10),"FAIL",IF(ABS(F10)&lt;=G10,"PASS","FAIL"))</f>
        <v>PASS</v>
      </c>
      <c r="I10" s="2" t="s">
        <v>455</v>
      </c>
    </row>
    <row r="11" spans="2:9" x14ac:dyDescent="0.3">
      <c r="B11" s="2">
        <v>6</v>
      </c>
      <c r="C11" t="s">
        <v>456</v>
      </c>
      <c r="D11" s="141">
        <f>0</f>
        <v>0</v>
      </c>
      <c r="E11" s="141" cm="1">
        <f t="array" ref="E11">SUMPRODUCT(ABS(tbl_EIA[residential_mwh]+tbl_EIA[commercial_mwh]+tbl_EIA[industrial_mwh]+tbl_EIA[transportation_mwh]-tbl_EIA[total_mwh]))</f>
        <v>1.0011717677116394E-8</v>
      </c>
      <c r="F11" s="141">
        <f>E11-D11</f>
        <v>1.0011717677116394E-8</v>
      </c>
      <c r="G11" s="142">
        <f>Tol</f>
        <v>0.01</v>
      </c>
      <c r="H11" s="139" t="str">
        <f>IF(ISERROR(F11),"FAIL",IF(ABS(F11)&lt;=G11,"PASS","FAIL"))</f>
        <v>PASS</v>
      </c>
      <c r="I11" s="2"/>
    </row>
    <row r="12" spans="2:9" x14ac:dyDescent="0.3">
      <c r="B12" s="2">
        <v>7</v>
      </c>
      <c r="C12" t="s">
        <v>457</v>
      </c>
      <c r="D12" s="141">
        <f>ROWS(tbl_EIA[])*4</f>
        <v>456</v>
      </c>
      <c r="E12" s="141">
        <f>ROWS(tbl_Monthly[])</f>
        <v>456</v>
      </c>
      <c r="F12" s="141">
        <f>E12-D12</f>
        <v>0</v>
      </c>
      <c r="G12" s="142">
        <f>Tol</f>
        <v>0.01</v>
      </c>
      <c r="H12" s="139" t="str">
        <f>IF(ISERROR(F12),"FAIL",IF(ABS(F12)&lt;=G12,"PASS","FAIL"))</f>
        <v>PASS</v>
      </c>
      <c r="I12" s="2" t="s">
        <v>458</v>
      </c>
    </row>
    <row r="13" spans="2:9" x14ac:dyDescent="0.3">
      <c r="B13" s="2">
        <v>8</v>
      </c>
      <c r="C13" t="s">
        <v>459</v>
      </c>
      <c r="D13" s="141">
        <f>SUM(tbl_EIA[total_revenue_k])*1000</f>
        <v>20607177126.000008</v>
      </c>
      <c r="E13" s="141">
        <f>SUM(tbl_Monthly[revenue])</f>
        <v>20607177126</v>
      </c>
      <c r="F13" s="141">
        <f>E13-D13</f>
        <v>0</v>
      </c>
      <c r="G13" s="142">
        <f>Tol</f>
        <v>0.01</v>
      </c>
      <c r="H13" s="139" t="str">
        <f>IF(ISERROR(F13),"FAIL",IF(ABS(F13)&lt;=G13,"PASS","FAIL"))</f>
        <v>PASS</v>
      </c>
      <c r="I13" s="2"/>
    </row>
    <row r="14" spans="2:9" x14ac:dyDescent="0.3">
      <c r="B14" s="2">
        <v>9</v>
      </c>
      <c r="C14" t="s">
        <v>460</v>
      </c>
      <c r="D14" s="141" cm="1">
        <f t="array" ref="D14">ctrl_noaa_lines</f>
        <v>40</v>
      </c>
      <c r="E14" s="141">
        <f>ROWS(tbl_NOAA[])</f>
        <v>40</v>
      </c>
      <c r="F14" s="141">
        <f>E14-D14</f>
        <v>0</v>
      </c>
      <c r="G14" s="142">
        <f>Tol</f>
        <v>0.01</v>
      </c>
      <c r="H14" s="139" t="str">
        <f>IF(ISERROR(F14),"FAIL",IF(ABS(F14)&lt;=G14,"PASS","FAIL"))</f>
        <v>PASS</v>
      </c>
      <c r="I14" s="2"/>
    </row>
    <row r="15" spans="2:9" x14ac:dyDescent="0.3">
      <c r="B15" s="2">
        <v>10</v>
      </c>
      <c r="C15" t="s">
        <v>461</v>
      </c>
      <c r="D15" s="141">
        <f>DATEDIF(MIN(tbl_Weather[month]),MAX(tbl_Weather[month]),"m")+1</f>
        <v>236</v>
      </c>
      <c r="E15" s="141">
        <f>ROWS(tbl_Weather[])</f>
        <v>236</v>
      </c>
      <c r="F15" s="141">
        <f>E15-D15</f>
        <v>0</v>
      </c>
      <c r="G15" s="142">
        <f>Tol</f>
        <v>0.01</v>
      </c>
      <c r="H15" s="139" t="str">
        <f>IF(ISERROR(F15),"FAIL",IF(ABS(F15)&lt;=G15,"PASS","FAIL"))</f>
        <v>PASS</v>
      </c>
      <c r="I15" s="2" t="s">
        <v>462</v>
      </c>
    </row>
    <row r="16" spans="2:9" x14ac:dyDescent="0.3">
      <c r="B16" s="2">
        <v>11</v>
      </c>
      <c r="C16" t="s">
        <v>463</v>
      </c>
      <c r="D16" s="141" cm="1">
        <f t="array" ref="D16">ctrl_ferc_rows</f>
        <v>1706</v>
      </c>
      <c r="E16" s="141">
        <f>ROWS(tbl_FERC_Revenue[])+ROWS(tbl_FERC_Expense[])+ROWS(tbl_FERC_Income[])</f>
        <v>1706</v>
      </c>
      <c r="F16" s="141">
        <f>E16-D16</f>
        <v>0</v>
      </c>
      <c r="G16" s="142">
        <f>Tol</f>
        <v>0.01</v>
      </c>
      <c r="H16" s="139" t="str">
        <f>IF(ISERROR(F16),"FAIL",IF(ABS(F16)&lt;=G16,"PASS","FAIL"))</f>
        <v>PASS</v>
      </c>
      <c r="I16" s="2"/>
    </row>
    <row r="17" spans="2:9" x14ac:dyDescent="0.3">
      <c r="B17" s="2">
        <v>12</v>
      </c>
      <c r="C17" t="s">
        <v>464</v>
      </c>
      <c r="D17" s="141">
        <f>0</f>
        <v>0</v>
      </c>
      <c r="E17" s="141" cm="1">
        <f t="array" ref="E17">SUMPRODUCT(ABS(pnl_retail-SUMIFS(tbl_FERC_Revenue[dollar_value],tbl_FERC_Revenue[utility_id_ferc1],CompanyId,tbl_FERC_Revenue[report_year],pnl_years,tbl_FERC_Revenue[revenue_type],"sales_to_ultimate_consumers")))</f>
        <v>0</v>
      </c>
      <c r="F17" s="141">
        <f>E17-D17</f>
        <v>0</v>
      </c>
      <c r="G17" s="142">
        <f>Tol</f>
        <v>0.01</v>
      </c>
      <c r="H17" s="139" t="str">
        <f>IF(ISERROR(F17),"FAIL",IF(ABS(F17)&lt;=G17,"PASS","FAIL"))</f>
        <v>PASS</v>
      </c>
      <c r="I17" s="2" t="s">
        <v>465</v>
      </c>
    </row>
    <row r="18" spans="2:9" x14ac:dyDescent="0.3">
      <c r="B18" s="2">
        <v>13</v>
      </c>
      <c r="C18" t="s">
        <v>466</v>
      </c>
      <c r="D18" s="141">
        <f>0</f>
        <v>0</v>
      </c>
      <c r="E18" s="141" cm="1">
        <f t="array" ref="E18">SUMPRODUCT(ABS(pnl_revenue-SUMIFS(tbl_FERC_Revenue[dollar_value],tbl_FERC_Revenue[utility_id_ferc1],CompanyId,tbl_FERC_Revenue[report_year],pnl_years,tbl_FERC_Revenue[revenue_type],"electric_operating_revenues")))</f>
        <v>0</v>
      </c>
      <c r="F18" s="141">
        <f>E18-D18</f>
        <v>0</v>
      </c>
      <c r="G18" s="142">
        <f>Tol</f>
        <v>0.01</v>
      </c>
      <c r="H18" s="139" t="str">
        <f>IF(ISERROR(F18),"FAIL",IF(ABS(F18)&lt;=G18,"PASS","FAIL"))</f>
        <v>PASS</v>
      </c>
      <c r="I18" s="2"/>
    </row>
    <row r="19" spans="2:9" x14ac:dyDescent="0.3">
      <c r="B19" s="2">
        <v>14</v>
      </c>
      <c r="C19" t="s">
        <v>467</v>
      </c>
      <c r="D19" s="141">
        <f>0</f>
        <v>0</v>
      </c>
      <c r="E19" s="141" cm="1">
        <f t="array" ref="E19">SUMPRODUCT(ABS(SUMIFS(tbl_FERC_Expense[dollar_value],tbl_FERC_Expense[utility_id_ferc1],CompanyId,tbl_FERC_Expense[report_year],pnl_years,tbl_FERC_Expense[expense_type],"operations_and_maintenance_expenses_electric")-SUMIFS(tbl_FERC_Income[dollar_value],tbl_FERC_Income[utility_id_ferc1],CompanyId,tbl_FERC_Income[report_year],pnl_years,tbl_FERC_Income[income_type],"operation_expense")-SUMIFS(tbl_FERC_Income[dollar_value],tbl_FERC_Income[utility_id_ferc1],CompanyId,tbl_FERC_Income[report_year],pnl_years,tbl_FERC_Income[income_type],"maintenance_expense")))</f>
        <v>5</v>
      </c>
      <c r="F19" s="141">
        <f>E19-D19</f>
        <v>5</v>
      </c>
      <c r="G19" s="142">
        <f>100</f>
        <v>100</v>
      </c>
      <c r="H19" s="139" t="str">
        <f>IF(ISERROR(F19),"FAIL",IF(ABS(F19)&lt;=G19,"PASS","FAIL"))</f>
        <v>PASS</v>
      </c>
      <c r="I19" s="2" t="s">
        <v>468</v>
      </c>
    </row>
    <row r="20" spans="2:9" x14ac:dyDescent="0.3">
      <c r="B20" s="2">
        <v>15</v>
      </c>
      <c r="C20" t="s">
        <v>469</v>
      </c>
      <c r="D20" s="141">
        <f>0</f>
        <v>0</v>
      </c>
      <c r="E20" s="141" cm="1">
        <f t="array" ref="E20">MAX(ABS(SAFEDIV(Monthly!E29:E37,Monthly!D29:D37)))</f>
        <v>6.411924658219026E-4</v>
      </c>
      <c r="F20" s="141">
        <f>E20-D20</f>
        <v>6.411924658219026E-4</v>
      </c>
      <c r="G20" s="142">
        <f>0.001</f>
        <v>1E-3</v>
      </c>
      <c r="H20" s="139" t="str">
        <f>IF(ISERROR(F20),"FAIL",IF(ABS(F20)&lt;=G20,"PASS","FAIL"))</f>
        <v>PASS</v>
      </c>
      <c r="I20" s="2" t="s">
        <v>470</v>
      </c>
    </row>
    <row r="21" spans="2:9" x14ac:dyDescent="0.3">
      <c r="B21" s="2">
        <v>16</v>
      </c>
      <c r="C21" t="s">
        <v>471</v>
      </c>
      <c r="D21" s="141">
        <f>0</f>
        <v>0</v>
      </c>
      <c r="E21" s="141" cm="1">
        <f t="array" ref="E21">MAX(ABS(Monthly!I29:I37))</f>
        <v>2.4900914867208263E-2</v>
      </c>
      <c r="F21" s="141">
        <f>E21-D21</f>
        <v>2.4900914867208263E-2</v>
      </c>
      <c r="G21" s="142">
        <f>0.03</f>
        <v>0.03</v>
      </c>
      <c r="H21" s="139" t="str">
        <f>IF(ISERROR(F21),"FAIL",IF(ABS(F21)&lt;=G21,"PASS","FAIL"))</f>
        <v>PASS</v>
      </c>
      <c r="I21" s="2" t="s">
        <v>472</v>
      </c>
    </row>
    <row r="22" spans="2:9" x14ac:dyDescent="0.3">
      <c r="B22" s="2">
        <v>17</v>
      </c>
      <c r="C22" t="s">
        <v>473</v>
      </c>
      <c r="D22" s="141">
        <f>(FiscalYear-YEAR(FitStart))*12</f>
        <v>108</v>
      </c>
      <c r="E22" s="141">
        <f>INDEX(fit_months,1)</f>
        <v>108</v>
      </c>
      <c r="F22" s="141">
        <f>E22-D22</f>
        <v>0</v>
      </c>
      <c r="G22" s="142">
        <f>Tol</f>
        <v>0.01</v>
      </c>
      <c r="H22" s="139" t="str">
        <f>IF(ISERROR(F22),"FAIL",IF(ABS(F22)&lt;=G22,"PASS","FAIL"))</f>
        <v>PASS</v>
      </c>
      <c r="I22" s="2"/>
    </row>
    <row r="23" spans="2:9" x14ac:dyDescent="0.3">
      <c r="B23" s="2">
        <v>18</v>
      </c>
      <c r="C23" t="s">
        <v>474</v>
      </c>
      <c r="D23" s="141">
        <f>0</f>
        <v>0</v>
      </c>
      <c r="E23" s="141">
        <f>MAX(0,0.7-INDEX(coef_residential,5))</f>
        <v>0</v>
      </c>
      <c r="F23" s="141">
        <f>E23-D23</f>
        <v>0</v>
      </c>
      <c r="G23" s="142">
        <f>Tol</f>
        <v>0.01</v>
      </c>
      <c r="H23" s="139" t="str">
        <f>IF(ISERROR(F23),"FAIL",IF(ABS(F23)&lt;=G23,"PASS","FAIL"))</f>
        <v>PASS</v>
      </c>
      <c r="I23" s="2" t="s">
        <v>475</v>
      </c>
    </row>
    <row r="24" spans="2:9" x14ac:dyDescent="0.3">
      <c r="B24" s="2">
        <v>19</v>
      </c>
      <c r="C24" t="s">
        <v>476</v>
      </c>
      <c r="D24" s="141">
        <f>0</f>
        <v>0</v>
      </c>
      <c r="E24" s="141" cm="1">
        <f t="array" ref="E24">SUMPRODUCT(ABS(PVM!O6:O11))</f>
        <v>0</v>
      </c>
      <c r="F24" s="141">
        <f>E24-D24</f>
        <v>0</v>
      </c>
      <c r="G24" s="142">
        <f>Tol</f>
        <v>0.01</v>
      </c>
      <c r="H24" s="139" t="str">
        <f>IF(ISERROR(F24),"FAIL",IF(ABS(F24)&lt;=G24,"PASS","FAIL"))</f>
        <v>PASS</v>
      </c>
      <c r="I24" s="2" t="s">
        <v>477</v>
      </c>
    </row>
    <row r="25" spans="2:9" x14ac:dyDescent="0.3">
      <c r="B25" s="2">
        <v>20</v>
      </c>
      <c r="C25" t="s">
        <v>478</v>
      </c>
      <c r="D25" s="141">
        <f>0</f>
        <v>0</v>
      </c>
      <c r="E25" s="141" cm="1">
        <f t="array" ref="E25">SUMPRODUCT(ABS(PVM!O16:O21))</f>
        <v>1.126900315284729E-7</v>
      </c>
      <c r="F25" s="141">
        <f>E25-D25</f>
        <v>1.126900315284729E-7</v>
      </c>
      <c r="G25" s="142">
        <f>Tol</f>
        <v>0.01</v>
      </c>
      <c r="H25" s="139" t="str">
        <f>IF(ISERROR(F25),"FAIL",IF(ABS(F25)&lt;=G25,"PASS","FAIL"))</f>
        <v>PASS</v>
      </c>
      <c r="I25" s="2"/>
    </row>
    <row r="26" spans="2:9" x14ac:dyDescent="0.3">
      <c r="B26" s="2">
        <v>21</v>
      </c>
      <c r="C26" t="s">
        <v>479</v>
      </c>
      <c r="D26" s="141">
        <f>0</f>
        <v>0</v>
      </c>
      <c r="E26" s="141" cm="1">
        <f t="array" ref="E26">SUMPRODUCT(ABS(PVM!O26:O30))</f>
        <v>5.1222741603851318E-8</v>
      </c>
      <c r="F26" s="141">
        <f>E26-D26</f>
        <v>5.1222741603851318E-8</v>
      </c>
      <c r="G26" s="142">
        <f>Tol</f>
        <v>0.01</v>
      </c>
      <c r="H26" s="139" t="str">
        <f>IF(ISERROR(F26),"FAIL",IF(ABS(F26)&lt;=G26,"PASS","FAIL"))</f>
        <v>PASS</v>
      </c>
      <c r="I26" s="2"/>
    </row>
    <row r="27" spans="2:9" x14ac:dyDescent="0.3">
      <c r="B27" s="2">
        <v>22</v>
      </c>
      <c r="C27" t="s">
        <v>480</v>
      </c>
      <c r="D27" s="141">
        <f>0</f>
        <v>0</v>
      </c>
      <c r="E27" s="141" cm="1">
        <f t="array" ref="E27">SUM(IFERROR(ABS(Plan!T28:T75),0))</f>
        <v>1.1937117960769683E-7</v>
      </c>
      <c r="F27" s="141">
        <f>E27-D27</f>
        <v>1.1937117960769683E-7</v>
      </c>
      <c r="G27" s="142">
        <f>Tol</f>
        <v>0.01</v>
      </c>
      <c r="H27" s="139" t="str">
        <f>IF(ISERROR(F27),"FAIL",IF(ABS(F27)&lt;=G27,"PASS","FAIL"))</f>
        <v>PASS</v>
      </c>
      <c r="I27" s="2" t="s">
        <v>481</v>
      </c>
    </row>
    <row r="28" spans="2:9" x14ac:dyDescent="0.3">
      <c r="B28" s="2">
        <v>23</v>
      </c>
      <c r="C28" t="s">
        <v>482</v>
      </c>
      <c r="D28" s="141">
        <f>INDEX(plan_bridge_total,6)-INDEX(plan_bridge_total,1)</f>
        <v>-100940977.37697244</v>
      </c>
      <c r="E28" s="141">
        <f>SUM(INDEX(plan_bridge_total,2),INDEX(plan_bridge_total,3),INDEX(plan_bridge_total,4),INDEX(plan_bridge_total,5))</f>
        <v>-100940977.37697247</v>
      </c>
      <c r="F28" s="141">
        <f>E28-D28</f>
        <v>0</v>
      </c>
      <c r="G28" s="142">
        <f>Tol</f>
        <v>0.01</v>
      </c>
      <c r="H28" s="139" t="str">
        <f>IF(ISERROR(F28),"FAIL",IF(ABS(F28)&lt;=G28,"PASS","FAIL"))</f>
        <v>PASS</v>
      </c>
      <c r="I28" s="2"/>
    </row>
    <row r="29" spans="2:9" x14ac:dyDescent="0.3">
      <c r="B29" s="2">
        <v>24</v>
      </c>
      <c r="C29" t="s">
        <v>483</v>
      </c>
      <c r="D29" s="141">
        <f>Forecast!D75+Forecast!E75</f>
        <v>3007664836.8420153</v>
      </c>
      <c r="E29" s="141">
        <f>fy_revenue</f>
        <v>3007664836.8420153</v>
      </c>
      <c r="F29" s="141">
        <f>E29-D29</f>
        <v>0</v>
      </c>
      <c r="G29" s="142">
        <f>Tol</f>
        <v>0.01</v>
      </c>
      <c r="H29" s="139" t="str">
        <f>IF(ISERROR(F29),"FAIL",IF(ABS(F29)&lt;=G29,"PASS","FAIL"))</f>
        <v>PASS</v>
      </c>
      <c r="I29" s="2"/>
    </row>
    <row r="30" spans="2:9" x14ac:dyDescent="0.3">
      <c r="B30" s="2">
        <v>25</v>
      </c>
      <c r="C30" t="s">
        <v>484</v>
      </c>
      <c r="D30" s="141">
        <f>INDEX(monthly_ytd_total,1)</f>
        <v>1469962155</v>
      </c>
      <c r="E30" s="141">
        <f>Forecast!D75</f>
        <v>1469962155</v>
      </c>
      <c r="F30" s="141">
        <f>E30-D30</f>
        <v>0</v>
      </c>
      <c r="G30" s="142">
        <f>Tol</f>
        <v>0.01</v>
      </c>
      <c r="H30" s="139" t="str">
        <f>IF(ISERROR(F30),"FAIL",IF(ABS(F30)&lt;=G30,"PASS","FAIL"))</f>
        <v>PASS</v>
      </c>
      <c r="I30" s="2"/>
    </row>
    <row r="31" spans="2:9" x14ac:dyDescent="0.3">
      <c r="B31" s="2">
        <v>26</v>
      </c>
      <c r="C31" t="s">
        <v>485</v>
      </c>
      <c r="D31" s="141">
        <f>Scenarios!C12</f>
        <v>3007664836.8420153</v>
      </c>
      <c r="E31" s="141">
        <f>_xlfn.XLOOKUP(WeatherScenario,Scenarios!B22:B24,Scenarios!C22:C24)</f>
        <v>3007664836.8420153</v>
      </c>
      <c r="F31" s="141">
        <f>E31-D31</f>
        <v>0</v>
      </c>
      <c r="G31" s="142">
        <f>Tol</f>
        <v>0.01</v>
      </c>
      <c r="H31" s="139" t="str">
        <f>IF(ISERROR(F31),"FAIL",IF(ABS(F31)&lt;=G31,"PASS","FAIL"))</f>
        <v>PASS</v>
      </c>
      <c r="I31" s="2" t="s">
        <v>486</v>
      </c>
    </row>
    <row r="32" spans="2:9" x14ac:dyDescent="0.3">
      <c r="B32" s="2">
        <v>27</v>
      </c>
      <c r="C32" t="s">
        <v>487</v>
      </c>
      <c r="D32" s="141">
        <f>fy_revenue</f>
        <v>3007664836.8420153</v>
      </c>
      <c r="E32" s="141" cm="1">
        <f t="array" ref="E32">IFERROR(INDEX(sens_grid,_xlfn.XMATCH(RateChange,sens_rate_axis),_xlfn.XMATCH(ExtraMW,sens_mw_axis)),fy_revenue)</f>
        <v>3007664836.8420153</v>
      </c>
      <c r="F32" s="141">
        <f>E32-D32</f>
        <v>0</v>
      </c>
      <c r="G32" s="142">
        <f>Tol</f>
        <v>0.01</v>
      </c>
      <c r="H32" s="139" t="str">
        <f>IF(ISERROR(F32),"FAIL",IF(ABS(F32)&lt;=G32,"PASS","FAIL"))</f>
        <v>PASS</v>
      </c>
      <c r="I32" s="2"/>
    </row>
    <row r="33" spans="2:9" x14ac:dyDescent="0.3">
      <c r="B33" s="2">
        <v>28</v>
      </c>
      <c r="C33" t="s">
        <v>488</v>
      </c>
      <c r="D33" s="141">
        <f>IF(AND(RateChange=0,ExtraMW=0,CustOverlay=0,HddOverlay=1,CddOverlay=1),h2_revenue*0.01,INDEX(tornado,1))</f>
        <v>15377026.818420153</v>
      </c>
      <c r="E33" s="141">
        <f>INDEX(tornado,1)</f>
        <v>15377026.818420887</v>
      </c>
      <c r="F33" s="141">
        <f>E33-D33</f>
        <v>7.3388218879699707E-7</v>
      </c>
      <c r="G33" s="142">
        <f>Tol</f>
        <v>0.01</v>
      </c>
      <c r="H33" s="139" t="str">
        <f>IF(ISERROR(F33),"FAIL",IF(ABS(F33)&lt;=G33,"PASS","FAIL"))</f>
        <v>PASS</v>
      </c>
      <c r="I33" s="2" t="s">
        <v>489</v>
      </c>
    </row>
    <row r="34" spans="2:9" x14ac:dyDescent="0.3">
      <c r="B34" s="2">
        <v>29</v>
      </c>
      <c r="C34" t="s">
        <v>490</v>
      </c>
      <c r="D34" s="141">
        <f>INDEX(monthly_ytd_total,1)</f>
        <v>1469962155</v>
      </c>
      <c r="E34" s="141" vm="19">
        <f>INDEX(explore_cube,5,4)</f>
        <v>1469962155</v>
      </c>
      <c r="F34" s="141">
        <f>E34-D34</f>
        <v>0</v>
      </c>
      <c r="G34" s="142">
        <f>Tol</f>
        <v>0.01</v>
      </c>
      <c r="H34" s="139" t="str">
        <f>IF(ISERROR(F34),"FAIL",IF(ABS(F34)&lt;=G34,"PASS","FAIL"))</f>
        <v>PASS</v>
      </c>
      <c r="I34" s="2" t="s">
        <v>491</v>
      </c>
    </row>
    <row r="35" spans="2:9" x14ac:dyDescent="0.3">
      <c r="B35" s="2">
        <v>30</v>
      </c>
      <c r="C35" t="s">
        <v>492</v>
      </c>
      <c r="D35" s="141">
        <f>0</f>
        <v>0</v>
      </c>
      <c r="E35" s="141" cm="1">
        <f t="array" ref="E35">SUMPRODUCT(ABS(INDEX(explore_yoy,0,1)-INDEX(explore_yoy,0,2)))</f>
        <v>0</v>
      </c>
      <c r="F35" s="141">
        <f>E35-D35</f>
        <v>0</v>
      </c>
      <c r="G35" s="142">
        <f>0.000001</f>
        <v>9.9999999999999995E-7</v>
      </c>
      <c r="H35" s="139" t="str">
        <f>IF(ISERROR(F35),"FAIL",IF(ABS(F35)&lt;=G35,"PASS","FAIL"))</f>
        <v>PASS</v>
      </c>
      <c r="I35" s="2" t="s">
        <v>493</v>
      </c>
    </row>
    <row r="36" spans="2:9" x14ac:dyDescent="0.3">
      <c r="B36" s="2">
        <v>31</v>
      </c>
      <c r="C36" t="s">
        <v>494</v>
      </c>
      <c r="D36" s="141">
        <f>fy_revenue</f>
        <v>3007664836.8420153</v>
      </c>
      <c r="E36" s="141" cm="1">
        <f t="array" ref="E36">kpi_fy_revenue</f>
        <v>3007664836.8420153</v>
      </c>
      <c r="F36" s="141">
        <f>E36-D36</f>
        <v>0</v>
      </c>
      <c r="G36" s="142">
        <f>Tol</f>
        <v>0.01</v>
      </c>
      <c r="H36" s="139" t="str">
        <f>IF(ISERROR(F36),"FAIL",IF(ABS(F36)&lt;=G36,"PASS","FAIL"))</f>
        <v>PASS</v>
      </c>
      <c r="I36" s="2"/>
    </row>
    <row r="39" spans="2:9" ht="18" customHeight="1" x14ac:dyDescent="0.3">
      <c r="B39" s="7" t="s">
        <v>495</v>
      </c>
      <c r="C39" s="7"/>
      <c r="D39" s="7"/>
      <c r="E39" s="7"/>
      <c r="F39" s="7"/>
      <c r="G39" s="7"/>
      <c r="H39" s="7"/>
      <c r="I39" s="7"/>
    </row>
    <row r="40" spans="2:9" ht="26" x14ac:dyDescent="0.3">
      <c r="B40" s="64"/>
      <c r="C40" s="65" t="s">
        <v>496</v>
      </c>
      <c r="D40" s="144" t="s">
        <v>149</v>
      </c>
      <c r="E40" s="65" t="s">
        <v>383</v>
      </c>
    </row>
    <row r="41" spans="2:9" x14ac:dyDescent="0.3">
      <c r="C41" t="s">
        <v>497</v>
      </c>
      <c r="D41" s="146">
        <v>114</v>
      </c>
      <c r="E41" s="2" t="s">
        <v>498</v>
      </c>
    </row>
    <row r="42" spans="2:9" x14ac:dyDescent="0.3">
      <c r="C42" t="s">
        <v>499</v>
      </c>
      <c r="D42" s="147">
        <v>175214498.36399999</v>
      </c>
      <c r="E42" s="2" t="s">
        <v>500</v>
      </c>
    </row>
    <row r="43" spans="2:9" x14ac:dyDescent="0.3">
      <c r="C43" t="s">
        <v>501</v>
      </c>
      <c r="D43" s="147">
        <v>20607177.125999998</v>
      </c>
      <c r="E43" s="2" t="s">
        <v>502</v>
      </c>
    </row>
    <row r="44" spans="2:9" x14ac:dyDescent="0.3">
      <c r="C44" t="s">
        <v>503</v>
      </c>
      <c r="D44" s="146">
        <v>1706</v>
      </c>
      <c r="E44" s="2" t="s">
        <v>504</v>
      </c>
    </row>
    <row r="45" spans="2:9" x14ac:dyDescent="0.3">
      <c r="C45" t="s">
        <v>505</v>
      </c>
      <c r="D45" s="145">
        <v>40</v>
      </c>
      <c r="E45" s="2" t="s">
        <v>506</v>
      </c>
    </row>
  </sheetData>
  <conditionalFormatting sqref="H6:H36">
    <cfRule type="cellIs" dxfId="19" priority="1" stopIfTrue="1" operator="equal">
      <formula>"PASS"</formula>
    </cfRule>
    <cfRule type="cellIs" dxfId="18" priority="2" stopIfTrue="1" operator="equal">
      <formula>"FAIL"</formula>
    </cfRule>
  </conditionalFormatting>
  <conditionalFormatting sqref="B2">
    <cfRule type="expression" dxfId="17" priority="3" stopIfTrue="1">
      <formula>COUNTIF(H6:H36,"FAIL")=0</formula>
    </cfRule>
    <cfRule type="expression" dxfId="16" priority="4" stopIfTrue="1">
      <formula>COUNTIF(H6:H36,"FAIL")&gt;0</formula>
    </cfRule>
  </conditionalFormatting>
  <printOptions horizontalCentered="1"/>
  <pageMargins left="0.35" right="0.35" top="0.44999999999999996" bottom="0.5" header="0.3" footer="0.2"/>
  <pageSetup scale="75" orientation="landscape" r:id="rId1"/>
  <headerFooter>
    <oddFooter>&amp;C&amp;8&amp;A&amp;L&amp;8Portland General Electric utility FP&amp;&amp;A model · public data (EIA, FERC via PUDL, NOAA)&amp;R&amp;8Page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60666-61DF-41F4-B109-2A3C1375546B}">
  <sheetPr>
    <tabColor rgb="FFB7791F"/>
  </sheetPr>
  <dimension ref="B1:G21"/>
  <sheetViews>
    <sheetView showGridLines="0" zoomScale="90" zoomScaleNormal="90" workbookViewId="0"/>
  </sheetViews>
  <sheetFormatPr defaultRowHeight="13" x14ac:dyDescent="0.3"/>
  <cols>
    <col min="1" max="1" width="2.69921875" customWidth="1"/>
    <col min="2" max="2" width="30.69921875" customWidth="1"/>
    <col min="3" max="3" width="14.69921875" customWidth="1"/>
    <col min="4" max="4" width="11.69921875" customWidth="1"/>
    <col min="5" max="5" width="70.69921875" customWidth="1"/>
    <col min="6" max="7" width="4.69921875" customWidth="1"/>
  </cols>
  <sheetData>
    <row r="1" spans="2:7" ht="30" customHeight="1" x14ac:dyDescent="0.55000000000000004">
      <c r="B1" s="1" t="s">
        <v>145</v>
      </c>
    </row>
    <row r="2" spans="2:7" x14ac:dyDescent="0.3">
      <c r="B2" s="2" t="s">
        <v>146</v>
      </c>
    </row>
    <row r="4" spans="2:7" ht="18" customHeight="1" x14ac:dyDescent="0.3">
      <c r="B4" s="7" t="s">
        <v>147</v>
      </c>
      <c r="C4" s="7"/>
      <c r="D4" s="7"/>
      <c r="E4" s="7"/>
      <c r="F4" s="7"/>
      <c r="G4" s="7"/>
    </row>
    <row r="5" spans="2:7" x14ac:dyDescent="0.3">
      <c r="B5" s="8" t="s">
        <v>148</v>
      </c>
      <c r="C5" s="9" t="s">
        <v>149</v>
      </c>
      <c r="D5" s="10" t="s">
        <v>150</v>
      </c>
      <c r="E5" s="10" t="s">
        <v>151</v>
      </c>
    </row>
    <row r="6" spans="2:7" x14ac:dyDescent="0.3">
      <c r="B6" t="s">
        <v>152</v>
      </c>
      <c r="C6" s="12">
        <f>DATE(MAX(tbl_EIA[year]),_xlfn.MAXIFS(tbl_EIA[month],tbl_EIA[year],MAX(tbl_EIA[year])),1)</f>
        <v>46174</v>
      </c>
      <c r="D6" s="2" t="s">
        <v>3</v>
      </c>
      <c r="E6" s="2" t="s">
        <v>153</v>
      </c>
    </row>
    <row r="7" spans="2:7" x14ac:dyDescent="0.3">
      <c r="B7" t="s">
        <v>154</v>
      </c>
      <c r="C7" s="4">
        <f>YEAR(AsOfMonth)</f>
        <v>2026</v>
      </c>
      <c r="D7" s="2" t="s">
        <v>2</v>
      </c>
      <c r="E7" s="2" t="s">
        <v>155</v>
      </c>
    </row>
    <row r="8" spans="2:7" x14ac:dyDescent="0.3">
      <c r="B8" t="s">
        <v>156</v>
      </c>
      <c r="C8" s="11">
        <f>DATE(FiscalYear,1,1)</f>
        <v>46023</v>
      </c>
      <c r="D8" s="2" t="s">
        <v>157</v>
      </c>
      <c r="E8" s="2"/>
    </row>
    <row r="9" spans="2:7" x14ac:dyDescent="0.3">
      <c r="B9" t="s">
        <v>158</v>
      </c>
      <c r="C9" s="4">
        <f>MONTH(AsOfMonth)</f>
        <v>6</v>
      </c>
      <c r="D9" s="2" t="s">
        <v>159</v>
      </c>
      <c r="E9" s="2"/>
    </row>
    <row r="10" spans="2:7" x14ac:dyDescent="0.3">
      <c r="B10" t="s">
        <v>160</v>
      </c>
      <c r="C10" s="13">
        <f>DATE(2017,1,1)</f>
        <v>42736</v>
      </c>
      <c r="D10" s="2" t="s">
        <v>3</v>
      </c>
      <c r="E10" s="2" t="s">
        <v>161</v>
      </c>
    </row>
    <row r="11" spans="2:7" x14ac:dyDescent="0.3">
      <c r="B11" t="s">
        <v>162</v>
      </c>
      <c r="C11" s="15">
        <v>10</v>
      </c>
      <c r="D11" s="2" t="s">
        <v>163</v>
      </c>
      <c r="E11" s="2" t="s">
        <v>164</v>
      </c>
    </row>
    <row r="12" spans="2:7" x14ac:dyDescent="0.3">
      <c r="B12" t="s">
        <v>165</v>
      </c>
      <c r="C12" s="15">
        <v>250</v>
      </c>
      <c r="D12" s="2" t="s">
        <v>166</v>
      </c>
      <c r="E12" s="2" t="s">
        <v>167</v>
      </c>
    </row>
    <row r="13" spans="2:7" x14ac:dyDescent="0.3">
      <c r="B13" t="s">
        <v>168</v>
      </c>
      <c r="C13" s="14">
        <v>2019</v>
      </c>
      <c r="D13" s="2" t="s">
        <v>2</v>
      </c>
      <c r="E13" s="2" t="s">
        <v>169</v>
      </c>
    </row>
    <row r="14" spans="2:7" x14ac:dyDescent="0.3">
      <c r="B14" t="s">
        <v>170</v>
      </c>
      <c r="C14" s="4">
        <f>MAX(tbl_FERC_Revenue[report_year])</f>
        <v>2025</v>
      </c>
      <c r="D14" s="2" t="s">
        <v>2</v>
      </c>
      <c r="E14" s="2" t="s">
        <v>171</v>
      </c>
    </row>
    <row r="15" spans="2:7" x14ac:dyDescent="0.3">
      <c r="B15" t="s">
        <v>172</v>
      </c>
      <c r="C15" s="19">
        <v>0.01</v>
      </c>
      <c r="D15" s="2" t="s">
        <v>173</v>
      </c>
      <c r="E15" s="2" t="s">
        <v>174</v>
      </c>
    </row>
    <row r="17" spans="2:7" ht="18" customHeight="1" x14ac:dyDescent="0.3">
      <c r="B17" s="7" t="s">
        <v>175</v>
      </c>
      <c r="C17" s="7"/>
      <c r="D17" s="7"/>
      <c r="E17" s="7"/>
      <c r="F17" s="7"/>
      <c r="G17" s="7"/>
    </row>
    <row r="18" spans="2:7" x14ac:dyDescent="0.3">
      <c r="B18" s="8" t="s">
        <v>176</v>
      </c>
      <c r="C18" s="20" t="s">
        <v>177</v>
      </c>
      <c r="D18" s="20" t="s">
        <v>178</v>
      </c>
      <c r="E18" s="10" t="s">
        <v>179</v>
      </c>
    </row>
    <row r="19" spans="2:7" x14ac:dyDescent="0.3">
      <c r="B19" t="s">
        <v>180</v>
      </c>
      <c r="C19" s="17">
        <v>1</v>
      </c>
      <c r="D19" s="21">
        <v>1</v>
      </c>
      <c r="E19" s="2" t="s">
        <v>181</v>
      </c>
    </row>
    <row r="20" spans="2:7" x14ac:dyDescent="0.3">
      <c r="B20" t="s">
        <v>182</v>
      </c>
      <c r="C20" s="17">
        <v>0.88</v>
      </c>
      <c r="D20" s="21">
        <v>1</v>
      </c>
      <c r="E20" s="2" t="s">
        <v>183</v>
      </c>
    </row>
    <row r="21" spans="2:7" x14ac:dyDescent="0.3">
      <c r="B21" t="s">
        <v>184</v>
      </c>
      <c r="C21" s="18">
        <v>1.1200000000000001</v>
      </c>
      <c r="D21" s="22">
        <v>1</v>
      </c>
      <c r="E21" s="2" t="s">
        <v>185</v>
      </c>
    </row>
  </sheetData>
  <dataValidations count="1">
    <dataValidation type="decimal" allowBlank="1" showInputMessage="1" showErrorMessage="1" sqref="C19:D21" xr:uid="{3E09DFA5-BF4F-4DC3-9588-CB18DDE7E924}">
      <formula1>0.5</formula1>
      <formula2>1.5</formula2>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B80EF-CC19-420A-AFE4-CA4D93849813}">
  <sheetPr>
    <tabColor rgb="FF98A2B3"/>
  </sheetPr>
  <dimension ref="B1:G460"/>
  <sheetViews>
    <sheetView zoomScale="90" zoomScaleNormal="90" workbookViewId="0">
      <pane ySplit="4" topLeftCell="A5" activePane="bottomLeft" state="frozen"/>
      <selection pane="bottomLeft"/>
    </sheetView>
  </sheetViews>
  <sheetFormatPr defaultRowHeight="13" x14ac:dyDescent="0.3"/>
  <cols>
    <col min="1" max="1" width="2.69921875" customWidth="1"/>
    <col min="2" max="2" width="10.09765625" bestFit="1" customWidth="1"/>
    <col min="3" max="3" width="12.19921875" bestFit="1" customWidth="1"/>
    <col min="4" max="4" width="10.19921875" bestFit="1" customWidth="1"/>
    <col min="5" max="5" width="10.8984375" bestFit="1" customWidth="1"/>
    <col min="6" max="6" width="12.19921875" bestFit="1" customWidth="1"/>
    <col min="7" max="7" width="13" bestFit="1" customWidth="1"/>
  </cols>
  <sheetData>
    <row r="1" spans="2:7" ht="30" customHeight="1" x14ac:dyDescent="0.55000000000000004">
      <c r="B1" s="1" t="s">
        <v>198</v>
      </c>
    </row>
    <row r="2" spans="2:7" x14ac:dyDescent="0.3">
      <c r="B2" s="2" t="s">
        <v>199</v>
      </c>
    </row>
    <row r="4" spans="2:7" x14ac:dyDescent="0.3">
      <c r="B4" t="s">
        <v>3</v>
      </c>
      <c r="C4" t="s">
        <v>88</v>
      </c>
      <c r="D4" t="s">
        <v>201</v>
      </c>
      <c r="E4" t="s">
        <v>202</v>
      </c>
      <c r="F4" t="s">
        <v>203</v>
      </c>
      <c r="G4" t="s">
        <v>4</v>
      </c>
    </row>
    <row r="5" spans="2:7" x14ac:dyDescent="0.3">
      <c r="B5" s="11">
        <v>42736</v>
      </c>
      <c r="C5" t="s">
        <v>100</v>
      </c>
      <c r="D5">
        <v>84746</v>
      </c>
      <c r="E5">
        <v>1039.4290000000001</v>
      </c>
      <c r="F5">
        <v>1</v>
      </c>
      <c r="G5" t="s">
        <v>20</v>
      </c>
    </row>
    <row r="6" spans="2:7" x14ac:dyDescent="0.3">
      <c r="B6" s="11">
        <v>42767</v>
      </c>
      <c r="C6" t="s">
        <v>100</v>
      </c>
      <c r="D6">
        <v>81345</v>
      </c>
      <c r="E6">
        <v>976.66099999999994</v>
      </c>
      <c r="F6">
        <v>1</v>
      </c>
      <c r="G6" t="s">
        <v>20</v>
      </c>
    </row>
    <row r="7" spans="2:7" x14ac:dyDescent="0.3">
      <c r="B7" s="11">
        <v>42795</v>
      </c>
      <c r="C7" t="s">
        <v>100</v>
      </c>
      <c r="D7">
        <v>77020</v>
      </c>
      <c r="E7">
        <v>916.18799999999999</v>
      </c>
      <c r="F7">
        <v>1</v>
      </c>
      <c r="G7" t="s">
        <v>20</v>
      </c>
    </row>
    <row r="8" spans="2:7" x14ac:dyDescent="0.3">
      <c r="B8" s="11">
        <v>42826</v>
      </c>
      <c r="C8" t="s">
        <v>100</v>
      </c>
      <c r="D8">
        <v>69272</v>
      </c>
      <c r="E8">
        <v>802.476</v>
      </c>
      <c r="F8">
        <v>1</v>
      </c>
      <c r="G8" t="s">
        <v>20</v>
      </c>
    </row>
    <row r="9" spans="2:7" x14ac:dyDescent="0.3">
      <c r="B9" s="11">
        <v>42856</v>
      </c>
      <c r="C9" t="s">
        <v>100</v>
      </c>
      <c r="D9">
        <v>66047</v>
      </c>
      <c r="E9">
        <v>751.58799999999997</v>
      </c>
      <c r="F9">
        <v>1</v>
      </c>
      <c r="G9" t="s">
        <v>20</v>
      </c>
    </row>
    <row r="10" spans="2:7" x14ac:dyDescent="0.3">
      <c r="B10" s="11">
        <v>42887</v>
      </c>
      <c r="C10" t="s">
        <v>100</v>
      </c>
      <c r="D10">
        <v>71570</v>
      </c>
      <c r="E10">
        <v>834.33600000000001</v>
      </c>
      <c r="F10">
        <v>1</v>
      </c>
      <c r="G10" t="s">
        <v>20</v>
      </c>
    </row>
    <row r="11" spans="2:7" x14ac:dyDescent="0.3">
      <c r="B11" s="11">
        <v>42917</v>
      </c>
      <c r="C11" t="s">
        <v>100</v>
      </c>
      <c r="D11">
        <v>73066</v>
      </c>
      <c r="E11">
        <v>869.48800000000006</v>
      </c>
      <c r="F11">
        <v>1</v>
      </c>
      <c r="G11" t="s">
        <v>20</v>
      </c>
    </row>
    <row r="12" spans="2:7" x14ac:dyDescent="0.3">
      <c r="B12" s="11">
        <v>42948</v>
      </c>
      <c r="C12" t="s">
        <v>100</v>
      </c>
      <c r="D12">
        <v>72905</v>
      </c>
      <c r="E12">
        <v>844.74199999999996</v>
      </c>
      <c r="F12">
        <v>1</v>
      </c>
      <c r="G12" t="s">
        <v>20</v>
      </c>
    </row>
    <row r="13" spans="2:7" x14ac:dyDescent="0.3">
      <c r="B13" s="11">
        <v>42979</v>
      </c>
      <c r="C13" t="s">
        <v>100</v>
      </c>
      <c r="D13">
        <v>70435</v>
      </c>
      <c r="E13">
        <v>817.67499999999995</v>
      </c>
      <c r="F13">
        <v>1</v>
      </c>
      <c r="G13" t="s">
        <v>20</v>
      </c>
    </row>
    <row r="14" spans="2:7" x14ac:dyDescent="0.3">
      <c r="B14" s="11">
        <v>43009</v>
      </c>
      <c r="C14" t="s">
        <v>100</v>
      </c>
      <c r="D14">
        <v>66459</v>
      </c>
      <c r="E14">
        <v>755.22400000000005</v>
      </c>
      <c r="F14">
        <v>1</v>
      </c>
      <c r="G14" t="s">
        <v>20</v>
      </c>
    </row>
    <row r="15" spans="2:7" x14ac:dyDescent="0.3">
      <c r="B15" s="11">
        <v>43040</v>
      </c>
      <c r="C15" t="s">
        <v>100</v>
      </c>
      <c r="D15">
        <v>69494</v>
      </c>
      <c r="E15">
        <v>788.31399999999996</v>
      </c>
      <c r="F15">
        <v>1</v>
      </c>
      <c r="G15" t="s">
        <v>20</v>
      </c>
    </row>
    <row r="16" spans="2:7" x14ac:dyDescent="0.3">
      <c r="B16" s="11">
        <v>43070</v>
      </c>
      <c r="C16" t="s">
        <v>100</v>
      </c>
      <c r="D16">
        <v>76512</v>
      </c>
      <c r="E16">
        <v>903.10500000000002</v>
      </c>
      <c r="F16">
        <v>1</v>
      </c>
      <c r="G16" t="s">
        <v>20</v>
      </c>
    </row>
    <row r="17" spans="2:7" x14ac:dyDescent="0.3">
      <c r="B17" s="11">
        <v>43101</v>
      </c>
      <c r="C17" t="s">
        <v>100</v>
      </c>
      <c r="D17">
        <v>91187</v>
      </c>
      <c r="E17">
        <v>1109.117</v>
      </c>
      <c r="F17">
        <v>1</v>
      </c>
      <c r="G17" t="s">
        <v>20</v>
      </c>
    </row>
    <row r="18" spans="2:7" x14ac:dyDescent="0.3">
      <c r="B18" s="11">
        <v>43132</v>
      </c>
      <c r="C18" t="s">
        <v>100</v>
      </c>
      <c r="D18">
        <v>75602</v>
      </c>
      <c r="E18">
        <v>887.12699999999995</v>
      </c>
      <c r="F18">
        <v>1</v>
      </c>
      <c r="G18" t="s">
        <v>20</v>
      </c>
    </row>
    <row r="19" spans="2:7" x14ac:dyDescent="0.3">
      <c r="B19" s="11">
        <v>43160</v>
      </c>
      <c r="C19" t="s">
        <v>100</v>
      </c>
      <c r="D19">
        <v>79871</v>
      </c>
      <c r="E19">
        <v>942.37199999999996</v>
      </c>
      <c r="F19">
        <v>1</v>
      </c>
      <c r="G19" t="s">
        <v>20</v>
      </c>
    </row>
    <row r="20" spans="2:7" x14ac:dyDescent="0.3">
      <c r="B20" s="11">
        <v>43191</v>
      </c>
      <c r="C20" t="s">
        <v>100</v>
      </c>
      <c r="D20">
        <v>73601</v>
      </c>
      <c r="E20">
        <v>853.51599999999996</v>
      </c>
      <c r="F20">
        <v>1</v>
      </c>
      <c r="G20" t="s">
        <v>20</v>
      </c>
    </row>
    <row r="21" spans="2:7" x14ac:dyDescent="0.3">
      <c r="B21" s="11">
        <v>43221</v>
      </c>
      <c r="C21" t="s">
        <v>100</v>
      </c>
      <c r="D21">
        <v>70559</v>
      </c>
      <c r="E21">
        <v>848.76900000000001</v>
      </c>
      <c r="F21">
        <v>1</v>
      </c>
      <c r="G21" t="s">
        <v>20</v>
      </c>
    </row>
    <row r="22" spans="2:7" x14ac:dyDescent="0.3">
      <c r="B22" s="11">
        <v>43252</v>
      </c>
      <c r="C22" t="s">
        <v>100</v>
      </c>
      <c r="D22">
        <v>69900</v>
      </c>
      <c r="E22">
        <v>847.35799999999995</v>
      </c>
      <c r="F22">
        <v>1</v>
      </c>
      <c r="G22" t="s">
        <v>20</v>
      </c>
    </row>
    <row r="23" spans="2:7" x14ac:dyDescent="0.3">
      <c r="B23" s="11">
        <v>43282</v>
      </c>
      <c r="C23" t="s">
        <v>100</v>
      </c>
      <c r="D23">
        <v>69698</v>
      </c>
      <c r="E23">
        <v>839.36199999999997</v>
      </c>
      <c r="F23">
        <v>1</v>
      </c>
      <c r="G23" t="s">
        <v>20</v>
      </c>
    </row>
    <row r="24" spans="2:7" x14ac:dyDescent="0.3">
      <c r="B24" s="11">
        <v>43313</v>
      </c>
      <c r="C24" t="s">
        <v>100</v>
      </c>
      <c r="D24">
        <v>78005</v>
      </c>
      <c r="E24">
        <v>979.51099999999997</v>
      </c>
      <c r="F24">
        <v>1</v>
      </c>
      <c r="G24" t="s">
        <v>20</v>
      </c>
    </row>
    <row r="25" spans="2:7" x14ac:dyDescent="0.3">
      <c r="B25" s="11">
        <v>43344</v>
      </c>
      <c r="C25" t="s">
        <v>100</v>
      </c>
      <c r="D25">
        <v>73295</v>
      </c>
      <c r="E25">
        <v>888.38099999999997</v>
      </c>
      <c r="F25">
        <v>1</v>
      </c>
      <c r="G25" t="s">
        <v>20</v>
      </c>
    </row>
    <row r="26" spans="2:7" x14ac:dyDescent="0.3">
      <c r="B26" s="11">
        <v>43374</v>
      </c>
      <c r="C26" t="s">
        <v>100</v>
      </c>
      <c r="D26">
        <v>69021</v>
      </c>
      <c r="E26">
        <v>819.66099999999994</v>
      </c>
      <c r="F26">
        <v>1</v>
      </c>
      <c r="G26" t="s">
        <v>20</v>
      </c>
    </row>
    <row r="27" spans="2:7" x14ac:dyDescent="0.3">
      <c r="B27" s="11">
        <v>43405</v>
      </c>
      <c r="C27" t="s">
        <v>100</v>
      </c>
      <c r="D27">
        <v>71725</v>
      </c>
      <c r="E27">
        <v>867.31600000000003</v>
      </c>
      <c r="F27">
        <v>1</v>
      </c>
      <c r="G27" t="s">
        <v>20</v>
      </c>
    </row>
    <row r="28" spans="2:7" x14ac:dyDescent="0.3">
      <c r="B28" s="11">
        <v>43435</v>
      </c>
      <c r="C28" t="s">
        <v>100</v>
      </c>
      <c r="D28">
        <v>82375</v>
      </c>
      <c r="E28">
        <v>997.09299999999996</v>
      </c>
      <c r="F28">
        <v>1</v>
      </c>
      <c r="G28" t="s">
        <v>20</v>
      </c>
    </row>
    <row r="29" spans="2:7" x14ac:dyDescent="0.3">
      <c r="B29" s="11">
        <v>43466</v>
      </c>
      <c r="C29" t="s">
        <v>100</v>
      </c>
      <c r="D29">
        <v>83410</v>
      </c>
      <c r="E29">
        <v>1003.151</v>
      </c>
      <c r="F29">
        <v>1</v>
      </c>
      <c r="G29" t="s">
        <v>20</v>
      </c>
    </row>
    <row r="30" spans="2:7" x14ac:dyDescent="0.3">
      <c r="B30" s="11">
        <v>43497</v>
      </c>
      <c r="C30" t="s">
        <v>100</v>
      </c>
      <c r="D30">
        <v>91188</v>
      </c>
      <c r="E30">
        <v>1109.117</v>
      </c>
      <c r="F30">
        <v>1</v>
      </c>
      <c r="G30" t="s">
        <v>20</v>
      </c>
    </row>
    <row r="31" spans="2:7" x14ac:dyDescent="0.3">
      <c r="B31" s="11">
        <v>43525</v>
      </c>
      <c r="C31" t="s">
        <v>100</v>
      </c>
      <c r="D31">
        <v>85034</v>
      </c>
      <c r="E31">
        <v>1032.652</v>
      </c>
      <c r="F31">
        <v>1</v>
      </c>
      <c r="G31" t="s">
        <v>20</v>
      </c>
    </row>
    <row r="32" spans="2:7" x14ac:dyDescent="0.3">
      <c r="B32" s="11">
        <v>43556</v>
      </c>
      <c r="C32" t="s">
        <v>100</v>
      </c>
      <c r="D32">
        <v>71591</v>
      </c>
      <c r="E32">
        <v>828.11400000000003</v>
      </c>
      <c r="F32">
        <v>1</v>
      </c>
      <c r="G32" t="s">
        <v>20</v>
      </c>
    </row>
    <row r="33" spans="2:7" x14ac:dyDescent="0.3">
      <c r="B33" s="11">
        <v>43586</v>
      </c>
      <c r="C33" t="s">
        <v>100</v>
      </c>
      <c r="D33">
        <v>67413</v>
      </c>
      <c r="E33">
        <v>796.02800000000002</v>
      </c>
      <c r="F33">
        <v>1</v>
      </c>
      <c r="G33" t="s">
        <v>20</v>
      </c>
    </row>
    <row r="34" spans="2:7" x14ac:dyDescent="0.3">
      <c r="B34" s="11">
        <v>43617</v>
      </c>
      <c r="C34" t="s">
        <v>100</v>
      </c>
      <c r="D34">
        <v>70226</v>
      </c>
      <c r="E34">
        <v>805.93700000000001</v>
      </c>
      <c r="F34">
        <v>1</v>
      </c>
      <c r="G34" t="s">
        <v>20</v>
      </c>
    </row>
    <row r="35" spans="2:7" x14ac:dyDescent="0.3">
      <c r="B35" s="11">
        <v>43647</v>
      </c>
      <c r="C35" t="s">
        <v>100</v>
      </c>
      <c r="D35">
        <v>73382</v>
      </c>
      <c r="E35">
        <v>864.17</v>
      </c>
      <c r="F35">
        <v>1</v>
      </c>
      <c r="G35" t="s">
        <v>20</v>
      </c>
    </row>
    <row r="36" spans="2:7" x14ac:dyDescent="0.3">
      <c r="B36" s="11">
        <v>43678</v>
      </c>
      <c r="C36" t="s">
        <v>100</v>
      </c>
      <c r="D36">
        <v>69442</v>
      </c>
      <c r="E36">
        <v>827.46</v>
      </c>
      <c r="F36">
        <v>1</v>
      </c>
      <c r="G36" t="s">
        <v>20</v>
      </c>
    </row>
    <row r="37" spans="2:7" x14ac:dyDescent="0.3">
      <c r="B37" s="11">
        <v>43709</v>
      </c>
      <c r="C37" t="s">
        <v>100</v>
      </c>
      <c r="D37">
        <v>70036</v>
      </c>
      <c r="E37">
        <v>827.46500000000003</v>
      </c>
      <c r="F37">
        <v>1</v>
      </c>
      <c r="G37" t="s">
        <v>20</v>
      </c>
    </row>
    <row r="38" spans="2:7" x14ac:dyDescent="0.3">
      <c r="B38" s="11">
        <v>43739</v>
      </c>
      <c r="C38" t="s">
        <v>100</v>
      </c>
      <c r="D38">
        <v>71703</v>
      </c>
      <c r="E38">
        <v>870.38300000000004</v>
      </c>
      <c r="F38">
        <v>1</v>
      </c>
      <c r="G38" t="s">
        <v>20</v>
      </c>
    </row>
    <row r="39" spans="2:7" x14ac:dyDescent="0.3">
      <c r="B39" s="11">
        <v>43770</v>
      </c>
      <c r="C39" t="s">
        <v>100</v>
      </c>
      <c r="D39">
        <v>68653</v>
      </c>
      <c r="E39">
        <v>820.53099999999995</v>
      </c>
      <c r="F39">
        <v>1</v>
      </c>
      <c r="G39" t="s">
        <v>20</v>
      </c>
    </row>
    <row r="40" spans="2:7" x14ac:dyDescent="0.3">
      <c r="B40" s="11">
        <v>43800</v>
      </c>
      <c r="C40" t="s">
        <v>100</v>
      </c>
      <c r="D40">
        <v>78662</v>
      </c>
      <c r="E40">
        <v>957.59799999999996</v>
      </c>
      <c r="F40">
        <v>1</v>
      </c>
      <c r="G40" t="s">
        <v>20</v>
      </c>
    </row>
    <row r="41" spans="2:7" x14ac:dyDescent="0.3">
      <c r="B41" s="11">
        <v>43831</v>
      </c>
      <c r="C41" t="s">
        <v>100</v>
      </c>
      <c r="D41">
        <v>80521</v>
      </c>
      <c r="E41">
        <v>974.31299999999999</v>
      </c>
      <c r="F41">
        <v>1</v>
      </c>
      <c r="G41" t="s">
        <v>20</v>
      </c>
    </row>
    <row r="42" spans="2:7" x14ac:dyDescent="0.3">
      <c r="B42" s="11">
        <v>43862</v>
      </c>
      <c r="C42" t="s">
        <v>100</v>
      </c>
      <c r="D42">
        <v>76294</v>
      </c>
      <c r="E42">
        <v>854.08199999999999</v>
      </c>
      <c r="F42">
        <v>1</v>
      </c>
      <c r="G42" t="s">
        <v>20</v>
      </c>
    </row>
    <row r="43" spans="2:7" x14ac:dyDescent="0.3">
      <c r="B43" s="11">
        <v>43891</v>
      </c>
      <c r="C43" t="s">
        <v>100</v>
      </c>
      <c r="D43">
        <v>76116</v>
      </c>
      <c r="E43">
        <v>850.58699999999999</v>
      </c>
      <c r="F43">
        <v>1</v>
      </c>
      <c r="G43" t="s">
        <v>20</v>
      </c>
    </row>
    <row r="44" spans="2:7" x14ac:dyDescent="0.3">
      <c r="B44" s="11">
        <v>43922</v>
      </c>
      <c r="C44" t="s">
        <v>100</v>
      </c>
      <c r="D44">
        <v>78464</v>
      </c>
      <c r="E44">
        <v>891.51099999999997</v>
      </c>
      <c r="F44">
        <v>1</v>
      </c>
      <c r="G44" t="s">
        <v>20</v>
      </c>
    </row>
    <row r="45" spans="2:7" x14ac:dyDescent="0.3">
      <c r="B45" s="11">
        <v>43952</v>
      </c>
      <c r="C45" t="s">
        <v>100</v>
      </c>
      <c r="D45">
        <v>67536</v>
      </c>
      <c r="E45">
        <v>721.68899999999996</v>
      </c>
      <c r="F45">
        <v>1</v>
      </c>
      <c r="G45" t="s">
        <v>20</v>
      </c>
    </row>
    <row r="46" spans="2:7" x14ac:dyDescent="0.3">
      <c r="B46" s="11">
        <v>43983</v>
      </c>
      <c r="C46" t="s">
        <v>100</v>
      </c>
      <c r="D46">
        <v>69630</v>
      </c>
      <c r="E46">
        <v>763.21699999999998</v>
      </c>
      <c r="F46">
        <v>1</v>
      </c>
      <c r="G46" t="s">
        <v>20</v>
      </c>
    </row>
    <row r="47" spans="2:7" x14ac:dyDescent="0.3">
      <c r="B47" s="11">
        <v>44013</v>
      </c>
      <c r="C47" t="s">
        <v>100</v>
      </c>
      <c r="D47">
        <v>71321</v>
      </c>
      <c r="E47">
        <v>792.04100000000005</v>
      </c>
      <c r="F47">
        <v>1</v>
      </c>
      <c r="G47" t="s">
        <v>20</v>
      </c>
    </row>
    <row r="48" spans="2:7" x14ac:dyDescent="0.3">
      <c r="B48" s="11">
        <v>44044</v>
      </c>
      <c r="C48" t="s">
        <v>100</v>
      </c>
      <c r="D48">
        <v>72346</v>
      </c>
      <c r="E48">
        <v>801.81200000000001</v>
      </c>
      <c r="F48">
        <v>1</v>
      </c>
      <c r="G48" t="s">
        <v>20</v>
      </c>
    </row>
    <row r="49" spans="2:7" x14ac:dyDescent="0.3">
      <c r="B49" s="11">
        <v>44075</v>
      </c>
      <c r="C49" t="s">
        <v>100</v>
      </c>
      <c r="D49">
        <v>75569</v>
      </c>
      <c r="E49">
        <v>858.14400000000001</v>
      </c>
      <c r="F49">
        <v>1</v>
      </c>
      <c r="G49" t="s">
        <v>20</v>
      </c>
    </row>
    <row r="50" spans="2:7" x14ac:dyDescent="0.3">
      <c r="B50" s="11">
        <v>44105</v>
      </c>
      <c r="C50" t="s">
        <v>100</v>
      </c>
      <c r="D50">
        <v>65634</v>
      </c>
      <c r="E50">
        <v>706.28800000000001</v>
      </c>
      <c r="F50">
        <v>1</v>
      </c>
      <c r="G50" t="s">
        <v>20</v>
      </c>
    </row>
    <row r="51" spans="2:7" x14ac:dyDescent="0.3">
      <c r="B51" s="11">
        <v>44136</v>
      </c>
      <c r="C51" t="s">
        <v>100</v>
      </c>
      <c r="D51">
        <v>65376.000000000007</v>
      </c>
      <c r="E51">
        <v>689.63300000000004</v>
      </c>
      <c r="F51">
        <v>1</v>
      </c>
      <c r="G51" t="s">
        <v>20</v>
      </c>
    </row>
    <row r="52" spans="2:7" x14ac:dyDescent="0.3">
      <c r="B52" s="11">
        <v>44166</v>
      </c>
      <c r="C52" t="s">
        <v>100</v>
      </c>
      <c r="D52">
        <v>109070</v>
      </c>
      <c r="E52">
        <v>1193.2190000000001</v>
      </c>
      <c r="F52">
        <v>1</v>
      </c>
      <c r="G52" t="s">
        <v>20</v>
      </c>
    </row>
    <row r="53" spans="2:7" x14ac:dyDescent="0.3">
      <c r="B53" s="11">
        <v>44197</v>
      </c>
      <c r="C53" t="s">
        <v>100</v>
      </c>
      <c r="D53">
        <v>75590</v>
      </c>
      <c r="E53">
        <v>781.19200000000001</v>
      </c>
      <c r="F53">
        <v>1</v>
      </c>
      <c r="G53" t="s">
        <v>20</v>
      </c>
    </row>
    <row r="54" spans="2:7" x14ac:dyDescent="0.3">
      <c r="B54" s="11">
        <v>44228</v>
      </c>
      <c r="C54" t="s">
        <v>100</v>
      </c>
      <c r="D54">
        <v>76885</v>
      </c>
      <c r="E54">
        <v>832.72400000000005</v>
      </c>
      <c r="F54">
        <v>1</v>
      </c>
      <c r="G54" t="s">
        <v>20</v>
      </c>
    </row>
    <row r="55" spans="2:7" x14ac:dyDescent="0.3">
      <c r="B55" s="11">
        <v>44256</v>
      </c>
      <c r="C55" t="s">
        <v>100</v>
      </c>
      <c r="D55">
        <v>70165</v>
      </c>
      <c r="E55">
        <v>736.6</v>
      </c>
      <c r="F55">
        <v>1</v>
      </c>
      <c r="G55" t="s">
        <v>20</v>
      </c>
    </row>
    <row r="56" spans="2:7" x14ac:dyDescent="0.3">
      <c r="B56" s="11">
        <v>44287</v>
      </c>
      <c r="C56" t="s">
        <v>100</v>
      </c>
      <c r="D56">
        <v>65536</v>
      </c>
      <c r="E56">
        <v>693.85400000000004</v>
      </c>
      <c r="F56">
        <v>1</v>
      </c>
      <c r="G56" t="s">
        <v>20</v>
      </c>
    </row>
    <row r="57" spans="2:7" x14ac:dyDescent="0.3">
      <c r="B57" s="11">
        <v>44317</v>
      </c>
      <c r="C57" t="s">
        <v>100</v>
      </c>
      <c r="D57">
        <v>62106</v>
      </c>
      <c r="E57">
        <v>647.83799999999997</v>
      </c>
      <c r="F57">
        <v>1</v>
      </c>
      <c r="G57" t="s">
        <v>20</v>
      </c>
    </row>
    <row r="58" spans="2:7" x14ac:dyDescent="0.3">
      <c r="B58" s="11">
        <v>44348</v>
      </c>
      <c r="C58" t="s">
        <v>100</v>
      </c>
      <c r="D58">
        <v>67549</v>
      </c>
      <c r="E58">
        <v>727.42700000000002</v>
      </c>
      <c r="F58">
        <v>1</v>
      </c>
      <c r="G58" t="s">
        <v>20</v>
      </c>
    </row>
    <row r="59" spans="2:7" x14ac:dyDescent="0.3">
      <c r="B59" s="11">
        <v>44378</v>
      </c>
      <c r="C59" t="s">
        <v>100</v>
      </c>
      <c r="D59">
        <v>66207</v>
      </c>
      <c r="E59">
        <v>705.94399999999996</v>
      </c>
      <c r="F59">
        <v>1</v>
      </c>
      <c r="G59" t="s">
        <v>20</v>
      </c>
    </row>
    <row r="60" spans="2:7" x14ac:dyDescent="0.3">
      <c r="B60" s="11">
        <v>44409</v>
      </c>
      <c r="C60" t="s">
        <v>100</v>
      </c>
      <c r="D60">
        <v>66115</v>
      </c>
      <c r="E60">
        <v>699.88</v>
      </c>
      <c r="F60">
        <v>1</v>
      </c>
      <c r="G60" t="s">
        <v>20</v>
      </c>
    </row>
    <row r="61" spans="2:7" x14ac:dyDescent="0.3">
      <c r="B61" s="11">
        <v>44440</v>
      </c>
      <c r="C61" t="s">
        <v>100</v>
      </c>
      <c r="D61">
        <v>66977</v>
      </c>
      <c r="E61">
        <v>715.31100000000004</v>
      </c>
      <c r="F61">
        <v>1</v>
      </c>
      <c r="G61" t="s">
        <v>20</v>
      </c>
    </row>
    <row r="62" spans="2:7" x14ac:dyDescent="0.3">
      <c r="B62" s="11">
        <v>44470</v>
      </c>
      <c r="C62" t="s">
        <v>100</v>
      </c>
      <c r="D62">
        <v>59945</v>
      </c>
      <c r="E62">
        <v>626.33600000000001</v>
      </c>
      <c r="F62">
        <v>1</v>
      </c>
      <c r="G62" t="s">
        <v>20</v>
      </c>
    </row>
    <row r="63" spans="2:7" x14ac:dyDescent="0.3">
      <c r="B63" s="11">
        <v>44501</v>
      </c>
      <c r="C63" t="s">
        <v>100</v>
      </c>
      <c r="D63">
        <v>64846</v>
      </c>
      <c r="E63">
        <v>683.90099999999995</v>
      </c>
      <c r="F63">
        <v>1</v>
      </c>
      <c r="G63" t="s">
        <v>20</v>
      </c>
    </row>
    <row r="64" spans="2:7" x14ac:dyDescent="0.3">
      <c r="B64" s="11">
        <v>44531</v>
      </c>
      <c r="C64" t="s">
        <v>100</v>
      </c>
      <c r="D64">
        <v>75716</v>
      </c>
      <c r="E64">
        <v>831.29700000000003</v>
      </c>
      <c r="F64">
        <v>1</v>
      </c>
      <c r="G64" t="s">
        <v>20</v>
      </c>
    </row>
    <row r="65" spans="2:7" x14ac:dyDescent="0.3">
      <c r="B65" s="11">
        <v>44562</v>
      </c>
      <c r="C65" t="s">
        <v>100</v>
      </c>
      <c r="D65">
        <v>79441</v>
      </c>
      <c r="E65">
        <v>811.572</v>
      </c>
      <c r="F65">
        <v>1</v>
      </c>
      <c r="G65" t="s">
        <v>20</v>
      </c>
    </row>
    <row r="66" spans="2:7" x14ac:dyDescent="0.3">
      <c r="B66" s="11">
        <v>44593</v>
      </c>
      <c r="C66" t="s">
        <v>100</v>
      </c>
      <c r="D66">
        <v>75006</v>
      </c>
      <c r="E66">
        <v>758.48199999999997</v>
      </c>
      <c r="F66">
        <v>1</v>
      </c>
      <c r="G66" t="s">
        <v>20</v>
      </c>
    </row>
    <row r="67" spans="2:7" x14ac:dyDescent="0.3">
      <c r="B67" s="11">
        <v>44621</v>
      </c>
      <c r="C67" t="s">
        <v>100</v>
      </c>
      <c r="D67">
        <v>65277</v>
      </c>
      <c r="E67">
        <v>632.69399999999996</v>
      </c>
      <c r="F67">
        <v>1</v>
      </c>
      <c r="G67" t="s">
        <v>20</v>
      </c>
    </row>
    <row r="68" spans="2:7" x14ac:dyDescent="0.3">
      <c r="B68" s="11">
        <v>44652</v>
      </c>
      <c r="C68" t="s">
        <v>100</v>
      </c>
      <c r="D68">
        <v>67592</v>
      </c>
      <c r="E68">
        <v>665.61400000000003</v>
      </c>
      <c r="F68">
        <v>1</v>
      </c>
      <c r="G68" t="s">
        <v>20</v>
      </c>
    </row>
    <row r="69" spans="2:7" x14ac:dyDescent="0.3">
      <c r="B69" s="11">
        <v>44682</v>
      </c>
      <c r="C69" t="s">
        <v>100</v>
      </c>
      <c r="D69">
        <v>61640</v>
      </c>
      <c r="E69">
        <v>602.048</v>
      </c>
      <c r="F69">
        <v>1</v>
      </c>
      <c r="G69" t="s">
        <v>20</v>
      </c>
    </row>
    <row r="70" spans="2:7" x14ac:dyDescent="0.3">
      <c r="B70" s="11">
        <v>44713</v>
      </c>
      <c r="C70" t="s">
        <v>100</v>
      </c>
      <c r="D70">
        <v>64083</v>
      </c>
      <c r="E70">
        <v>656.726</v>
      </c>
      <c r="F70">
        <v>1</v>
      </c>
      <c r="G70" t="s">
        <v>20</v>
      </c>
    </row>
    <row r="71" spans="2:7" x14ac:dyDescent="0.3">
      <c r="B71" s="11">
        <v>44743</v>
      </c>
      <c r="C71" t="s">
        <v>100</v>
      </c>
      <c r="D71">
        <v>64183.000000000007</v>
      </c>
      <c r="E71">
        <v>637.46</v>
      </c>
      <c r="F71">
        <v>1</v>
      </c>
      <c r="G71" t="s">
        <v>20</v>
      </c>
    </row>
    <row r="72" spans="2:7" x14ac:dyDescent="0.3">
      <c r="B72" s="11">
        <v>44774</v>
      </c>
      <c r="C72" t="s">
        <v>100</v>
      </c>
      <c r="D72">
        <v>67197</v>
      </c>
      <c r="E72">
        <v>681.16899999999998</v>
      </c>
      <c r="F72">
        <v>1</v>
      </c>
      <c r="G72" t="s">
        <v>20</v>
      </c>
    </row>
    <row r="73" spans="2:7" x14ac:dyDescent="0.3">
      <c r="B73" s="11">
        <v>44805</v>
      </c>
      <c r="C73" t="s">
        <v>100</v>
      </c>
      <c r="D73">
        <v>66992</v>
      </c>
      <c r="E73">
        <v>695.16099999999994</v>
      </c>
      <c r="F73">
        <v>1</v>
      </c>
      <c r="G73" t="s">
        <v>20</v>
      </c>
    </row>
    <row r="74" spans="2:7" x14ac:dyDescent="0.3">
      <c r="B74" s="11">
        <v>44835</v>
      </c>
      <c r="C74" t="s">
        <v>100</v>
      </c>
      <c r="D74">
        <v>63701</v>
      </c>
      <c r="E74">
        <v>634.91899999999998</v>
      </c>
      <c r="F74">
        <v>1</v>
      </c>
      <c r="G74" t="s">
        <v>20</v>
      </c>
    </row>
    <row r="75" spans="2:7" x14ac:dyDescent="0.3">
      <c r="B75" s="11">
        <v>44866</v>
      </c>
      <c r="C75" t="s">
        <v>100</v>
      </c>
      <c r="D75">
        <v>69241</v>
      </c>
      <c r="E75">
        <v>691.44600000000003</v>
      </c>
      <c r="F75">
        <v>1</v>
      </c>
      <c r="G75" t="s">
        <v>20</v>
      </c>
    </row>
    <row r="76" spans="2:7" x14ac:dyDescent="0.3">
      <c r="B76" s="11">
        <v>44896</v>
      </c>
      <c r="C76" t="s">
        <v>100</v>
      </c>
      <c r="D76">
        <v>89717</v>
      </c>
      <c r="E76">
        <v>885.52200000000005</v>
      </c>
      <c r="F76">
        <v>1</v>
      </c>
      <c r="G76" t="s">
        <v>20</v>
      </c>
    </row>
    <row r="77" spans="2:7" x14ac:dyDescent="0.3">
      <c r="B77" s="11">
        <v>44927</v>
      </c>
      <c r="C77" t="s">
        <v>100</v>
      </c>
      <c r="D77">
        <v>85569</v>
      </c>
      <c r="E77">
        <v>735.053</v>
      </c>
      <c r="F77">
        <v>1</v>
      </c>
      <c r="G77" t="s">
        <v>20</v>
      </c>
    </row>
    <row r="78" spans="2:7" x14ac:dyDescent="0.3">
      <c r="B78" s="11">
        <v>44958</v>
      </c>
      <c r="C78" t="s">
        <v>100</v>
      </c>
      <c r="D78">
        <v>72225</v>
      </c>
      <c r="E78">
        <v>631.80700000000002</v>
      </c>
      <c r="F78">
        <v>1</v>
      </c>
      <c r="G78" t="s">
        <v>20</v>
      </c>
    </row>
    <row r="79" spans="2:7" x14ac:dyDescent="0.3">
      <c r="B79" s="11">
        <v>44986</v>
      </c>
      <c r="C79" t="s">
        <v>100</v>
      </c>
      <c r="D79">
        <v>106611</v>
      </c>
      <c r="E79">
        <v>891.702</v>
      </c>
      <c r="F79">
        <v>1</v>
      </c>
      <c r="G79" t="s">
        <v>20</v>
      </c>
    </row>
    <row r="80" spans="2:7" x14ac:dyDescent="0.3">
      <c r="B80" s="11">
        <v>45017</v>
      </c>
      <c r="C80" t="s">
        <v>100</v>
      </c>
      <c r="D80">
        <v>79226</v>
      </c>
      <c r="E80">
        <v>659.88800000000003</v>
      </c>
      <c r="F80">
        <v>1</v>
      </c>
      <c r="G80" t="s">
        <v>20</v>
      </c>
    </row>
    <row r="81" spans="2:7" x14ac:dyDescent="0.3">
      <c r="B81" s="11">
        <v>45047</v>
      </c>
      <c r="C81" t="s">
        <v>100</v>
      </c>
      <c r="D81">
        <v>78581</v>
      </c>
      <c r="E81">
        <v>653.11099999999999</v>
      </c>
      <c r="F81">
        <v>1</v>
      </c>
      <c r="G81" t="s">
        <v>20</v>
      </c>
    </row>
    <row r="82" spans="2:7" x14ac:dyDescent="0.3">
      <c r="B82" s="11">
        <v>45078</v>
      </c>
      <c r="C82" t="s">
        <v>100</v>
      </c>
      <c r="D82">
        <v>80680</v>
      </c>
      <c r="E82">
        <v>712.54600000000005</v>
      </c>
      <c r="F82">
        <v>1</v>
      </c>
      <c r="G82" t="s">
        <v>20</v>
      </c>
    </row>
    <row r="83" spans="2:7" x14ac:dyDescent="0.3">
      <c r="B83" s="11">
        <v>45108</v>
      </c>
      <c r="C83" t="s">
        <v>100</v>
      </c>
      <c r="D83">
        <v>80161</v>
      </c>
      <c r="E83">
        <v>723.553</v>
      </c>
      <c r="F83">
        <v>1</v>
      </c>
      <c r="G83" t="s">
        <v>20</v>
      </c>
    </row>
    <row r="84" spans="2:7" x14ac:dyDescent="0.3">
      <c r="B84" s="11">
        <v>45139</v>
      </c>
      <c r="C84" t="s">
        <v>100</v>
      </c>
      <c r="D84">
        <v>83697</v>
      </c>
      <c r="E84">
        <v>750.18299999999999</v>
      </c>
      <c r="F84">
        <v>1</v>
      </c>
      <c r="G84" t="s">
        <v>20</v>
      </c>
    </row>
    <row r="85" spans="2:7" x14ac:dyDescent="0.3">
      <c r="B85" s="11">
        <v>45170</v>
      </c>
      <c r="C85" t="s">
        <v>100</v>
      </c>
      <c r="D85">
        <v>82475</v>
      </c>
      <c r="E85">
        <v>766.76900000000001</v>
      </c>
      <c r="F85">
        <v>1</v>
      </c>
      <c r="G85" t="s">
        <v>20</v>
      </c>
    </row>
    <row r="86" spans="2:7" x14ac:dyDescent="0.3">
      <c r="B86" s="11">
        <v>45200</v>
      </c>
      <c r="C86" t="s">
        <v>100</v>
      </c>
      <c r="D86">
        <v>78704</v>
      </c>
      <c r="E86">
        <v>686.59100000000001</v>
      </c>
      <c r="F86">
        <v>1</v>
      </c>
      <c r="G86" t="s">
        <v>20</v>
      </c>
    </row>
    <row r="87" spans="2:7" x14ac:dyDescent="0.3">
      <c r="B87" s="11">
        <v>45231</v>
      </c>
      <c r="C87" t="s">
        <v>100</v>
      </c>
      <c r="D87">
        <v>89277</v>
      </c>
      <c r="E87">
        <v>808.70600000000002</v>
      </c>
      <c r="F87">
        <v>1</v>
      </c>
      <c r="G87" t="s">
        <v>20</v>
      </c>
    </row>
    <row r="88" spans="2:7" x14ac:dyDescent="0.3">
      <c r="B88" s="11">
        <v>45261</v>
      </c>
      <c r="C88" t="s">
        <v>100</v>
      </c>
      <c r="D88">
        <v>87301</v>
      </c>
      <c r="E88">
        <v>752.80499999999995</v>
      </c>
      <c r="F88">
        <v>1</v>
      </c>
      <c r="G88" t="s">
        <v>20</v>
      </c>
    </row>
    <row r="89" spans="2:7" x14ac:dyDescent="0.3">
      <c r="B89" s="11">
        <v>45292</v>
      </c>
      <c r="C89" t="s">
        <v>100</v>
      </c>
      <c r="D89">
        <v>119840</v>
      </c>
      <c r="E89">
        <v>964.68499999999995</v>
      </c>
      <c r="F89">
        <v>1</v>
      </c>
      <c r="G89" t="s">
        <v>20</v>
      </c>
    </row>
    <row r="90" spans="2:7" x14ac:dyDescent="0.3">
      <c r="B90" s="11">
        <v>45323</v>
      </c>
      <c r="C90" t="s">
        <v>100</v>
      </c>
      <c r="D90">
        <v>91296</v>
      </c>
      <c r="E90">
        <v>695.18499999999995</v>
      </c>
      <c r="F90">
        <v>1</v>
      </c>
      <c r="G90" t="s">
        <v>20</v>
      </c>
    </row>
    <row r="91" spans="2:7" x14ac:dyDescent="0.3">
      <c r="B91" s="11">
        <v>45352</v>
      </c>
      <c r="C91" t="s">
        <v>100</v>
      </c>
      <c r="D91">
        <v>93169</v>
      </c>
      <c r="E91">
        <v>724.40800000000002</v>
      </c>
      <c r="F91">
        <v>1</v>
      </c>
      <c r="G91" t="s">
        <v>20</v>
      </c>
    </row>
    <row r="92" spans="2:7" x14ac:dyDescent="0.3">
      <c r="B92" s="11">
        <v>45383</v>
      </c>
      <c r="C92" t="s">
        <v>100</v>
      </c>
      <c r="D92">
        <v>93576</v>
      </c>
      <c r="E92">
        <v>754.09100000000001</v>
      </c>
      <c r="F92">
        <v>1</v>
      </c>
      <c r="G92" t="s">
        <v>20</v>
      </c>
    </row>
    <row r="93" spans="2:7" x14ac:dyDescent="0.3">
      <c r="B93" s="11">
        <v>45413</v>
      </c>
      <c r="C93" t="s">
        <v>100</v>
      </c>
      <c r="D93">
        <v>98359</v>
      </c>
      <c r="E93">
        <v>807.32600000000002</v>
      </c>
      <c r="F93">
        <v>1</v>
      </c>
      <c r="G93" t="s">
        <v>20</v>
      </c>
    </row>
    <row r="94" spans="2:7" x14ac:dyDescent="0.3">
      <c r="B94" s="11">
        <v>45444</v>
      </c>
      <c r="C94" t="s">
        <v>100</v>
      </c>
      <c r="D94">
        <v>103978</v>
      </c>
      <c r="E94">
        <v>886.73699999999997</v>
      </c>
      <c r="F94">
        <v>1</v>
      </c>
      <c r="G94" t="s">
        <v>20</v>
      </c>
    </row>
    <row r="95" spans="2:7" x14ac:dyDescent="0.3">
      <c r="B95" s="11">
        <v>45474</v>
      </c>
      <c r="C95" t="s">
        <v>100</v>
      </c>
      <c r="D95">
        <v>106675</v>
      </c>
      <c r="E95">
        <v>918.84799999999996</v>
      </c>
      <c r="F95">
        <v>1</v>
      </c>
      <c r="G95" t="s">
        <v>20</v>
      </c>
    </row>
    <row r="96" spans="2:7" x14ac:dyDescent="0.3">
      <c r="B96" s="11">
        <v>45505</v>
      </c>
      <c r="C96" t="s">
        <v>100</v>
      </c>
      <c r="D96">
        <v>107201</v>
      </c>
      <c r="E96">
        <v>939.69100000000003</v>
      </c>
      <c r="F96">
        <v>1</v>
      </c>
      <c r="G96" t="s">
        <v>20</v>
      </c>
    </row>
    <row r="97" spans="2:7" x14ac:dyDescent="0.3">
      <c r="B97" s="11">
        <v>45536</v>
      </c>
      <c r="C97" t="s">
        <v>100</v>
      </c>
      <c r="D97">
        <v>100825</v>
      </c>
      <c r="E97">
        <v>853.82299999999998</v>
      </c>
      <c r="F97">
        <v>1</v>
      </c>
      <c r="G97" t="s">
        <v>20</v>
      </c>
    </row>
    <row r="98" spans="2:7" x14ac:dyDescent="0.3">
      <c r="B98" s="11">
        <v>45566</v>
      </c>
      <c r="C98" t="s">
        <v>100</v>
      </c>
      <c r="D98">
        <v>98230</v>
      </c>
      <c r="E98">
        <v>806.596</v>
      </c>
      <c r="F98">
        <v>1</v>
      </c>
      <c r="G98" t="s">
        <v>20</v>
      </c>
    </row>
    <row r="99" spans="2:7" x14ac:dyDescent="0.3">
      <c r="B99" s="11">
        <v>45597</v>
      </c>
      <c r="C99" t="s">
        <v>100</v>
      </c>
      <c r="D99">
        <v>99269</v>
      </c>
      <c r="E99">
        <v>807.28200000000004</v>
      </c>
      <c r="F99">
        <v>1</v>
      </c>
      <c r="G99" t="s">
        <v>20</v>
      </c>
    </row>
    <row r="100" spans="2:7" x14ac:dyDescent="0.3">
      <c r="B100" s="11">
        <v>45627</v>
      </c>
      <c r="C100" t="s">
        <v>100</v>
      </c>
      <c r="D100">
        <v>118053</v>
      </c>
      <c r="E100">
        <v>1042.808</v>
      </c>
      <c r="F100">
        <v>1</v>
      </c>
      <c r="G100" t="s">
        <v>20</v>
      </c>
    </row>
    <row r="101" spans="2:7" x14ac:dyDescent="0.3">
      <c r="B101" s="11">
        <v>45658</v>
      </c>
      <c r="C101" t="s">
        <v>100</v>
      </c>
      <c r="D101">
        <v>140259</v>
      </c>
      <c r="E101">
        <v>1085.8520000000001</v>
      </c>
      <c r="F101">
        <v>1</v>
      </c>
      <c r="G101" t="s">
        <v>21</v>
      </c>
    </row>
    <row r="102" spans="2:7" x14ac:dyDescent="0.3">
      <c r="B102" s="11">
        <v>45689</v>
      </c>
      <c r="C102" t="s">
        <v>100</v>
      </c>
      <c r="D102">
        <v>140417</v>
      </c>
      <c r="E102">
        <v>1073.6790000000001</v>
      </c>
      <c r="F102">
        <v>1</v>
      </c>
      <c r="G102" t="s">
        <v>21</v>
      </c>
    </row>
    <row r="103" spans="2:7" x14ac:dyDescent="0.3">
      <c r="B103" s="11">
        <v>45717</v>
      </c>
      <c r="C103" t="s">
        <v>100</v>
      </c>
      <c r="D103">
        <v>120204</v>
      </c>
      <c r="E103">
        <v>920.23800000000006</v>
      </c>
      <c r="F103">
        <v>1</v>
      </c>
      <c r="G103" t="s">
        <v>21</v>
      </c>
    </row>
    <row r="104" spans="2:7" x14ac:dyDescent="0.3">
      <c r="B104" s="11">
        <v>45748</v>
      </c>
      <c r="C104" t="s">
        <v>100</v>
      </c>
      <c r="D104">
        <v>106881</v>
      </c>
      <c r="E104">
        <v>839.41700000000003</v>
      </c>
      <c r="F104">
        <v>1</v>
      </c>
      <c r="G104" t="s">
        <v>21</v>
      </c>
    </row>
    <row r="105" spans="2:7" x14ac:dyDescent="0.3">
      <c r="B105" s="11">
        <v>45778</v>
      </c>
      <c r="C105" t="s">
        <v>100</v>
      </c>
      <c r="D105">
        <v>108986</v>
      </c>
      <c r="E105">
        <v>896.44399999999996</v>
      </c>
      <c r="F105">
        <v>1</v>
      </c>
      <c r="G105" t="s">
        <v>21</v>
      </c>
    </row>
    <row r="106" spans="2:7" x14ac:dyDescent="0.3">
      <c r="B106" s="11">
        <v>45809</v>
      </c>
      <c r="C106" t="s">
        <v>100</v>
      </c>
      <c r="D106">
        <v>111185</v>
      </c>
      <c r="E106">
        <v>858.12099999999998</v>
      </c>
      <c r="F106">
        <v>1</v>
      </c>
      <c r="G106" t="s">
        <v>21</v>
      </c>
    </row>
    <row r="107" spans="2:7" x14ac:dyDescent="0.3">
      <c r="B107" s="11">
        <v>45839</v>
      </c>
      <c r="C107" t="s">
        <v>100</v>
      </c>
      <c r="D107">
        <v>112103</v>
      </c>
      <c r="E107">
        <v>905.19899999999996</v>
      </c>
      <c r="F107">
        <v>1</v>
      </c>
      <c r="G107" t="s">
        <v>21</v>
      </c>
    </row>
    <row r="108" spans="2:7" x14ac:dyDescent="0.3">
      <c r="B108" s="11">
        <v>45870</v>
      </c>
      <c r="C108" t="s">
        <v>100</v>
      </c>
      <c r="D108">
        <v>117146</v>
      </c>
      <c r="E108">
        <v>919.88599999999997</v>
      </c>
      <c r="F108">
        <v>1</v>
      </c>
      <c r="G108" t="s">
        <v>21</v>
      </c>
    </row>
    <row r="109" spans="2:7" x14ac:dyDescent="0.3">
      <c r="B109" s="11">
        <v>45901</v>
      </c>
      <c r="C109" t="s">
        <v>100</v>
      </c>
      <c r="D109">
        <v>95626</v>
      </c>
      <c r="E109">
        <v>768.59900000000005</v>
      </c>
      <c r="F109">
        <v>1</v>
      </c>
      <c r="G109" t="s">
        <v>21</v>
      </c>
    </row>
    <row r="110" spans="2:7" x14ac:dyDescent="0.3">
      <c r="B110" s="11">
        <v>45931</v>
      </c>
      <c r="C110" t="s">
        <v>100</v>
      </c>
      <c r="D110">
        <v>125809</v>
      </c>
      <c r="E110">
        <v>923.78200000000004</v>
      </c>
      <c r="F110">
        <v>1</v>
      </c>
      <c r="G110" t="s">
        <v>21</v>
      </c>
    </row>
    <row r="111" spans="2:7" x14ac:dyDescent="0.3">
      <c r="B111" s="11">
        <v>45962</v>
      </c>
      <c r="C111" t="s">
        <v>100</v>
      </c>
      <c r="D111">
        <v>105494</v>
      </c>
      <c r="E111">
        <v>798.53800000000001</v>
      </c>
      <c r="F111">
        <v>1</v>
      </c>
      <c r="G111" t="s">
        <v>21</v>
      </c>
    </row>
    <row r="112" spans="2:7" x14ac:dyDescent="0.3">
      <c r="B112" s="11">
        <v>45992</v>
      </c>
      <c r="C112" t="s">
        <v>100</v>
      </c>
      <c r="D112">
        <v>116397</v>
      </c>
      <c r="E112">
        <v>927.03399999999999</v>
      </c>
      <c r="F112">
        <v>1</v>
      </c>
      <c r="G112" t="s">
        <v>21</v>
      </c>
    </row>
    <row r="113" spans="2:7" x14ac:dyDescent="0.3">
      <c r="B113" s="11">
        <v>46023</v>
      </c>
      <c r="C113" t="s">
        <v>100</v>
      </c>
      <c r="D113">
        <v>137713</v>
      </c>
      <c r="E113">
        <v>1125.6659999999999</v>
      </c>
      <c r="F113">
        <v>1</v>
      </c>
      <c r="G113" t="s">
        <v>21</v>
      </c>
    </row>
    <row r="114" spans="2:7" x14ac:dyDescent="0.3">
      <c r="B114" s="11">
        <v>46054</v>
      </c>
      <c r="C114" t="s">
        <v>100</v>
      </c>
      <c r="D114">
        <v>115084</v>
      </c>
      <c r="E114">
        <v>875.90599999999995</v>
      </c>
      <c r="F114">
        <v>1</v>
      </c>
      <c r="G114" t="s">
        <v>21</v>
      </c>
    </row>
    <row r="115" spans="2:7" x14ac:dyDescent="0.3">
      <c r="B115" s="11">
        <v>46082</v>
      </c>
      <c r="C115" t="s">
        <v>100</v>
      </c>
      <c r="D115">
        <v>112528</v>
      </c>
      <c r="E115">
        <v>809.50900000000001</v>
      </c>
      <c r="F115">
        <v>1</v>
      </c>
      <c r="G115" t="s">
        <v>21</v>
      </c>
    </row>
    <row r="116" spans="2:7" x14ac:dyDescent="0.3">
      <c r="B116" s="11">
        <v>46113</v>
      </c>
      <c r="C116" t="s">
        <v>100</v>
      </c>
      <c r="D116">
        <v>104870</v>
      </c>
      <c r="E116">
        <v>771.29300000000001</v>
      </c>
      <c r="F116">
        <v>1</v>
      </c>
      <c r="G116" t="s">
        <v>21</v>
      </c>
    </row>
    <row r="117" spans="2:7" x14ac:dyDescent="0.3">
      <c r="B117" s="11">
        <v>46143</v>
      </c>
      <c r="C117" t="s">
        <v>100</v>
      </c>
      <c r="D117">
        <v>112552</v>
      </c>
      <c r="E117">
        <v>852.08199999999999</v>
      </c>
      <c r="F117">
        <v>1</v>
      </c>
      <c r="G117" t="s">
        <v>21</v>
      </c>
    </row>
    <row r="118" spans="2:7" x14ac:dyDescent="0.3">
      <c r="B118" s="11">
        <v>46174</v>
      </c>
      <c r="C118" t="s">
        <v>100</v>
      </c>
      <c r="D118">
        <v>108748</v>
      </c>
      <c r="E118">
        <v>806.32</v>
      </c>
      <c r="F118">
        <v>1</v>
      </c>
      <c r="G118" t="s">
        <v>21</v>
      </c>
    </row>
    <row r="119" spans="2:7" x14ac:dyDescent="0.3">
      <c r="B119" s="11">
        <v>45658</v>
      </c>
      <c r="C119" t="s">
        <v>95</v>
      </c>
      <c r="D119">
        <v>83544984</v>
      </c>
      <c r="E119">
        <v>597525.11499999999</v>
      </c>
      <c r="F119">
        <v>110074</v>
      </c>
      <c r="G119" t="s">
        <v>21</v>
      </c>
    </row>
    <row r="120" spans="2:7" x14ac:dyDescent="0.3">
      <c r="B120" s="11">
        <v>45658</v>
      </c>
      <c r="C120" t="s">
        <v>97</v>
      </c>
      <c r="D120">
        <v>45011596</v>
      </c>
      <c r="E120">
        <v>504724.804</v>
      </c>
      <c r="F120">
        <v>4240</v>
      </c>
      <c r="G120" t="s">
        <v>21</v>
      </c>
    </row>
    <row r="121" spans="2:7" x14ac:dyDescent="0.3">
      <c r="B121" s="11">
        <v>45658</v>
      </c>
      <c r="C121" t="s">
        <v>92</v>
      </c>
      <c r="D121">
        <v>151764882</v>
      </c>
      <c r="E121">
        <v>832830.44099999999</v>
      </c>
      <c r="F121">
        <v>835265</v>
      </c>
      <c r="G121" t="s">
        <v>21</v>
      </c>
    </row>
    <row r="122" spans="2:7" x14ac:dyDescent="0.3">
      <c r="B122" s="11">
        <v>45689</v>
      </c>
      <c r="C122" t="s">
        <v>95</v>
      </c>
      <c r="D122">
        <v>75810146</v>
      </c>
      <c r="E122">
        <v>492706.15500000003</v>
      </c>
      <c r="F122">
        <v>110207</v>
      </c>
      <c r="G122" t="s">
        <v>21</v>
      </c>
    </row>
    <row r="123" spans="2:7" x14ac:dyDescent="0.3">
      <c r="B123" s="11">
        <v>45689</v>
      </c>
      <c r="C123" t="s">
        <v>97</v>
      </c>
      <c r="D123">
        <v>39294549</v>
      </c>
      <c r="E123">
        <v>427157.304</v>
      </c>
      <c r="F123">
        <v>4233</v>
      </c>
      <c r="G123" t="s">
        <v>21</v>
      </c>
    </row>
    <row r="124" spans="2:7" x14ac:dyDescent="0.3">
      <c r="B124" s="11">
        <v>45689</v>
      </c>
      <c r="C124" t="s">
        <v>92</v>
      </c>
      <c r="D124">
        <v>137043183</v>
      </c>
      <c r="E124">
        <v>738078.33499999996</v>
      </c>
      <c r="F124">
        <v>837706</v>
      </c>
      <c r="G124" t="s">
        <v>21</v>
      </c>
    </row>
    <row r="125" spans="2:7" x14ac:dyDescent="0.3">
      <c r="B125" s="11">
        <v>45717</v>
      </c>
      <c r="C125" t="s">
        <v>95</v>
      </c>
      <c r="D125">
        <v>80388994</v>
      </c>
      <c r="E125">
        <v>538147.40800000005</v>
      </c>
      <c r="F125">
        <v>110151</v>
      </c>
      <c r="G125" t="s">
        <v>21</v>
      </c>
    </row>
    <row r="126" spans="2:7" x14ac:dyDescent="0.3">
      <c r="B126" s="11">
        <v>45717</v>
      </c>
      <c r="C126" t="s">
        <v>97</v>
      </c>
      <c r="D126">
        <v>43010793</v>
      </c>
      <c r="E126">
        <v>467056.06099999999</v>
      </c>
      <c r="F126">
        <v>4311</v>
      </c>
      <c r="G126" t="s">
        <v>21</v>
      </c>
    </row>
    <row r="127" spans="2:7" x14ac:dyDescent="0.3">
      <c r="B127" s="11">
        <v>45717</v>
      </c>
      <c r="C127" t="s">
        <v>92</v>
      </c>
      <c r="D127">
        <v>124082406</v>
      </c>
      <c r="E127">
        <v>654765.29299999995</v>
      </c>
      <c r="F127">
        <v>838355</v>
      </c>
      <c r="G127" t="s">
        <v>21</v>
      </c>
    </row>
    <row r="128" spans="2:7" x14ac:dyDescent="0.3">
      <c r="B128" s="11">
        <v>45748</v>
      </c>
      <c r="C128" t="s">
        <v>95</v>
      </c>
      <c r="D128">
        <v>75807730</v>
      </c>
      <c r="E128">
        <v>493733.36200000002</v>
      </c>
      <c r="F128">
        <v>110221</v>
      </c>
      <c r="G128" t="s">
        <v>21</v>
      </c>
    </row>
    <row r="129" spans="2:7" x14ac:dyDescent="0.3">
      <c r="B129" s="11">
        <v>45748</v>
      </c>
      <c r="C129" t="s">
        <v>97</v>
      </c>
      <c r="D129">
        <v>42180691</v>
      </c>
      <c r="E129">
        <v>462130.18199999997</v>
      </c>
      <c r="F129">
        <v>4203</v>
      </c>
      <c r="G129" t="s">
        <v>21</v>
      </c>
    </row>
    <row r="130" spans="2:7" x14ac:dyDescent="0.3">
      <c r="B130" s="11">
        <v>45748</v>
      </c>
      <c r="C130" t="s">
        <v>92</v>
      </c>
      <c r="D130">
        <v>99542540</v>
      </c>
      <c r="E130">
        <v>524837.79200000002</v>
      </c>
      <c r="F130">
        <v>839466</v>
      </c>
      <c r="G130" t="s">
        <v>21</v>
      </c>
    </row>
    <row r="131" spans="2:7" x14ac:dyDescent="0.3">
      <c r="B131" s="11">
        <v>45778</v>
      </c>
      <c r="C131" t="s">
        <v>95</v>
      </c>
      <c r="D131">
        <v>74784043</v>
      </c>
      <c r="E131">
        <v>501079.17</v>
      </c>
      <c r="F131">
        <v>110221</v>
      </c>
      <c r="G131" t="s">
        <v>21</v>
      </c>
    </row>
    <row r="132" spans="2:7" x14ac:dyDescent="0.3">
      <c r="B132" s="11">
        <v>45778</v>
      </c>
      <c r="C132" t="s">
        <v>97</v>
      </c>
      <c r="D132">
        <v>45063440</v>
      </c>
      <c r="E132">
        <v>482142.6</v>
      </c>
      <c r="F132">
        <v>4273</v>
      </c>
      <c r="G132" t="s">
        <v>21</v>
      </c>
    </row>
    <row r="133" spans="2:7" x14ac:dyDescent="0.3">
      <c r="B133" s="11">
        <v>45778</v>
      </c>
      <c r="C133" t="s">
        <v>92</v>
      </c>
      <c r="D133">
        <v>96334062</v>
      </c>
      <c r="E133">
        <v>500630.43199999997</v>
      </c>
      <c r="F133">
        <v>839880</v>
      </c>
      <c r="G133" t="s">
        <v>21</v>
      </c>
    </row>
    <row r="134" spans="2:7" x14ac:dyDescent="0.3">
      <c r="B134" s="11">
        <v>45809</v>
      </c>
      <c r="C134" t="s">
        <v>95</v>
      </c>
      <c r="D134">
        <v>78212959</v>
      </c>
      <c r="E134">
        <v>529999.25699999998</v>
      </c>
      <c r="F134">
        <v>110061</v>
      </c>
      <c r="G134" t="s">
        <v>21</v>
      </c>
    </row>
    <row r="135" spans="2:7" x14ac:dyDescent="0.3">
      <c r="B135" s="11">
        <v>45809</v>
      </c>
      <c r="C135" t="s">
        <v>97</v>
      </c>
      <c r="D135">
        <v>46233313</v>
      </c>
      <c r="E135">
        <v>489686.391</v>
      </c>
      <c r="F135">
        <v>4362</v>
      </c>
      <c r="G135" t="s">
        <v>21</v>
      </c>
    </row>
    <row r="136" spans="2:7" x14ac:dyDescent="0.3">
      <c r="B136" s="11">
        <v>45809</v>
      </c>
      <c r="C136" t="s">
        <v>92</v>
      </c>
      <c r="D136">
        <v>103526371</v>
      </c>
      <c r="E136">
        <v>546110.19400000002</v>
      </c>
      <c r="F136">
        <v>840422</v>
      </c>
      <c r="G136" t="s">
        <v>21</v>
      </c>
    </row>
    <row r="137" spans="2:7" x14ac:dyDescent="0.3">
      <c r="B137" s="11">
        <v>45839</v>
      </c>
      <c r="C137" t="s">
        <v>95</v>
      </c>
      <c r="D137">
        <v>83054344</v>
      </c>
      <c r="E137">
        <v>577118.44099999999</v>
      </c>
      <c r="F137">
        <v>110213</v>
      </c>
      <c r="G137" t="s">
        <v>21</v>
      </c>
    </row>
    <row r="138" spans="2:7" x14ac:dyDescent="0.3">
      <c r="B138" s="11">
        <v>45839</v>
      </c>
      <c r="C138" t="s">
        <v>97</v>
      </c>
      <c r="D138">
        <v>50047942</v>
      </c>
      <c r="E138">
        <v>528241.18200000003</v>
      </c>
      <c r="F138">
        <v>4300</v>
      </c>
      <c r="G138" t="s">
        <v>21</v>
      </c>
    </row>
    <row r="139" spans="2:7" x14ac:dyDescent="0.3">
      <c r="B139" s="11">
        <v>45839</v>
      </c>
      <c r="C139" t="s">
        <v>92</v>
      </c>
      <c r="D139">
        <v>127019141</v>
      </c>
      <c r="E139">
        <v>682845.05</v>
      </c>
      <c r="F139">
        <v>840707</v>
      </c>
      <c r="G139" t="s">
        <v>21</v>
      </c>
    </row>
    <row r="140" spans="2:7" x14ac:dyDescent="0.3">
      <c r="B140" s="11">
        <v>45870</v>
      </c>
      <c r="C140" t="s">
        <v>95</v>
      </c>
      <c r="D140">
        <v>86482629</v>
      </c>
      <c r="E140">
        <v>594591.95299999998</v>
      </c>
      <c r="F140">
        <v>109967</v>
      </c>
      <c r="G140" t="s">
        <v>21</v>
      </c>
    </row>
    <row r="141" spans="2:7" x14ac:dyDescent="0.3">
      <c r="B141" s="11">
        <v>45870</v>
      </c>
      <c r="C141" t="s">
        <v>97</v>
      </c>
      <c r="D141">
        <v>51193170</v>
      </c>
      <c r="E141">
        <v>547856.83499999996</v>
      </c>
      <c r="F141">
        <v>4291</v>
      </c>
      <c r="G141" t="s">
        <v>21</v>
      </c>
    </row>
    <row r="142" spans="2:7" x14ac:dyDescent="0.3">
      <c r="B142" s="11">
        <v>45870</v>
      </c>
      <c r="C142" t="s">
        <v>92</v>
      </c>
      <c r="D142">
        <v>130481433</v>
      </c>
      <c r="E142">
        <v>697226.34499999997</v>
      </c>
      <c r="F142">
        <v>841194</v>
      </c>
      <c r="G142" t="s">
        <v>21</v>
      </c>
    </row>
    <row r="143" spans="2:7" x14ac:dyDescent="0.3">
      <c r="B143" s="11">
        <v>45901</v>
      </c>
      <c r="C143" t="s">
        <v>95</v>
      </c>
      <c r="D143">
        <v>78171158</v>
      </c>
      <c r="E143">
        <v>531767.97199999995</v>
      </c>
      <c r="F143">
        <v>110327</v>
      </c>
      <c r="G143" t="s">
        <v>21</v>
      </c>
    </row>
    <row r="144" spans="2:7" x14ac:dyDescent="0.3">
      <c r="B144" s="11">
        <v>45901</v>
      </c>
      <c r="C144" t="s">
        <v>97</v>
      </c>
      <c r="D144">
        <v>50319355</v>
      </c>
      <c r="E144">
        <v>530916.80599999998</v>
      </c>
      <c r="F144">
        <v>4326</v>
      </c>
      <c r="G144" t="s">
        <v>21</v>
      </c>
    </row>
    <row r="145" spans="2:7" x14ac:dyDescent="0.3">
      <c r="B145" s="11">
        <v>45901</v>
      </c>
      <c r="C145" t="s">
        <v>92</v>
      </c>
      <c r="D145">
        <v>101796416</v>
      </c>
      <c r="E145">
        <v>530607.103</v>
      </c>
      <c r="F145">
        <v>841869</v>
      </c>
      <c r="G145" t="s">
        <v>21</v>
      </c>
    </row>
    <row r="146" spans="2:7" x14ac:dyDescent="0.3">
      <c r="B146" s="11">
        <v>45931</v>
      </c>
      <c r="C146" t="s">
        <v>95</v>
      </c>
      <c r="D146">
        <v>74575642</v>
      </c>
      <c r="E146">
        <v>499458.109</v>
      </c>
      <c r="F146">
        <v>110441</v>
      </c>
      <c r="G146" t="s">
        <v>21</v>
      </c>
    </row>
    <row r="147" spans="2:7" x14ac:dyDescent="0.3">
      <c r="B147" s="11">
        <v>45931</v>
      </c>
      <c r="C147" t="s">
        <v>97</v>
      </c>
      <c r="D147">
        <v>47781063</v>
      </c>
      <c r="E147">
        <v>518810.34299999999</v>
      </c>
      <c r="F147">
        <v>4296</v>
      </c>
      <c r="G147" t="s">
        <v>21</v>
      </c>
    </row>
    <row r="148" spans="2:7" x14ac:dyDescent="0.3">
      <c r="B148" s="11">
        <v>45931</v>
      </c>
      <c r="C148" t="s">
        <v>92</v>
      </c>
      <c r="D148">
        <v>103907764</v>
      </c>
      <c r="E148">
        <v>543903.08200000005</v>
      </c>
      <c r="F148">
        <v>842935</v>
      </c>
      <c r="G148" t="s">
        <v>21</v>
      </c>
    </row>
    <row r="149" spans="2:7" x14ac:dyDescent="0.3">
      <c r="B149" s="11">
        <v>45962</v>
      </c>
      <c r="C149" t="s">
        <v>95</v>
      </c>
      <c r="D149">
        <v>73568204</v>
      </c>
      <c r="E149">
        <v>481930.85100000002</v>
      </c>
      <c r="F149">
        <v>110421</v>
      </c>
      <c r="G149" t="s">
        <v>21</v>
      </c>
    </row>
    <row r="150" spans="2:7" x14ac:dyDescent="0.3">
      <c r="B150" s="11">
        <v>45962</v>
      </c>
      <c r="C150" t="s">
        <v>97</v>
      </c>
      <c r="D150">
        <v>45171427</v>
      </c>
      <c r="E150">
        <v>491293.96299999999</v>
      </c>
      <c r="F150">
        <v>4256</v>
      </c>
      <c r="G150" t="s">
        <v>21</v>
      </c>
    </row>
    <row r="151" spans="2:7" x14ac:dyDescent="0.3">
      <c r="B151" s="11">
        <v>45962</v>
      </c>
      <c r="C151" t="s">
        <v>92</v>
      </c>
      <c r="D151">
        <v>117598894</v>
      </c>
      <c r="E151">
        <v>620915.02</v>
      </c>
      <c r="F151">
        <v>843373</v>
      </c>
      <c r="G151" t="s">
        <v>21</v>
      </c>
    </row>
    <row r="152" spans="2:7" x14ac:dyDescent="0.3">
      <c r="B152" s="11">
        <v>45992</v>
      </c>
      <c r="C152" t="s">
        <v>95</v>
      </c>
      <c r="D152">
        <v>80773770</v>
      </c>
      <c r="E152">
        <v>547031.70900000003</v>
      </c>
      <c r="F152">
        <v>110212</v>
      </c>
      <c r="G152" t="s">
        <v>21</v>
      </c>
    </row>
    <row r="153" spans="2:7" x14ac:dyDescent="0.3">
      <c r="B153" s="11">
        <v>45992</v>
      </c>
      <c r="C153" t="s">
        <v>97</v>
      </c>
      <c r="D153">
        <v>48612533</v>
      </c>
      <c r="E153">
        <v>525975.04299999995</v>
      </c>
      <c r="F153">
        <v>4312</v>
      </c>
      <c r="G153" t="s">
        <v>21</v>
      </c>
    </row>
    <row r="154" spans="2:7" x14ac:dyDescent="0.3">
      <c r="B154" s="11">
        <v>45992</v>
      </c>
      <c r="C154" t="s">
        <v>92</v>
      </c>
      <c r="D154">
        <v>134587876</v>
      </c>
      <c r="E154">
        <v>723548.52099999995</v>
      </c>
      <c r="F154">
        <v>844308</v>
      </c>
      <c r="G154" t="s">
        <v>21</v>
      </c>
    </row>
    <row r="155" spans="2:7" x14ac:dyDescent="0.3">
      <c r="B155" s="11">
        <v>46023</v>
      </c>
      <c r="C155" t="s">
        <v>95</v>
      </c>
      <c r="D155">
        <v>80414049</v>
      </c>
      <c r="E155">
        <v>559401.35100000002</v>
      </c>
      <c r="F155">
        <v>110273</v>
      </c>
      <c r="G155" t="s">
        <v>21</v>
      </c>
    </row>
    <row r="156" spans="2:7" x14ac:dyDescent="0.3">
      <c r="B156" s="11">
        <v>46023</v>
      </c>
      <c r="C156" t="s">
        <v>97</v>
      </c>
      <c r="D156">
        <v>46629218</v>
      </c>
      <c r="E156">
        <v>519616.38</v>
      </c>
      <c r="F156">
        <v>4310</v>
      </c>
      <c r="G156" t="s">
        <v>21</v>
      </c>
    </row>
    <row r="157" spans="2:7" x14ac:dyDescent="0.3">
      <c r="B157" s="11">
        <v>46023</v>
      </c>
      <c r="C157" t="s">
        <v>92</v>
      </c>
      <c r="D157">
        <v>144314450</v>
      </c>
      <c r="E157">
        <v>801286.41200000001</v>
      </c>
      <c r="F157">
        <v>845079</v>
      </c>
      <c r="G157" t="s">
        <v>21</v>
      </c>
    </row>
    <row r="158" spans="2:7" x14ac:dyDescent="0.3">
      <c r="B158" s="11">
        <v>46054</v>
      </c>
      <c r="C158" t="s">
        <v>95</v>
      </c>
      <c r="D158">
        <v>72983818</v>
      </c>
      <c r="E158">
        <v>500050.10600000003</v>
      </c>
      <c r="F158">
        <v>110510</v>
      </c>
      <c r="G158" t="s">
        <v>21</v>
      </c>
    </row>
    <row r="159" spans="2:7" x14ac:dyDescent="0.3">
      <c r="B159" s="11">
        <v>46054</v>
      </c>
      <c r="C159" t="s">
        <v>97</v>
      </c>
      <c r="D159">
        <v>43913196</v>
      </c>
      <c r="E159">
        <v>481164.26500000001</v>
      </c>
      <c r="F159">
        <v>4303</v>
      </c>
      <c r="G159" t="s">
        <v>21</v>
      </c>
    </row>
    <row r="160" spans="2:7" x14ac:dyDescent="0.3">
      <c r="B160" s="11">
        <v>46054</v>
      </c>
      <c r="C160" t="s">
        <v>92</v>
      </c>
      <c r="D160">
        <v>119434821</v>
      </c>
      <c r="E160">
        <v>658313.46400000004</v>
      </c>
      <c r="F160">
        <v>845421</v>
      </c>
      <c r="G160" t="s">
        <v>21</v>
      </c>
    </row>
    <row r="161" spans="2:7" x14ac:dyDescent="0.3">
      <c r="B161" s="11">
        <v>46082</v>
      </c>
      <c r="C161" t="s">
        <v>95</v>
      </c>
      <c r="D161">
        <v>79333281</v>
      </c>
      <c r="E161">
        <v>530717.63</v>
      </c>
      <c r="F161">
        <v>110584</v>
      </c>
      <c r="G161" t="s">
        <v>21</v>
      </c>
    </row>
    <row r="162" spans="2:7" x14ac:dyDescent="0.3">
      <c r="B162" s="11">
        <v>46082</v>
      </c>
      <c r="C162" t="s">
        <v>97</v>
      </c>
      <c r="D162">
        <v>48486370</v>
      </c>
      <c r="E162">
        <v>527868.44499999995</v>
      </c>
      <c r="F162">
        <v>4303</v>
      </c>
      <c r="G162" t="s">
        <v>21</v>
      </c>
    </row>
    <row r="163" spans="2:7" x14ac:dyDescent="0.3">
      <c r="B163" s="11">
        <v>46082</v>
      </c>
      <c r="C163" t="s">
        <v>92</v>
      </c>
      <c r="D163">
        <v>113584646</v>
      </c>
      <c r="E163">
        <v>626969.57900000003</v>
      </c>
      <c r="F163">
        <v>845954</v>
      </c>
      <c r="G163" t="s">
        <v>21</v>
      </c>
    </row>
    <row r="164" spans="2:7" x14ac:dyDescent="0.3">
      <c r="B164" s="11">
        <v>46113</v>
      </c>
      <c r="C164" t="s">
        <v>95</v>
      </c>
      <c r="D164">
        <v>76388620</v>
      </c>
      <c r="E164">
        <v>471399.614</v>
      </c>
      <c r="F164">
        <v>110424</v>
      </c>
      <c r="G164" t="s">
        <v>21</v>
      </c>
    </row>
    <row r="165" spans="2:7" x14ac:dyDescent="0.3">
      <c r="B165" s="11">
        <v>46113</v>
      </c>
      <c r="C165" t="s">
        <v>97</v>
      </c>
      <c r="D165">
        <v>52052562</v>
      </c>
      <c r="E165">
        <v>569165.73899999994</v>
      </c>
      <c r="F165">
        <v>4304</v>
      </c>
      <c r="G165" t="s">
        <v>21</v>
      </c>
    </row>
    <row r="166" spans="2:7" x14ac:dyDescent="0.3">
      <c r="B166" s="11">
        <v>46113</v>
      </c>
      <c r="C166" t="s">
        <v>92</v>
      </c>
      <c r="D166">
        <v>105039094</v>
      </c>
      <c r="E166">
        <v>529952.37800000003</v>
      </c>
      <c r="F166">
        <v>846300</v>
      </c>
      <c r="G166" t="s">
        <v>21</v>
      </c>
    </row>
    <row r="167" spans="2:7" x14ac:dyDescent="0.3">
      <c r="B167" s="11">
        <v>46143</v>
      </c>
      <c r="C167" t="s">
        <v>95</v>
      </c>
      <c r="D167">
        <v>82570086</v>
      </c>
      <c r="E167">
        <v>514098.663</v>
      </c>
      <c r="F167">
        <v>110377</v>
      </c>
      <c r="G167" t="s">
        <v>21</v>
      </c>
    </row>
    <row r="168" spans="2:7" x14ac:dyDescent="0.3">
      <c r="B168" s="11">
        <v>46143</v>
      </c>
      <c r="C168" t="s">
        <v>97</v>
      </c>
      <c r="D168">
        <v>54607058</v>
      </c>
      <c r="E168">
        <v>549752.59199999995</v>
      </c>
      <c r="F168">
        <v>4318</v>
      </c>
      <c r="G168" t="s">
        <v>21</v>
      </c>
    </row>
    <row r="169" spans="2:7" x14ac:dyDescent="0.3">
      <c r="B169" s="11">
        <v>46143</v>
      </c>
      <c r="C169" t="s">
        <v>92</v>
      </c>
      <c r="D169">
        <v>101981458</v>
      </c>
      <c r="E169">
        <v>504999.75099999999</v>
      </c>
      <c r="F169">
        <v>846323</v>
      </c>
      <c r="G169" t="s">
        <v>21</v>
      </c>
    </row>
    <row r="170" spans="2:7" x14ac:dyDescent="0.3">
      <c r="B170" s="11">
        <v>46174</v>
      </c>
      <c r="C170" t="s">
        <v>95</v>
      </c>
      <c r="D170">
        <v>82615252</v>
      </c>
      <c r="E170">
        <v>524863.12</v>
      </c>
      <c r="F170">
        <v>110492</v>
      </c>
      <c r="G170" t="s">
        <v>21</v>
      </c>
    </row>
    <row r="171" spans="2:7" x14ac:dyDescent="0.3">
      <c r="B171" s="11">
        <v>46174</v>
      </c>
      <c r="C171" t="s">
        <v>97</v>
      </c>
      <c r="D171">
        <v>54132388</v>
      </c>
      <c r="E171">
        <v>529905.67200000002</v>
      </c>
      <c r="F171">
        <v>4318</v>
      </c>
      <c r="G171" t="s">
        <v>21</v>
      </c>
    </row>
    <row r="172" spans="2:7" x14ac:dyDescent="0.3">
      <c r="B172" s="11">
        <v>46174</v>
      </c>
      <c r="C172" t="s">
        <v>92</v>
      </c>
      <c r="D172">
        <v>110790293</v>
      </c>
      <c r="E172">
        <v>556176.63399999996</v>
      </c>
      <c r="F172">
        <v>846477</v>
      </c>
      <c r="G172" t="s">
        <v>21</v>
      </c>
    </row>
    <row r="173" spans="2:7" x14ac:dyDescent="0.3">
      <c r="B173" s="11">
        <v>42736</v>
      </c>
      <c r="C173" t="s">
        <v>92</v>
      </c>
      <c r="D173">
        <v>110997693</v>
      </c>
      <c r="E173">
        <v>990661.44799999997</v>
      </c>
      <c r="F173">
        <v>757251</v>
      </c>
      <c r="G173" t="s">
        <v>20</v>
      </c>
    </row>
    <row r="174" spans="2:7" x14ac:dyDescent="0.3">
      <c r="B174" s="11">
        <v>42767</v>
      </c>
      <c r="C174" t="s">
        <v>92</v>
      </c>
      <c r="D174">
        <v>81627307</v>
      </c>
      <c r="E174">
        <v>706887.00800000003</v>
      </c>
      <c r="F174">
        <v>758015</v>
      </c>
      <c r="G174" t="s">
        <v>20</v>
      </c>
    </row>
    <row r="175" spans="2:7" x14ac:dyDescent="0.3">
      <c r="B175" s="11">
        <v>42795</v>
      </c>
      <c r="C175" t="s">
        <v>92</v>
      </c>
      <c r="D175">
        <v>78026217</v>
      </c>
      <c r="E175">
        <v>685946.94799999997</v>
      </c>
      <c r="F175">
        <v>758996</v>
      </c>
      <c r="G175" t="s">
        <v>20</v>
      </c>
    </row>
    <row r="176" spans="2:7" x14ac:dyDescent="0.3">
      <c r="B176" s="11">
        <v>42826</v>
      </c>
      <c r="C176" t="s">
        <v>92</v>
      </c>
      <c r="D176">
        <v>64403075</v>
      </c>
      <c r="E176">
        <v>560747.10400000005</v>
      </c>
      <c r="F176">
        <v>760084</v>
      </c>
      <c r="G176" t="s">
        <v>20</v>
      </c>
    </row>
    <row r="177" spans="2:7" x14ac:dyDescent="0.3">
      <c r="B177" s="11">
        <v>42856</v>
      </c>
      <c r="C177" t="s">
        <v>92</v>
      </c>
      <c r="D177">
        <v>63841548</v>
      </c>
      <c r="E177">
        <v>553137.44900000002</v>
      </c>
      <c r="F177">
        <v>761492</v>
      </c>
      <c r="G177" t="s">
        <v>20</v>
      </c>
    </row>
    <row r="178" spans="2:7" x14ac:dyDescent="0.3">
      <c r="B178" s="11">
        <v>42887</v>
      </c>
      <c r="C178" t="s">
        <v>92</v>
      </c>
      <c r="D178">
        <v>59012256</v>
      </c>
      <c r="E178">
        <v>511914.908</v>
      </c>
      <c r="F178">
        <v>762754</v>
      </c>
      <c r="G178" t="s">
        <v>20</v>
      </c>
    </row>
    <row r="179" spans="2:7" x14ac:dyDescent="0.3">
      <c r="B179" s="11">
        <v>42917</v>
      </c>
      <c r="C179" t="s">
        <v>92</v>
      </c>
      <c r="D179">
        <v>67639659</v>
      </c>
      <c r="E179">
        <v>590015.04099999997</v>
      </c>
      <c r="F179">
        <v>763442</v>
      </c>
      <c r="G179" t="s">
        <v>20</v>
      </c>
    </row>
    <row r="180" spans="2:7" x14ac:dyDescent="0.3">
      <c r="B180" s="11">
        <v>42948</v>
      </c>
      <c r="C180" t="s">
        <v>92</v>
      </c>
      <c r="D180">
        <v>78413123</v>
      </c>
      <c r="E180">
        <v>686167.89899999998</v>
      </c>
      <c r="F180">
        <v>763365</v>
      </c>
      <c r="G180" t="s">
        <v>20</v>
      </c>
    </row>
    <row r="181" spans="2:7" x14ac:dyDescent="0.3">
      <c r="B181" s="11">
        <v>42979</v>
      </c>
      <c r="C181" t="s">
        <v>92</v>
      </c>
      <c r="D181">
        <v>61838858</v>
      </c>
      <c r="E181">
        <v>540908.125</v>
      </c>
      <c r="F181">
        <v>763852</v>
      </c>
      <c r="G181" t="s">
        <v>20</v>
      </c>
    </row>
    <row r="182" spans="2:7" x14ac:dyDescent="0.3">
      <c r="B182" s="11">
        <v>43009</v>
      </c>
      <c r="C182" t="s">
        <v>92</v>
      </c>
      <c r="D182">
        <v>59806052</v>
      </c>
      <c r="E182">
        <v>511187.114</v>
      </c>
      <c r="F182">
        <v>764638</v>
      </c>
      <c r="G182" t="s">
        <v>20</v>
      </c>
    </row>
    <row r="183" spans="2:7" x14ac:dyDescent="0.3">
      <c r="B183" s="11">
        <v>43040</v>
      </c>
      <c r="C183" t="s">
        <v>92</v>
      </c>
      <c r="D183">
        <v>75608043</v>
      </c>
      <c r="E183">
        <v>660141.12199999997</v>
      </c>
      <c r="F183">
        <v>765628</v>
      </c>
      <c r="G183" t="s">
        <v>20</v>
      </c>
    </row>
    <row r="184" spans="2:7" x14ac:dyDescent="0.3">
      <c r="B184" s="11">
        <v>43070</v>
      </c>
      <c r="C184" t="s">
        <v>92</v>
      </c>
      <c r="D184">
        <v>98957971</v>
      </c>
      <c r="E184">
        <v>881871.09900000005</v>
      </c>
      <c r="F184">
        <v>767012</v>
      </c>
      <c r="G184" t="s">
        <v>20</v>
      </c>
    </row>
    <row r="185" spans="2:7" x14ac:dyDescent="0.3">
      <c r="B185" s="11">
        <v>43101</v>
      </c>
      <c r="C185" t="s">
        <v>92</v>
      </c>
      <c r="D185">
        <v>91240207</v>
      </c>
      <c r="E185">
        <v>782520.01800000004</v>
      </c>
      <c r="F185">
        <v>767940</v>
      </c>
      <c r="G185" t="s">
        <v>20</v>
      </c>
    </row>
    <row r="186" spans="2:7" x14ac:dyDescent="0.3">
      <c r="B186" s="11">
        <v>43132</v>
      </c>
      <c r="C186" t="s">
        <v>92</v>
      </c>
      <c r="D186">
        <v>80111556</v>
      </c>
      <c r="E186">
        <v>667419.772</v>
      </c>
      <c r="F186">
        <v>768875</v>
      </c>
      <c r="G186" t="s">
        <v>20</v>
      </c>
    </row>
    <row r="187" spans="2:7" x14ac:dyDescent="0.3">
      <c r="B187" s="11">
        <v>43160</v>
      </c>
      <c r="C187" t="s">
        <v>92</v>
      </c>
      <c r="D187">
        <v>80997766</v>
      </c>
      <c r="E187">
        <v>683257.18400000001</v>
      </c>
      <c r="F187">
        <v>769843</v>
      </c>
      <c r="G187" t="s">
        <v>20</v>
      </c>
    </row>
    <row r="188" spans="2:7" x14ac:dyDescent="0.3">
      <c r="B188" s="11">
        <v>43191</v>
      </c>
      <c r="C188" t="s">
        <v>92</v>
      </c>
      <c r="D188">
        <v>71988386</v>
      </c>
      <c r="E188">
        <v>598978.50899999996</v>
      </c>
      <c r="F188">
        <v>770784</v>
      </c>
      <c r="G188" t="s">
        <v>20</v>
      </c>
    </row>
    <row r="189" spans="2:7" x14ac:dyDescent="0.3">
      <c r="B189" s="11">
        <v>43221</v>
      </c>
      <c r="C189" t="s">
        <v>92</v>
      </c>
      <c r="D189">
        <v>64791546</v>
      </c>
      <c r="E189">
        <v>531853.49800000002</v>
      </c>
      <c r="F189">
        <v>799709</v>
      </c>
      <c r="G189" t="s">
        <v>20</v>
      </c>
    </row>
    <row r="190" spans="2:7" x14ac:dyDescent="0.3">
      <c r="B190" s="11">
        <v>43252</v>
      </c>
      <c r="C190" t="s">
        <v>92</v>
      </c>
      <c r="D190">
        <v>57746981</v>
      </c>
      <c r="E190">
        <v>481480.29</v>
      </c>
      <c r="F190">
        <v>800797</v>
      </c>
      <c r="G190" t="s">
        <v>20</v>
      </c>
    </row>
    <row r="191" spans="2:7" x14ac:dyDescent="0.3">
      <c r="B191" s="11">
        <v>43282</v>
      </c>
      <c r="C191" t="s">
        <v>92</v>
      </c>
      <c r="D191">
        <v>76021556</v>
      </c>
      <c r="E191">
        <v>605692.41</v>
      </c>
      <c r="F191">
        <v>773399</v>
      </c>
      <c r="G191" t="s">
        <v>20</v>
      </c>
    </row>
    <row r="192" spans="2:7" x14ac:dyDescent="0.3">
      <c r="B192" s="11">
        <v>43313</v>
      </c>
      <c r="C192" t="s">
        <v>92</v>
      </c>
      <c r="D192">
        <v>74373244</v>
      </c>
      <c r="E192">
        <v>626326.62199999997</v>
      </c>
      <c r="F192">
        <v>774482</v>
      </c>
      <c r="G192" t="s">
        <v>20</v>
      </c>
    </row>
    <row r="193" spans="2:7" x14ac:dyDescent="0.3">
      <c r="B193" s="11">
        <v>43344</v>
      </c>
      <c r="C193" t="s">
        <v>92</v>
      </c>
      <c r="D193">
        <v>58496447</v>
      </c>
      <c r="E193">
        <v>479418.86200000002</v>
      </c>
      <c r="F193">
        <v>768589</v>
      </c>
      <c r="G193" t="s">
        <v>20</v>
      </c>
    </row>
    <row r="194" spans="2:7" x14ac:dyDescent="0.3">
      <c r="B194" s="11">
        <v>43374</v>
      </c>
      <c r="C194" t="s">
        <v>92</v>
      </c>
      <c r="D194">
        <v>61711960</v>
      </c>
      <c r="E194">
        <v>500522.51199999999</v>
      </c>
      <c r="F194">
        <v>774532</v>
      </c>
      <c r="G194" t="s">
        <v>20</v>
      </c>
    </row>
    <row r="195" spans="2:7" x14ac:dyDescent="0.3">
      <c r="B195" s="11">
        <v>43405</v>
      </c>
      <c r="C195" t="s">
        <v>92</v>
      </c>
      <c r="D195">
        <v>75299761</v>
      </c>
      <c r="E195">
        <v>627928.25</v>
      </c>
      <c r="F195">
        <v>775802</v>
      </c>
      <c r="G195" t="s">
        <v>20</v>
      </c>
    </row>
    <row r="196" spans="2:7" x14ac:dyDescent="0.3">
      <c r="B196" s="11">
        <v>43435</v>
      </c>
      <c r="C196" t="s">
        <v>92</v>
      </c>
      <c r="D196">
        <v>97597187</v>
      </c>
      <c r="E196">
        <v>830360.63100000005</v>
      </c>
      <c r="F196">
        <v>776207</v>
      </c>
      <c r="G196" t="s">
        <v>20</v>
      </c>
    </row>
    <row r="197" spans="2:7" x14ac:dyDescent="0.3">
      <c r="B197" s="11">
        <v>43466</v>
      </c>
      <c r="C197" t="s">
        <v>92</v>
      </c>
      <c r="D197">
        <v>91499473</v>
      </c>
      <c r="E197">
        <v>768677.51399999997</v>
      </c>
      <c r="F197">
        <v>776211</v>
      </c>
      <c r="G197" t="s">
        <v>20</v>
      </c>
    </row>
    <row r="198" spans="2:7" x14ac:dyDescent="0.3">
      <c r="B198" s="11">
        <v>43497</v>
      </c>
      <c r="C198" t="s">
        <v>92</v>
      </c>
      <c r="D198">
        <v>94720199</v>
      </c>
      <c r="E198">
        <v>773899.80900000001</v>
      </c>
      <c r="F198">
        <v>775816</v>
      </c>
      <c r="G198" t="s">
        <v>20</v>
      </c>
    </row>
    <row r="199" spans="2:7" x14ac:dyDescent="0.3">
      <c r="B199" s="11">
        <v>43525</v>
      </c>
      <c r="C199" t="s">
        <v>92</v>
      </c>
      <c r="D199">
        <v>86193102</v>
      </c>
      <c r="E199">
        <v>713455.68400000001</v>
      </c>
      <c r="F199">
        <v>776175</v>
      </c>
      <c r="G199" t="s">
        <v>20</v>
      </c>
    </row>
    <row r="200" spans="2:7" x14ac:dyDescent="0.3">
      <c r="B200" s="11">
        <v>43556</v>
      </c>
      <c r="C200" t="s">
        <v>92</v>
      </c>
      <c r="D200">
        <v>64534170</v>
      </c>
      <c r="E200">
        <v>513872</v>
      </c>
      <c r="F200">
        <v>777313</v>
      </c>
      <c r="G200" t="s">
        <v>20</v>
      </c>
    </row>
    <row r="201" spans="2:7" x14ac:dyDescent="0.3">
      <c r="B201" s="11">
        <v>43586</v>
      </c>
      <c r="C201" t="s">
        <v>92</v>
      </c>
      <c r="D201">
        <v>63761360</v>
      </c>
      <c r="E201">
        <v>505095.58600000001</v>
      </c>
      <c r="F201">
        <v>777198</v>
      </c>
      <c r="G201" t="s">
        <v>20</v>
      </c>
    </row>
    <row r="202" spans="2:7" x14ac:dyDescent="0.3">
      <c r="B202" s="11">
        <v>43617</v>
      </c>
      <c r="C202" t="s">
        <v>92</v>
      </c>
      <c r="D202">
        <v>62970710</v>
      </c>
      <c r="E202">
        <v>507298.321</v>
      </c>
      <c r="F202">
        <v>778181</v>
      </c>
      <c r="G202" t="s">
        <v>20</v>
      </c>
    </row>
    <row r="203" spans="2:7" x14ac:dyDescent="0.3">
      <c r="B203" s="11">
        <v>43647</v>
      </c>
      <c r="C203" t="s">
        <v>92</v>
      </c>
      <c r="D203">
        <v>68112265</v>
      </c>
      <c r="E203">
        <v>546106.73300000001</v>
      </c>
      <c r="F203">
        <v>780838</v>
      </c>
      <c r="G203" t="s">
        <v>20</v>
      </c>
    </row>
    <row r="204" spans="2:7" x14ac:dyDescent="0.3">
      <c r="B204" s="11">
        <v>43678</v>
      </c>
      <c r="C204" t="s">
        <v>92</v>
      </c>
      <c r="D204">
        <v>73153982</v>
      </c>
      <c r="E204">
        <v>592229.25300000003</v>
      </c>
      <c r="F204">
        <v>780897</v>
      </c>
      <c r="G204" t="s">
        <v>20</v>
      </c>
    </row>
    <row r="205" spans="2:7" x14ac:dyDescent="0.3">
      <c r="B205" s="11">
        <v>43709</v>
      </c>
      <c r="C205" t="s">
        <v>92</v>
      </c>
      <c r="D205">
        <v>63216331</v>
      </c>
      <c r="E205">
        <v>507424.86900000001</v>
      </c>
      <c r="F205">
        <v>781935</v>
      </c>
      <c r="G205" t="s">
        <v>20</v>
      </c>
    </row>
    <row r="206" spans="2:7" x14ac:dyDescent="0.3">
      <c r="B206" s="11">
        <v>43739</v>
      </c>
      <c r="C206" t="s">
        <v>92</v>
      </c>
      <c r="D206">
        <v>69495214</v>
      </c>
      <c r="E206">
        <v>554965.56999999995</v>
      </c>
      <c r="F206">
        <v>782818</v>
      </c>
      <c r="G206" t="s">
        <v>20</v>
      </c>
    </row>
    <row r="207" spans="2:7" x14ac:dyDescent="0.3">
      <c r="B207" s="11">
        <v>43770</v>
      </c>
      <c r="C207" t="s">
        <v>92</v>
      </c>
      <c r="D207">
        <v>82950042</v>
      </c>
      <c r="E207">
        <v>678625.65700000001</v>
      </c>
      <c r="F207">
        <v>783933</v>
      </c>
      <c r="G207" t="s">
        <v>20</v>
      </c>
    </row>
    <row r="208" spans="2:7" x14ac:dyDescent="0.3">
      <c r="B208" s="11">
        <v>43800</v>
      </c>
      <c r="C208" t="s">
        <v>92</v>
      </c>
      <c r="D208">
        <v>97185487</v>
      </c>
      <c r="E208">
        <v>809417.78300000005</v>
      </c>
      <c r="F208">
        <v>784756</v>
      </c>
      <c r="G208" t="s">
        <v>20</v>
      </c>
    </row>
    <row r="209" spans="2:7" x14ac:dyDescent="0.3">
      <c r="B209" s="11">
        <v>43831</v>
      </c>
      <c r="C209" t="s">
        <v>92</v>
      </c>
      <c r="D209">
        <v>92440289</v>
      </c>
      <c r="E209">
        <v>757300.19</v>
      </c>
      <c r="F209">
        <v>786566</v>
      </c>
      <c r="G209" t="s">
        <v>20</v>
      </c>
    </row>
    <row r="210" spans="2:7" x14ac:dyDescent="0.3">
      <c r="B210" s="11">
        <v>43862</v>
      </c>
      <c r="C210" t="s">
        <v>92</v>
      </c>
      <c r="D210">
        <v>84547677</v>
      </c>
      <c r="E210">
        <v>677783.65399999998</v>
      </c>
      <c r="F210">
        <v>786566</v>
      </c>
      <c r="G210" t="s">
        <v>20</v>
      </c>
    </row>
    <row r="211" spans="2:7" x14ac:dyDescent="0.3">
      <c r="B211" s="11">
        <v>43891</v>
      </c>
      <c r="C211" t="s">
        <v>92</v>
      </c>
      <c r="D211">
        <v>86584133</v>
      </c>
      <c r="E211">
        <v>695797.45700000005</v>
      </c>
      <c r="F211">
        <v>788154</v>
      </c>
      <c r="G211" t="s">
        <v>20</v>
      </c>
    </row>
    <row r="212" spans="2:7" x14ac:dyDescent="0.3">
      <c r="B212" s="11">
        <v>43922</v>
      </c>
      <c r="C212" t="s">
        <v>92</v>
      </c>
      <c r="D212">
        <v>72607039</v>
      </c>
      <c r="E212">
        <v>578296.55500000005</v>
      </c>
      <c r="F212">
        <v>789341</v>
      </c>
      <c r="G212" t="s">
        <v>20</v>
      </c>
    </row>
    <row r="213" spans="2:7" x14ac:dyDescent="0.3">
      <c r="B213" s="11">
        <v>43952</v>
      </c>
      <c r="C213" t="s">
        <v>92</v>
      </c>
      <c r="D213">
        <v>71795683</v>
      </c>
      <c r="E213">
        <v>559614.69200000004</v>
      </c>
      <c r="F213">
        <v>789974</v>
      </c>
      <c r="G213" t="s">
        <v>20</v>
      </c>
    </row>
    <row r="214" spans="2:7" x14ac:dyDescent="0.3">
      <c r="B214" s="11">
        <v>43983</v>
      </c>
      <c r="C214" t="s">
        <v>92</v>
      </c>
      <c r="D214">
        <v>66120206.000000007</v>
      </c>
      <c r="E214">
        <v>519798.20400000003</v>
      </c>
      <c r="F214">
        <v>790467</v>
      </c>
      <c r="G214" t="s">
        <v>20</v>
      </c>
    </row>
    <row r="215" spans="2:7" x14ac:dyDescent="0.3">
      <c r="B215" s="11">
        <v>44013</v>
      </c>
      <c r="C215" t="s">
        <v>92</v>
      </c>
      <c r="D215">
        <v>78690320</v>
      </c>
      <c r="E215">
        <v>622729.58600000001</v>
      </c>
      <c r="F215">
        <v>791623</v>
      </c>
      <c r="G215" t="s">
        <v>20</v>
      </c>
    </row>
    <row r="216" spans="2:7" x14ac:dyDescent="0.3">
      <c r="B216" s="11">
        <v>44044</v>
      </c>
      <c r="C216" t="s">
        <v>92</v>
      </c>
      <c r="D216">
        <v>81668534</v>
      </c>
      <c r="E216">
        <v>655972.52399999998</v>
      </c>
      <c r="F216">
        <v>792282</v>
      </c>
      <c r="G216" t="s">
        <v>20</v>
      </c>
    </row>
    <row r="217" spans="2:7" x14ac:dyDescent="0.3">
      <c r="B217" s="11">
        <v>44075</v>
      </c>
      <c r="C217" t="s">
        <v>92</v>
      </c>
      <c r="D217">
        <v>69836757</v>
      </c>
      <c r="E217">
        <v>553718.13300000003</v>
      </c>
      <c r="F217">
        <v>792559</v>
      </c>
      <c r="G217" t="s">
        <v>20</v>
      </c>
    </row>
    <row r="218" spans="2:7" x14ac:dyDescent="0.3">
      <c r="B218" s="11">
        <v>44105</v>
      </c>
      <c r="C218" t="s">
        <v>92</v>
      </c>
      <c r="D218">
        <v>73692169</v>
      </c>
      <c r="E218">
        <v>581351.06700000004</v>
      </c>
      <c r="F218">
        <v>794192</v>
      </c>
      <c r="G218" t="s">
        <v>20</v>
      </c>
    </row>
    <row r="219" spans="2:7" x14ac:dyDescent="0.3">
      <c r="B219" s="11">
        <v>44136</v>
      </c>
      <c r="C219" t="s">
        <v>92</v>
      </c>
      <c r="D219">
        <v>89087449</v>
      </c>
      <c r="E219">
        <v>718405.05099999998</v>
      </c>
      <c r="F219">
        <v>794921</v>
      </c>
      <c r="G219" t="s">
        <v>20</v>
      </c>
    </row>
    <row r="220" spans="2:7" x14ac:dyDescent="0.3">
      <c r="B220" s="11">
        <v>44166</v>
      </c>
      <c r="C220" t="s">
        <v>92</v>
      </c>
      <c r="D220">
        <v>102839200</v>
      </c>
      <c r="E220">
        <v>835484.24</v>
      </c>
      <c r="F220">
        <v>796787</v>
      </c>
      <c r="G220" t="s">
        <v>20</v>
      </c>
    </row>
    <row r="221" spans="2:7" x14ac:dyDescent="0.3">
      <c r="B221" s="11">
        <v>44197</v>
      </c>
      <c r="C221" t="s">
        <v>92</v>
      </c>
      <c r="D221">
        <v>103036027</v>
      </c>
      <c r="E221">
        <v>791579.321</v>
      </c>
      <c r="F221">
        <v>797535</v>
      </c>
      <c r="G221" t="s">
        <v>20</v>
      </c>
    </row>
    <row r="222" spans="2:7" x14ac:dyDescent="0.3">
      <c r="B222" s="11">
        <v>44228</v>
      </c>
      <c r="C222" t="s">
        <v>92</v>
      </c>
      <c r="D222">
        <v>95071711</v>
      </c>
      <c r="E222">
        <v>728420.505</v>
      </c>
      <c r="F222">
        <v>797640</v>
      </c>
      <c r="G222" t="s">
        <v>20</v>
      </c>
    </row>
    <row r="223" spans="2:7" x14ac:dyDescent="0.3">
      <c r="B223" s="11">
        <v>44256</v>
      </c>
      <c r="C223" t="s">
        <v>92</v>
      </c>
      <c r="D223">
        <v>94747727</v>
      </c>
      <c r="E223">
        <v>719300.65099999995</v>
      </c>
      <c r="F223">
        <v>797630</v>
      </c>
      <c r="G223" t="s">
        <v>20</v>
      </c>
    </row>
    <row r="224" spans="2:7" x14ac:dyDescent="0.3">
      <c r="B224" s="11">
        <v>44287</v>
      </c>
      <c r="C224" t="s">
        <v>92</v>
      </c>
      <c r="D224">
        <v>75641820</v>
      </c>
      <c r="E224">
        <v>562235.44499999995</v>
      </c>
      <c r="F224">
        <v>798625</v>
      </c>
      <c r="G224" t="s">
        <v>20</v>
      </c>
    </row>
    <row r="225" spans="2:7" x14ac:dyDescent="0.3">
      <c r="B225" s="11">
        <v>44317</v>
      </c>
      <c r="C225" t="s">
        <v>92</v>
      </c>
      <c r="D225">
        <v>72926075</v>
      </c>
      <c r="E225">
        <v>537256.65099999995</v>
      </c>
      <c r="F225">
        <v>797846</v>
      </c>
      <c r="G225" t="s">
        <v>20</v>
      </c>
    </row>
    <row r="226" spans="2:7" x14ac:dyDescent="0.3">
      <c r="B226" s="11">
        <v>44348</v>
      </c>
      <c r="C226" t="s">
        <v>92</v>
      </c>
      <c r="D226">
        <v>87719752</v>
      </c>
      <c r="E226">
        <v>663811.09299999999</v>
      </c>
      <c r="F226">
        <v>799925</v>
      </c>
      <c r="G226" t="s">
        <v>20</v>
      </c>
    </row>
    <row r="227" spans="2:7" x14ac:dyDescent="0.3">
      <c r="B227" s="11">
        <v>44378</v>
      </c>
      <c r="C227" t="s">
        <v>92</v>
      </c>
      <c r="D227">
        <v>89215588</v>
      </c>
      <c r="E227">
        <v>674949.95799999998</v>
      </c>
      <c r="F227">
        <v>800359</v>
      </c>
      <c r="G227" t="s">
        <v>20</v>
      </c>
    </row>
    <row r="228" spans="2:7" x14ac:dyDescent="0.3">
      <c r="B228" s="11">
        <v>44409</v>
      </c>
      <c r="C228" t="s">
        <v>92</v>
      </c>
      <c r="D228">
        <v>89664051</v>
      </c>
      <c r="E228">
        <v>674297.674</v>
      </c>
      <c r="F228">
        <v>800747</v>
      </c>
      <c r="G228" t="s">
        <v>20</v>
      </c>
    </row>
    <row r="229" spans="2:7" x14ac:dyDescent="0.3">
      <c r="B229" s="11">
        <v>44440</v>
      </c>
      <c r="C229" t="s">
        <v>92</v>
      </c>
      <c r="D229">
        <v>70776463</v>
      </c>
      <c r="E229">
        <v>523264.83199999999</v>
      </c>
      <c r="F229">
        <v>802334</v>
      </c>
      <c r="G229" t="s">
        <v>20</v>
      </c>
    </row>
    <row r="230" spans="2:7" x14ac:dyDescent="0.3">
      <c r="B230" s="11">
        <v>44470</v>
      </c>
      <c r="C230" t="s">
        <v>92</v>
      </c>
      <c r="D230">
        <v>78392284</v>
      </c>
      <c r="E230">
        <v>582745.37399999995</v>
      </c>
      <c r="F230">
        <v>802760</v>
      </c>
      <c r="G230" t="s">
        <v>20</v>
      </c>
    </row>
    <row r="231" spans="2:7" x14ac:dyDescent="0.3">
      <c r="B231" s="11">
        <v>44501</v>
      </c>
      <c r="C231" t="s">
        <v>92</v>
      </c>
      <c r="D231">
        <v>82975299</v>
      </c>
      <c r="E231">
        <v>624373.424</v>
      </c>
      <c r="F231">
        <v>804835</v>
      </c>
      <c r="G231" t="s">
        <v>20</v>
      </c>
    </row>
    <row r="232" spans="2:7" x14ac:dyDescent="0.3">
      <c r="B232" s="11">
        <v>44531</v>
      </c>
      <c r="C232" t="s">
        <v>92</v>
      </c>
      <c r="D232">
        <v>116201877</v>
      </c>
      <c r="E232">
        <v>895863.95900000003</v>
      </c>
      <c r="F232">
        <v>804231</v>
      </c>
      <c r="G232" t="s">
        <v>20</v>
      </c>
    </row>
    <row r="233" spans="2:7" x14ac:dyDescent="0.3">
      <c r="B233" s="11">
        <v>44562</v>
      </c>
      <c r="C233" t="s">
        <v>92</v>
      </c>
      <c r="D233">
        <v>109888196</v>
      </c>
      <c r="E233">
        <v>838822.95</v>
      </c>
      <c r="F233">
        <v>805456</v>
      </c>
      <c r="G233" t="s">
        <v>20</v>
      </c>
    </row>
    <row r="234" spans="2:7" x14ac:dyDescent="0.3">
      <c r="B234" s="11">
        <v>44593</v>
      </c>
      <c r="C234" t="s">
        <v>92</v>
      </c>
      <c r="D234">
        <v>93844089</v>
      </c>
      <c r="E234">
        <v>710432.29799999995</v>
      </c>
      <c r="F234">
        <v>806280</v>
      </c>
      <c r="G234" t="s">
        <v>20</v>
      </c>
    </row>
    <row r="235" spans="2:7" x14ac:dyDescent="0.3">
      <c r="B235" s="11">
        <v>44621</v>
      </c>
      <c r="C235" t="s">
        <v>92</v>
      </c>
      <c r="D235">
        <v>89302621</v>
      </c>
      <c r="E235">
        <v>666536.95200000005</v>
      </c>
      <c r="F235">
        <v>807922</v>
      </c>
      <c r="G235" t="s">
        <v>20</v>
      </c>
    </row>
    <row r="236" spans="2:7" x14ac:dyDescent="0.3">
      <c r="B236" s="11">
        <v>44652</v>
      </c>
      <c r="C236" t="s">
        <v>92</v>
      </c>
      <c r="D236">
        <v>85553813</v>
      </c>
      <c r="E236">
        <v>636967.62</v>
      </c>
      <c r="F236">
        <v>808683</v>
      </c>
      <c r="G236" t="s">
        <v>20</v>
      </c>
    </row>
    <row r="237" spans="2:7" x14ac:dyDescent="0.3">
      <c r="B237" s="11">
        <v>44682</v>
      </c>
      <c r="C237" t="s">
        <v>92</v>
      </c>
      <c r="D237">
        <v>78435164</v>
      </c>
      <c r="E237">
        <v>557741.28399999999</v>
      </c>
      <c r="F237">
        <v>808888</v>
      </c>
      <c r="G237" t="s">
        <v>20</v>
      </c>
    </row>
    <row r="238" spans="2:7" x14ac:dyDescent="0.3">
      <c r="B238" s="11">
        <v>44713</v>
      </c>
      <c r="C238" t="s">
        <v>92</v>
      </c>
      <c r="D238">
        <v>75119648</v>
      </c>
      <c r="E238">
        <v>529918.94700000004</v>
      </c>
      <c r="F238">
        <v>809434</v>
      </c>
      <c r="G238" t="s">
        <v>20</v>
      </c>
    </row>
    <row r="239" spans="2:7" x14ac:dyDescent="0.3">
      <c r="B239" s="11">
        <v>44743</v>
      </c>
      <c r="C239" t="s">
        <v>92</v>
      </c>
      <c r="D239">
        <v>96452055</v>
      </c>
      <c r="E239">
        <v>696758.12199999997</v>
      </c>
      <c r="F239">
        <v>810256</v>
      </c>
      <c r="G239" t="s">
        <v>20</v>
      </c>
    </row>
    <row r="240" spans="2:7" x14ac:dyDescent="0.3">
      <c r="B240" s="11">
        <v>44774</v>
      </c>
      <c r="C240" t="s">
        <v>92</v>
      </c>
      <c r="D240">
        <v>98006029</v>
      </c>
      <c r="E240">
        <v>708829.147</v>
      </c>
      <c r="F240">
        <v>810862</v>
      </c>
      <c r="G240" t="s">
        <v>20</v>
      </c>
    </row>
    <row r="241" spans="2:7" x14ac:dyDescent="0.3">
      <c r="B241" s="11">
        <v>44805</v>
      </c>
      <c r="C241" t="s">
        <v>92</v>
      </c>
      <c r="D241">
        <v>74872243</v>
      </c>
      <c r="E241">
        <v>533700.26699999999</v>
      </c>
      <c r="F241">
        <v>810271</v>
      </c>
      <c r="G241" t="s">
        <v>20</v>
      </c>
    </row>
    <row r="242" spans="2:7" x14ac:dyDescent="0.3">
      <c r="B242" s="11">
        <v>44835</v>
      </c>
      <c r="C242" t="s">
        <v>92</v>
      </c>
      <c r="D242">
        <v>76808381</v>
      </c>
      <c r="E242">
        <v>545120.66299999994</v>
      </c>
      <c r="F242">
        <v>811934</v>
      </c>
      <c r="G242" t="s">
        <v>20</v>
      </c>
    </row>
    <row r="243" spans="2:7" x14ac:dyDescent="0.3">
      <c r="B243" s="11">
        <v>44866</v>
      </c>
      <c r="C243" t="s">
        <v>92</v>
      </c>
      <c r="D243">
        <v>103581209</v>
      </c>
      <c r="E243">
        <v>761672.86499999999</v>
      </c>
      <c r="F243">
        <v>812171</v>
      </c>
      <c r="G243" t="s">
        <v>20</v>
      </c>
    </row>
    <row r="244" spans="2:7" x14ac:dyDescent="0.3">
      <c r="B244" s="11">
        <v>44896</v>
      </c>
      <c r="C244" t="s">
        <v>92</v>
      </c>
      <c r="D244">
        <v>121279514</v>
      </c>
      <c r="E244">
        <v>901973.33</v>
      </c>
      <c r="F244">
        <v>813078</v>
      </c>
      <c r="G244" t="s">
        <v>20</v>
      </c>
    </row>
    <row r="245" spans="2:7" x14ac:dyDescent="0.3">
      <c r="B245" s="11">
        <v>44927</v>
      </c>
      <c r="C245" t="s">
        <v>92</v>
      </c>
      <c r="D245">
        <v>120042526</v>
      </c>
      <c r="E245">
        <v>805085.33700000006</v>
      </c>
      <c r="F245">
        <v>813576</v>
      </c>
      <c r="G245" t="s">
        <v>20</v>
      </c>
    </row>
    <row r="246" spans="2:7" x14ac:dyDescent="0.3">
      <c r="B246" s="11">
        <v>44958</v>
      </c>
      <c r="C246" t="s">
        <v>92</v>
      </c>
      <c r="D246">
        <v>112945250</v>
      </c>
      <c r="E246">
        <v>760111.99699999997</v>
      </c>
      <c r="F246">
        <v>813954</v>
      </c>
      <c r="G246" t="s">
        <v>20</v>
      </c>
    </row>
    <row r="247" spans="2:7" x14ac:dyDescent="0.3">
      <c r="B247" s="11">
        <v>44986</v>
      </c>
      <c r="C247" t="s">
        <v>92</v>
      </c>
      <c r="D247">
        <v>113841294</v>
      </c>
      <c r="E247">
        <v>761771.69799999997</v>
      </c>
      <c r="F247">
        <v>814335</v>
      </c>
      <c r="G247" t="s">
        <v>20</v>
      </c>
    </row>
    <row r="248" spans="2:7" x14ac:dyDescent="0.3">
      <c r="B248" s="11">
        <v>45017</v>
      </c>
      <c r="C248" t="s">
        <v>92</v>
      </c>
      <c r="D248">
        <v>97100679</v>
      </c>
      <c r="E248">
        <v>636666.17700000003</v>
      </c>
      <c r="F248">
        <v>813772</v>
      </c>
      <c r="G248" t="s">
        <v>20</v>
      </c>
    </row>
    <row r="249" spans="2:7" x14ac:dyDescent="0.3">
      <c r="B249" s="11">
        <v>45047</v>
      </c>
      <c r="C249" t="s">
        <v>92</v>
      </c>
      <c r="D249">
        <v>86828035</v>
      </c>
      <c r="E249">
        <v>560728.18099999998</v>
      </c>
      <c r="F249">
        <v>814528</v>
      </c>
      <c r="G249" t="s">
        <v>20</v>
      </c>
    </row>
    <row r="250" spans="2:7" x14ac:dyDescent="0.3">
      <c r="B250" s="11">
        <v>45078</v>
      </c>
      <c r="C250" t="s">
        <v>92</v>
      </c>
      <c r="D250">
        <v>82366971</v>
      </c>
      <c r="E250">
        <v>533112.80500000005</v>
      </c>
      <c r="F250">
        <v>814958</v>
      </c>
      <c r="G250" t="s">
        <v>20</v>
      </c>
    </row>
    <row r="251" spans="2:7" x14ac:dyDescent="0.3">
      <c r="B251" s="11">
        <v>45108</v>
      </c>
      <c r="C251" t="s">
        <v>92</v>
      </c>
      <c r="D251">
        <v>103649983</v>
      </c>
      <c r="E251">
        <v>682766.60499999998</v>
      </c>
      <c r="F251">
        <v>814996</v>
      </c>
      <c r="G251" t="s">
        <v>20</v>
      </c>
    </row>
    <row r="252" spans="2:7" x14ac:dyDescent="0.3">
      <c r="B252" s="11">
        <v>45139</v>
      </c>
      <c r="C252" t="s">
        <v>92</v>
      </c>
      <c r="D252">
        <v>106267434</v>
      </c>
      <c r="E252">
        <v>704646.56700000004</v>
      </c>
      <c r="F252">
        <v>816133</v>
      </c>
      <c r="G252" t="s">
        <v>20</v>
      </c>
    </row>
    <row r="253" spans="2:7" x14ac:dyDescent="0.3">
      <c r="B253" s="11">
        <v>45170</v>
      </c>
      <c r="C253" t="s">
        <v>92</v>
      </c>
      <c r="D253">
        <v>78925412</v>
      </c>
      <c r="E253">
        <v>503904.12599999999</v>
      </c>
      <c r="F253">
        <v>816703</v>
      </c>
      <c r="G253" t="s">
        <v>20</v>
      </c>
    </row>
    <row r="254" spans="2:7" x14ac:dyDescent="0.3">
      <c r="B254" s="11">
        <v>45200</v>
      </c>
      <c r="C254" t="s">
        <v>92</v>
      </c>
      <c r="D254">
        <v>84986722</v>
      </c>
      <c r="E254">
        <v>551035.93500000006</v>
      </c>
      <c r="F254">
        <v>817937</v>
      </c>
      <c r="G254" t="s">
        <v>20</v>
      </c>
    </row>
    <row r="255" spans="2:7" x14ac:dyDescent="0.3">
      <c r="B255" s="11">
        <v>45231</v>
      </c>
      <c r="C255" t="s">
        <v>92</v>
      </c>
      <c r="D255">
        <v>103427739</v>
      </c>
      <c r="E255">
        <v>674023.96200000006</v>
      </c>
      <c r="F255">
        <v>819522</v>
      </c>
      <c r="G255" t="s">
        <v>20</v>
      </c>
    </row>
    <row r="256" spans="2:7" x14ac:dyDescent="0.3">
      <c r="B256" s="11">
        <v>45261</v>
      </c>
      <c r="C256" t="s">
        <v>92</v>
      </c>
      <c r="D256">
        <v>118019363</v>
      </c>
      <c r="E256">
        <v>778459.31400000001</v>
      </c>
      <c r="F256">
        <v>820631</v>
      </c>
      <c r="G256" t="s">
        <v>20</v>
      </c>
    </row>
    <row r="257" spans="2:7" x14ac:dyDescent="0.3">
      <c r="B257" s="11">
        <v>45292</v>
      </c>
      <c r="C257" t="s">
        <v>92</v>
      </c>
      <c r="D257">
        <v>153305174</v>
      </c>
      <c r="E257">
        <v>868701.66500000004</v>
      </c>
      <c r="F257">
        <v>822345</v>
      </c>
      <c r="G257" t="s">
        <v>20</v>
      </c>
    </row>
    <row r="258" spans="2:7" x14ac:dyDescent="0.3">
      <c r="B258" s="11">
        <v>45323</v>
      </c>
      <c r="C258" t="s">
        <v>92</v>
      </c>
      <c r="D258">
        <v>125209208</v>
      </c>
      <c r="E258">
        <v>695805.99800000002</v>
      </c>
      <c r="F258">
        <v>824585</v>
      </c>
      <c r="G258" t="s">
        <v>20</v>
      </c>
    </row>
    <row r="259" spans="2:7" x14ac:dyDescent="0.3">
      <c r="B259" s="11">
        <v>45352</v>
      </c>
      <c r="C259" t="s">
        <v>92</v>
      </c>
      <c r="D259">
        <v>122081160</v>
      </c>
      <c r="E259">
        <v>678038.97</v>
      </c>
      <c r="F259">
        <v>825786</v>
      </c>
      <c r="G259" t="s">
        <v>20</v>
      </c>
    </row>
    <row r="260" spans="2:7" x14ac:dyDescent="0.3">
      <c r="B260" s="11">
        <v>45383</v>
      </c>
      <c r="C260" t="s">
        <v>92</v>
      </c>
      <c r="D260">
        <v>101095234</v>
      </c>
      <c r="E260">
        <v>549876.31599999999</v>
      </c>
      <c r="F260">
        <v>826711</v>
      </c>
      <c r="G260" t="s">
        <v>20</v>
      </c>
    </row>
    <row r="261" spans="2:7" x14ac:dyDescent="0.3">
      <c r="B261" s="11">
        <v>45413</v>
      </c>
      <c r="C261" t="s">
        <v>92</v>
      </c>
      <c r="D261">
        <v>99047768</v>
      </c>
      <c r="E261">
        <v>535391.58799999999</v>
      </c>
      <c r="F261">
        <v>828581</v>
      </c>
      <c r="G261" t="s">
        <v>20</v>
      </c>
    </row>
    <row r="262" spans="2:7" x14ac:dyDescent="0.3">
      <c r="B262" s="11">
        <v>45444</v>
      </c>
      <c r="C262" t="s">
        <v>92</v>
      </c>
      <c r="D262">
        <v>96737399</v>
      </c>
      <c r="E262">
        <v>523135.429</v>
      </c>
      <c r="F262">
        <v>829774</v>
      </c>
      <c r="G262" t="s">
        <v>20</v>
      </c>
    </row>
    <row r="263" spans="2:7" x14ac:dyDescent="0.3">
      <c r="B263" s="11">
        <v>45474</v>
      </c>
      <c r="C263" t="s">
        <v>92</v>
      </c>
      <c r="D263">
        <v>128774520</v>
      </c>
      <c r="E263">
        <v>715486.24199999997</v>
      </c>
      <c r="F263">
        <v>830947</v>
      </c>
      <c r="G263" t="s">
        <v>20</v>
      </c>
    </row>
    <row r="264" spans="2:7" x14ac:dyDescent="0.3">
      <c r="B264" s="11">
        <v>45505</v>
      </c>
      <c r="C264" t="s">
        <v>92</v>
      </c>
      <c r="D264">
        <v>114403559</v>
      </c>
      <c r="E264">
        <v>617985.04500000004</v>
      </c>
      <c r="F264">
        <v>832291</v>
      </c>
      <c r="G264" t="s">
        <v>20</v>
      </c>
    </row>
    <row r="265" spans="2:7" x14ac:dyDescent="0.3">
      <c r="B265" s="11">
        <v>45536</v>
      </c>
      <c r="C265" t="s">
        <v>92</v>
      </c>
      <c r="D265">
        <v>100305272</v>
      </c>
      <c r="E265">
        <v>535347.53700000001</v>
      </c>
      <c r="F265">
        <v>831582</v>
      </c>
      <c r="G265" t="s">
        <v>20</v>
      </c>
    </row>
    <row r="266" spans="2:7" x14ac:dyDescent="0.3">
      <c r="B266" s="11">
        <v>45566</v>
      </c>
      <c r="C266" t="s">
        <v>92</v>
      </c>
      <c r="D266">
        <v>100000612</v>
      </c>
      <c r="E266">
        <v>534985.01899999997</v>
      </c>
      <c r="F266">
        <v>833100</v>
      </c>
      <c r="G266" t="s">
        <v>20</v>
      </c>
    </row>
    <row r="267" spans="2:7" x14ac:dyDescent="0.3">
      <c r="B267" s="11">
        <v>45597</v>
      </c>
      <c r="C267" t="s">
        <v>92</v>
      </c>
      <c r="D267">
        <v>122291021</v>
      </c>
      <c r="E267">
        <v>675359.25100000005</v>
      </c>
      <c r="F267">
        <v>825523</v>
      </c>
      <c r="G267" t="s">
        <v>20</v>
      </c>
    </row>
    <row r="268" spans="2:7" x14ac:dyDescent="0.3">
      <c r="B268" s="11">
        <v>45627</v>
      </c>
      <c r="C268" t="s">
        <v>92</v>
      </c>
      <c r="D268">
        <v>143119710</v>
      </c>
      <c r="E268">
        <v>801480.63199999998</v>
      </c>
      <c r="F268">
        <v>835058</v>
      </c>
      <c r="G268" t="s">
        <v>20</v>
      </c>
    </row>
    <row r="269" spans="2:7" x14ac:dyDescent="0.3">
      <c r="B269" s="11">
        <v>42736</v>
      </c>
      <c r="C269" t="s">
        <v>97</v>
      </c>
      <c r="D269">
        <v>16112302</v>
      </c>
      <c r="E269">
        <v>251120.06700000001</v>
      </c>
      <c r="F269">
        <v>1812</v>
      </c>
      <c r="G269" t="s">
        <v>20</v>
      </c>
    </row>
    <row r="270" spans="2:7" x14ac:dyDescent="0.3">
      <c r="B270" s="11">
        <v>42767</v>
      </c>
      <c r="C270" t="s">
        <v>97</v>
      </c>
      <c r="D270">
        <v>13894817</v>
      </c>
      <c r="E270">
        <v>217279.47500000001</v>
      </c>
      <c r="F270">
        <v>1793</v>
      </c>
      <c r="G270" t="s">
        <v>20</v>
      </c>
    </row>
    <row r="271" spans="2:7" x14ac:dyDescent="0.3">
      <c r="B271" s="11">
        <v>42795</v>
      </c>
      <c r="C271" t="s">
        <v>97</v>
      </c>
      <c r="D271">
        <v>14531096</v>
      </c>
      <c r="E271">
        <v>218555.65700000001</v>
      </c>
      <c r="F271">
        <v>1795</v>
      </c>
      <c r="G271" t="s">
        <v>20</v>
      </c>
    </row>
    <row r="272" spans="2:7" x14ac:dyDescent="0.3">
      <c r="B272" s="11">
        <v>42826</v>
      </c>
      <c r="C272" t="s">
        <v>97</v>
      </c>
      <c r="D272">
        <v>16184635</v>
      </c>
      <c r="E272">
        <v>248607.48699999999</v>
      </c>
      <c r="F272">
        <v>1862</v>
      </c>
      <c r="G272" t="s">
        <v>20</v>
      </c>
    </row>
    <row r="273" spans="2:7" x14ac:dyDescent="0.3">
      <c r="B273" s="11">
        <v>42856</v>
      </c>
      <c r="C273" t="s">
        <v>97</v>
      </c>
      <c r="D273">
        <v>17151438</v>
      </c>
      <c r="E273">
        <v>258034.193</v>
      </c>
      <c r="F273">
        <v>4429</v>
      </c>
      <c r="G273" t="s">
        <v>20</v>
      </c>
    </row>
    <row r="274" spans="2:7" x14ac:dyDescent="0.3">
      <c r="B274" s="11">
        <v>42887</v>
      </c>
      <c r="C274" t="s">
        <v>97</v>
      </c>
      <c r="D274">
        <v>17127211</v>
      </c>
      <c r="E274">
        <v>250564.44699999999</v>
      </c>
      <c r="F274">
        <v>4460</v>
      </c>
      <c r="G274" t="s">
        <v>20</v>
      </c>
    </row>
    <row r="275" spans="2:7" x14ac:dyDescent="0.3">
      <c r="B275" s="11">
        <v>42917</v>
      </c>
      <c r="C275" t="s">
        <v>97</v>
      </c>
      <c r="D275">
        <v>18012408</v>
      </c>
      <c r="E275">
        <v>256104.78099999999</v>
      </c>
      <c r="F275">
        <v>4496</v>
      </c>
      <c r="G275" t="s">
        <v>20</v>
      </c>
    </row>
    <row r="276" spans="2:7" x14ac:dyDescent="0.3">
      <c r="B276" s="11">
        <v>42948</v>
      </c>
      <c r="C276" t="s">
        <v>97</v>
      </c>
      <c r="D276">
        <v>20472113</v>
      </c>
      <c r="E276">
        <v>289872.29100000003</v>
      </c>
      <c r="F276">
        <v>4477</v>
      </c>
      <c r="G276" t="s">
        <v>20</v>
      </c>
    </row>
    <row r="277" spans="2:7" x14ac:dyDescent="0.3">
      <c r="B277" s="11">
        <v>42979</v>
      </c>
      <c r="C277" t="s">
        <v>97</v>
      </c>
      <c r="D277">
        <v>16824053</v>
      </c>
      <c r="E277">
        <v>247133.85500000001</v>
      </c>
      <c r="F277">
        <v>4500</v>
      </c>
      <c r="G277" t="s">
        <v>20</v>
      </c>
    </row>
    <row r="278" spans="2:7" x14ac:dyDescent="0.3">
      <c r="B278" s="11">
        <v>43009</v>
      </c>
      <c r="C278" t="s">
        <v>97</v>
      </c>
      <c r="D278">
        <v>17048595</v>
      </c>
      <c r="E278">
        <v>253658.80799999999</v>
      </c>
      <c r="F278">
        <v>4499</v>
      </c>
      <c r="G278" t="s">
        <v>20</v>
      </c>
    </row>
    <row r="279" spans="2:7" x14ac:dyDescent="0.3">
      <c r="B279" s="11">
        <v>43040</v>
      </c>
      <c r="C279" t="s">
        <v>97</v>
      </c>
      <c r="D279">
        <v>16713194</v>
      </c>
      <c r="E279">
        <v>251878.16800000001</v>
      </c>
      <c r="F279">
        <v>2450</v>
      </c>
      <c r="G279" t="s">
        <v>20</v>
      </c>
    </row>
    <row r="280" spans="2:7" x14ac:dyDescent="0.3">
      <c r="B280" s="11">
        <v>43070</v>
      </c>
      <c r="C280" t="s">
        <v>97</v>
      </c>
      <c r="D280">
        <v>16823196</v>
      </c>
      <c r="E280">
        <v>257442.587</v>
      </c>
      <c r="F280">
        <v>2015</v>
      </c>
      <c r="G280" t="s">
        <v>20</v>
      </c>
    </row>
    <row r="281" spans="2:7" x14ac:dyDescent="0.3">
      <c r="B281" s="11">
        <v>43101</v>
      </c>
      <c r="C281" t="s">
        <v>97</v>
      </c>
      <c r="D281">
        <v>14495680</v>
      </c>
      <c r="E281">
        <v>221927.58199999999</v>
      </c>
      <c r="F281">
        <v>1910</v>
      </c>
      <c r="G281" t="s">
        <v>20</v>
      </c>
    </row>
    <row r="282" spans="2:7" x14ac:dyDescent="0.3">
      <c r="B282" s="11">
        <v>43132</v>
      </c>
      <c r="C282" t="s">
        <v>97</v>
      </c>
      <c r="D282">
        <v>14848246</v>
      </c>
      <c r="E282">
        <v>233086.74799999999</v>
      </c>
      <c r="F282">
        <v>1873</v>
      </c>
      <c r="G282" t="s">
        <v>20</v>
      </c>
    </row>
    <row r="283" spans="2:7" x14ac:dyDescent="0.3">
      <c r="B283" s="11">
        <v>43160</v>
      </c>
      <c r="C283" t="s">
        <v>97</v>
      </c>
      <c r="D283">
        <v>14451011</v>
      </c>
      <c r="E283">
        <v>225466.96400000001</v>
      </c>
      <c r="F283">
        <v>1915</v>
      </c>
      <c r="G283" t="s">
        <v>20</v>
      </c>
    </row>
    <row r="284" spans="2:7" x14ac:dyDescent="0.3">
      <c r="B284" s="11">
        <v>43191</v>
      </c>
      <c r="C284" t="s">
        <v>97</v>
      </c>
      <c r="D284">
        <v>15036092</v>
      </c>
      <c r="E284">
        <v>230827.54399999999</v>
      </c>
      <c r="F284">
        <v>1999</v>
      </c>
      <c r="G284" t="s">
        <v>20</v>
      </c>
    </row>
    <row r="285" spans="2:7" x14ac:dyDescent="0.3">
      <c r="B285" s="11">
        <v>43221</v>
      </c>
      <c r="C285" t="s">
        <v>97</v>
      </c>
      <c r="D285">
        <v>16130892</v>
      </c>
      <c r="E285">
        <v>246447.71799999999</v>
      </c>
      <c r="F285">
        <v>4260</v>
      </c>
      <c r="G285" t="s">
        <v>20</v>
      </c>
    </row>
    <row r="286" spans="2:7" x14ac:dyDescent="0.3">
      <c r="B286" s="11">
        <v>43252</v>
      </c>
      <c r="C286" t="s">
        <v>97</v>
      </c>
      <c r="D286">
        <v>9407036</v>
      </c>
      <c r="E286">
        <v>202256.16500000001</v>
      </c>
      <c r="F286">
        <v>4334</v>
      </c>
      <c r="G286" t="s">
        <v>20</v>
      </c>
    </row>
    <row r="287" spans="2:7" x14ac:dyDescent="0.3">
      <c r="B287" s="11">
        <v>43282</v>
      </c>
      <c r="C287" t="s">
        <v>97</v>
      </c>
      <c r="D287">
        <v>7117568</v>
      </c>
      <c r="E287">
        <v>349046.21500000003</v>
      </c>
      <c r="F287">
        <v>4284</v>
      </c>
      <c r="G287" t="s">
        <v>20</v>
      </c>
    </row>
    <row r="288" spans="2:7" x14ac:dyDescent="0.3">
      <c r="B288" s="11">
        <v>43313</v>
      </c>
      <c r="C288" t="s">
        <v>97</v>
      </c>
      <c r="D288">
        <v>12472804</v>
      </c>
      <c r="E288">
        <v>300167.88400000002</v>
      </c>
      <c r="F288">
        <v>4278</v>
      </c>
      <c r="G288" t="s">
        <v>20</v>
      </c>
    </row>
    <row r="289" spans="2:7" x14ac:dyDescent="0.3">
      <c r="B289" s="11">
        <v>43344</v>
      </c>
      <c r="C289" t="s">
        <v>97</v>
      </c>
      <c r="D289">
        <v>45542646</v>
      </c>
      <c r="E289">
        <v>276401.49400000001</v>
      </c>
      <c r="F289">
        <v>4264</v>
      </c>
      <c r="G289" t="s">
        <v>20</v>
      </c>
    </row>
    <row r="290" spans="2:7" x14ac:dyDescent="0.3">
      <c r="B290" s="11">
        <v>43374</v>
      </c>
      <c r="C290" t="s">
        <v>97</v>
      </c>
      <c r="D290">
        <v>17766460</v>
      </c>
      <c r="E290">
        <v>268421.53499999997</v>
      </c>
      <c r="F290">
        <v>4279</v>
      </c>
      <c r="G290" t="s">
        <v>20</v>
      </c>
    </row>
    <row r="291" spans="2:7" x14ac:dyDescent="0.3">
      <c r="B291" s="11">
        <v>43405</v>
      </c>
      <c r="C291" t="s">
        <v>97</v>
      </c>
      <c r="D291">
        <v>15808378</v>
      </c>
      <c r="E291">
        <v>255094.739</v>
      </c>
      <c r="F291">
        <v>4279</v>
      </c>
      <c r="G291" t="s">
        <v>20</v>
      </c>
    </row>
    <row r="292" spans="2:7" x14ac:dyDescent="0.3">
      <c r="B292" s="11">
        <v>43435</v>
      </c>
      <c r="C292" t="s">
        <v>97</v>
      </c>
      <c r="D292">
        <v>14874009</v>
      </c>
      <c r="E292">
        <v>232755.576</v>
      </c>
      <c r="F292">
        <v>4493</v>
      </c>
      <c r="G292" t="s">
        <v>20</v>
      </c>
    </row>
    <row r="293" spans="2:7" x14ac:dyDescent="0.3">
      <c r="B293" s="11">
        <v>43466</v>
      </c>
      <c r="C293" t="s">
        <v>97</v>
      </c>
      <c r="D293">
        <v>16771735</v>
      </c>
      <c r="E293">
        <v>276352.84399999998</v>
      </c>
      <c r="F293">
        <v>4496</v>
      </c>
      <c r="G293" t="s">
        <v>20</v>
      </c>
    </row>
    <row r="294" spans="2:7" x14ac:dyDescent="0.3">
      <c r="B294" s="11">
        <v>43497</v>
      </c>
      <c r="C294" t="s">
        <v>97</v>
      </c>
      <c r="D294">
        <v>14522417</v>
      </c>
      <c r="E294">
        <v>223376.55600000001</v>
      </c>
      <c r="F294">
        <v>4454</v>
      </c>
      <c r="G294" t="s">
        <v>20</v>
      </c>
    </row>
    <row r="295" spans="2:7" x14ac:dyDescent="0.3">
      <c r="B295" s="11">
        <v>43525</v>
      </c>
      <c r="C295" t="s">
        <v>97</v>
      </c>
      <c r="D295">
        <v>12972147</v>
      </c>
      <c r="E295">
        <v>208460.52900000001</v>
      </c>
      <c r="F295">
        <v>4438</v>
      </c>
      <c r="G295" t="s">
        <v>20</v>
      </c>
    </row>
    <row r="296" spans="2:7" x14ac:dyDescent="0.3">
      <c r="B296" s="11">
        <v>43556</v>
      </c>
      <c r="C296" t="s">
        <v>97</v>
      </c>
      <c r="D296">
        <v>18759122</v>
      </c>
      <c r="E296">
        <v>300418.489</v>
      </c>
      <c r="F296">
        <v>4312</v>
      </c>
      <c r="G296" t="s">
        <v>20</v>
      </c>
    </row>
    <row r="297" spans="2:7" x14ac:dyDescent="0.3">
      <c r="B297" s="11">
        <v>43586</v>
      </c>
      <c r="C297" t="s">
        <v>97</v>
      </c>
      <c r="D297">
        <v>15558939</v>
      </c>
      <c r="E297">
        <v>240850.274</v>
      </c>
      <c r="F297">
        <v>4413</v>
      </c>
      <c r="G297" t="s">
        <v>20</v>
      </c>
    </row>
    <row r="298" spans="2:7" x14ac:dyDescent="0.3">
      <c r="B298" s="11">
        <v>43617</v>
      </c>
      <c r="C298" t="s">
        <v>97</v>
      </c>
      <c r="D298">
        <v>18172007</v>
      </c>
      <c r="E298">
        <v>277584.65000000002</v>
      </c>
      <c r="F298">
        <v>4348</v>
      </c>
      <c r="G298" t="s">
        <v>20</v>
      </c>
    </row>
    <row r="299" spans="2:7" x14ac:dyDescent="0.3">
      <c r="B299" s="11">
        <v>43647</v>
      </c>
      <c r="C299" t="s">
        <v>97</v>
      </c>
      <c r="D299">
        <v>19102524</v>
      </c>
      <c r="E299">
        <v>287313.32900000003</v>
      </c>
      <c r="F299">
        <v>4397</v>
      </c>
      <c r="G299" t="s">
        <v>20</v>
      </c>
    </row>
    <row r="300" spans="2:7" x14ac:dyDescent="0.3">
      <c r="B300" s="11">
        <v>43678</v>
      </c>
      <c r="C300" t="s">
        <v>97</v>
      </c>
      <c r="D300">
        <v>21233594</v>
      </c>
      <c r="E300">
        <v>321523.38799999998</v>
      </c>
      <c r="F300">
        <v>4408</v>
      </c>
      <c r="G300" t="s">
        <v>20</v>
      </c>
    </row>
    <row r="301" spans="2:7" x14ac:dyDescent="0.3">
      <c r="B301" s="11">
        <v>43709</v>
      </c>
      <c r="C301" t="s">
        <v>97</v>
      </c>
      <c r="D301">
        <v>16982507</v>
      </c>
      <c r="E301">
        <v>256062.07999999999</v>
      </c>
      <c r="F301">
        <v>4362</v>
      </c>
      <c r="G301" t="s">
        <v>20</v>
      </c>
    </row>
    <row r="302" spans="2:7" x14ac:dyDescent="0.3">
      <c r="B302" s="11">
        <v>43739</v>
      </c>
      <c r="C302" t="s">
        <v>97</v>
      </c>
      <c r="D302">
        <v>19897341</v>
      </c>
      <c r="E302">
        <v>316650.26299999998</v>
      </c>
      <c r="F302">
        <v>4356</v>
      </c>
      <c r="G302" t="s">
        <v>20</v>
      </c>
    </row>
    <row r="303" spans="2:7" x14ac:dyDescent="0.3">
      <c r="B303" s="11">
        <v>43770</v>
      </c>
      <c r="C303" t="s">
        <v>97</v>
      </c>
      <c r="D303">
        <v>15586056</v>
      </c>
      <c r="E303">
        <v>249626.47099999999</v>
      </c>
      <c r="F303">
        <v>4314</v>
      </c>
      <c r="G303" t="s">
        <v>20</v>
      </c>
    </row>
    <row r="304" spans="2:7" x14ac:dyDescent="0.3">
      <c r="B304" s="11">
        <v>43800</v>
      </c>
      <c r="C304" t="s">
        <v>97</v>
      </c>
      <c r="D304">
        <v>17623112</v>
      </c>
      <c r="E304">
        <v>287875.62900000002</v>
      </c>
      <c r="F304">
        <v>4275</v>
      </c>
      <c r="G304" t="s">
        <v>20</v>
      </c>
    </row>
    <row r="305" spans="2:7" x14ac:dyDescent="0.3">
      <c r="B305" s="11">
        <v>43831</v>
      </c>
      <c r="C305" t="s">
        <v>97</v>
      </c>
      <c r="D305">
        <v>16902735</v>
      </c>
      <c r="E305">
        <v>273213.91600000003</v>
      </c>
      <c r="F305">
        <v>4328</v>
      </c>
      <c r="G305" t="s">
        <v>20</v>
      </c>
    </row>
    <row r="306" spans="2:7" x14ac:dyDescent="0.3">
      <c r="B306" s="11">
        <v>43862</v>
      </c>
      <c r="C306" t="s">
        <v>97</v>
      </c>
      <c r="D306">
        <v>17953334</v>
      </c>
      <c r="E306">
        <v>276985.32799999998</v>
      </c>
      <c r="F306">
        <v>4328</v>
      </c>
      <c r="G306" t="s">
        <v>20</v>
      </c>
    </row>
    <row r="307" spans="2:7" x14ac:dyDescent="0.3">
      <c r="B307" s="11">
        <v>43891</v>
      </c>
      <c r="C307" t="s">
        <v>97</v>
      </c>
      <c r="D307">
        <v>16863316</v>
      </c>
      <c r="E307">
        <v>261325.28</v>
      </c>
      <c r="F307">
        <v>4313</v>
      </c>
      <c r="G307" t="s">
        <v>20</v>
      </c>
    </row>
    <row r="308" spans="2:7" x14ac:dyDescent="0.3">
      <c r="B308" s="11">
        <v>43922</v>
      </c>
      <c r="C308" t="s">
        <v>97</v>
      </c>
      <c r="D308">
        <v>17340040</v>
      </c>
      <c r="E308">
        <v>271930.05</v>
      </c>
      <c r="F308">
        <v>4320</v>
      </c>
      <c r="G308" t="s">
        <v>20</v>
      </c>
    </row>
    <row r="309" spans="2:7" x14ac:dyDescent="0.3">
      <c r="B309" s="11">
        <v>43952</v>
      </c>
      <c r="C309" t="s">
        <v>97</v>
      </c>
      <c r="D309">
        <v>18319246</v>
      </c>
      <c r="E309">
        <v>282965.77299999999</v>
      </c>
      <c r="F309">
        <v>4313</v>
      </c>
      <c r="G309" t="s">
        <v>20</v>
      </c>
    </row>
    <row r="310" spans="2:7" x14ac:dyDescent="0.3">
      <c r="B310" s="11">
        <v>43983</v>
      </c>
      <c r="C310" t="s">
        <v>97</v>
      </c>
      <c r="D310">
        <v>18808898</v>
      </c>
      <c r="E310">
        <v>283514.42300000001</v>
      </c>
      <c r="F310">
        <v>4335</v>
      </c>
      <c r="G310" t="s">
        <v>20</v>
      </c>
    </row>
    <row r="311" spans="2:7" x14ac:dyDescent="0.3">
      <c r="B311" s="11">
        <v>44013</v>
      </c>
      <c r="C311" t="s">
        <v>97</v>
      </c>
      <c r="D311">
        <v>20097762</v>
      </c>
      <c r="E311">
        <v>297239.54599999997</v>
      </c>
      <c r="F311">
        <v>4331</v>
      </c>
      <c r="G311" t="s">
        <v>20</v>
      </c>
    </row>
    <row r="312" spans="2:7" x14ac:dyDescent="0.3">
      <c r="B312" s="11">
        <v>44044</v>
      </c>
      <c r="C312" t="s">
        <v>97</v>
      </c>
      <c r="D312">
        <v>23894635</v>
      </c>
      <c r="E312">
        <v>350238.364</v>
      </c>
      <c r="F312">
        <v>4321</v>
      </c>
      <c r="G312" t="s">
        <v>20</v>
      </c>
    </row>
    <row r="313" spans="2:7" x14ac:dyDescent="0.3">
      <c r="B313" s="11">
        <v>44075</v>
      </c>
      <c r="C313" t="s">
        <v>97</v>
      </c>
      <c r="D313">
        <v>20708990</v>
      </c>
      <c r="E313">
        <v>308729.46799999999</v>
      </c>
      <c r="F313">
        <v>4324</v>
      </c>
      <c r="G313" t="s">
        <v>20</v>
      </c>
    </row>
    <row r="314" spans="2:7" x14ac:dyDescent="0.3">
      <c r="B314" s="11">
        <v>44105</v>
      </c>
      <c r="C314" t="s">
        <v>97</v>
      </c>
      <c r="D314">
        <v>20054687</v>
      </c>
      <c r="E314">
        <v>309149.11099999998</v>
      </c>
      <c r="F314">
        <v>4324</v>
      </c>
      <c r="G314" t="s">
        <v>20</v>
      </c>
    </row>
    <row r="315" spans="2:7" x14ac:dyDescent="0.3">
      <c r="B315" s="11">
        <v>44136</v>
      </c>
      <c r="C315" t="s">
        <v>97</v>
      </c>
      <c r="D315">
        <v>18877870</v>
      </c>
      <c r="E315">
        <v>291351.071</v>
      </c>
      <c r="F315">
        <v>4300</v>
      </c>
      <c r="G315" t="s">
        <v>20</v>
      </c>
    </row>
    <row r="316" spans="2:7" x14ac:dyDescent="0.3">
      <c r="B316" s="11">
        <v>44166</v>
      </c>
      <c r="C316" t="s">
        <v>97</v>
      </c>
      <c r="D316">
        <v>18796377</v>
      </c>
      <c r="E316">
        <v>299060.87699999998</v>
      </c>
      <c r="F316">
        <v>4320</v>
      </c>
      <c r="G316" t="s">
        <v>20</v>
      </c>
    </row>
    <row r="317" spans="2:7" x14ac:dyDescent="0.3">
      <c r="B317" s="11">
        <v>44197</v>
      </c>
      <c r="C317" t="s">
        <v>97</v>
      </c>
      <c r="D317">
        <v>19416358</v>
      </c>
      <c r="E317">
        <v>297748.21799999999</v>
      </c>
      <c r="F317">
        <v>4301</v>
      </c>
      <c r="G317" t="s">
        <v>20</v>
      </c>
    </row>
    <row r="318" spans="2:7" x14ac:dyDescent="0.3">
      <c r="B318" s="11">
        <v>44228</v>
      </c>
      <c r="C318" t="s">
        <v>97</v>
      </c>
      <c r="D318">
        <v>19739085</v>
      </c>
      <c r="E318">
        <v>282554.576</v>
      </c>
      <c r="F318">
        <v>4255</v>
      </c>
      <c r="G318" t="s">
        <v>20</v>
      </c>
    </row>
    <row r="319" spans="2:7" x14ac:dyDescent="0.3">
      <c r="B319" s="11">
        <v>44256</v>
      </c>
      <c r="C319" t="s">
        <v>97</v>
      </c>
      <c r="D319">
        <v>21561091</v>
      </c>
      <c r="E319">
        <v>318002.364</v>
      </c>
      <c r="F319">
        <v>4209</v>
      </c>
      <c r="G319" t="s">
        <v>20</v>
      </c>
    </row>
    <row r="320" spans="2:7" x14ac:dyDescent="0.3">
      <c r="B320" s="11">
        <v>44287</v>
      </c>
      <c r="C320" t="s">
        <v>97</v>
      </c>
      <c r="D320">
        <v>20015470</v>
      </c>
      <c r="E320">
        <v>299188.41200000001</v>
      </c>
      <c r="F320">
        <v>4246</v>
      </c>
      <c r="G320" t="s">
        <v>20</v>
      </c>
    </row>
    <row r="321" spans="2:7" x14ac:dyDescent="0.3">
      <c r="B321" s="11">
        <v>44317</v>
      </c>
      <c r="C321" t="s">
        <v>97</v>
      </c>
      <c r="D321">
        <v>23443758</v>
      </c>
      <c r="E321">
        <v>331530.10499999998</v>
      </c>
      <c r="F321">
        <v>4243</v>
      </c>
      <c r="G321" t="s">
        <v>20</v>
      </c>
    </row>
    <row r="322" spans="2:7" x14ac:dyDescent="0.3">
      <c r="B322" s="11">
        <v>44348</v>
      </c>
      <c r="C322" t="s">
        <v>97</v>
      </c>
      <c r="D322">
        <v>21995098</v>
      </c>
      <c r="E322">
        <v>311271.967</v>
      </c>
      <c r="F322">
        <v>4207</v>
      </c>
      <c r="G322" t="s">
        <v>20</v>
      </c>
    </row>
    <row r="323" spans="2:7" x14ac:dyDescent="0.3">
      <c r="B323" s="11">
        <v>44378</v>
      </c>
      <c r="C323" t="s">
        <v>97</v>
      </c>
      <c r="D323">
        <v>25515472</v>
      </c>
      <c r="E323">
        <v>350341.39799999999</v>
      </c>
      <c r="F323">
        <v>4238</v>
      </c>
      <c r="G323" t="s">
        <v>20</v>
      </c>
    </row>
    <row r="324" spans="2:7" x14ac:dyDescent="0.3">
      <c r="B324" s="11">
        <v>44409</v>
      </c>
      <c r="C324" t="s">
        <v>97</v>
      </c>
      <c r="D324">
        <v>24486001</v>
      </c>
      <c r="E324">
        <v>339118.348</v>
      </c>
      <c r="F324">
        <v>4320</v>
      </c>
      <c r="G324" t="s">
        <v>20</v>
      </c>
    </row>
    <row r="325" spans="2:7" x14ac:dyDescent="0.3">
      <c r="B325" s="11">
        <v>44440</v>
      </c>
      <c r="C325" t="s">
        <v>97</v>
      </c>
      <c r="D325">
        <v>23140049</v>
      </c>
      <c r="E325">
        <v>320612.799</v>
      </c>
      <c r="F325">
        <v>4334</v>
      </c>
      <c r="G325" t="s">
        <v>20</v>
      </c>
    </row>
    <row r="326" spans="2:7" x14ac:dyDescent="0.3">
      <c r="B326" s="11">
        <v>44470</v>
      </c>
      <c r="C326" t="s">
        <v>97</v>
      </c>
      <c r="D326">
        <v>20561357</v>
      </c>
      <c r="E326">
        <v>294885.10399999999</v>
      </c>
      <c r="F326">
        <v>4326</v>
      </c>
      <c r="G326" t="s">
        <v>20</v>
      </c>
    </row>
    <row r="327" spans="2:7" x14ac:dyDescent="0.3">
      <c r="B327" s="11">
        <v>44501</v>
      </c>
      <c r="C327" t="s">
        <v>97</v>
      </c>
      <c r="D327">
        <v>21165835</v>
      </c>
      <c r="E327">
        <v>309979.57199999999</v>
      </c>
      <c r="F327">
        <v>4130</v>
      </c>
      <c r="G327" t="s">
        <v>20</v>
      </c>
    </row>
    <row r="328" spans="2:7" x14ac:dyDescent="0.3">
      <c r="B328" s="11">
        <v>44531</v>
      </c>
      <c r="C328" t="s">
        <v>97</v>
      </c>
      <c r="D328">
        <v>23079133</v>
      </c>
      <c r="E328">
        <v>340991.28700000001</v>
      </c>
      <c r="F328">
        <v>4295</v>
      </c>
      <c r="G328" t="s">
        <v>20</v>
      </c>
    </row>
    <row r="329" spans="2:7" x14ac:dyDescent="0.3">
      <c r="B329" s="11">
        <v>44562</v>
      </c>
      <c r="C329" t="s">
        <v>97</v>
      </c>
      <c r="D329">
        <v>21519009</v>
      </c>
      <c r="E329">
        <v>313756.76899999997</v>
      </c>
      <c r="F329">
        <v>4250</v>
      </c>
      <c r="G329" t="s">
        <v>20</v>
      </c>
    </row>
    <row r="330" spans="2:7" x14ac:dyDescent="0.3">
      <c r="B330" s="11">
        <v>44593</v>
      </c>
      <c r="C330" t="s">
        <v>97</v>
      </c>
      <c r="D330">
        <v>24765467</v>
      </c>
      <c r="E330">
        <v>363571.679</v>
      </c>
      <c r="F330">
        <v>4298</v>
      </c>
      <c r="G330" t="s">
        <v>20</v>
      </c>
    </row>
    <row r="331" spans="2:7" x14ac:dyDescent="0.3">
      <c r="B331" s="11">
        <v>44621</v>
      </c>
      <c r="C331" t="s">
        <v>97</v>
      </c>
      <c r="D331">
        <v>27665326</v>
      </c>
      <c r="E331">
        <v>360816.83799999999</v>
      </c>
      <c r="F331">
        <v>4310</v>
      </c>
      <c r="G331" t="s">
        <v>20</v>
      </c>
    </row>
    <row r="332" spans="2:7" x14ac:dyDescent="0.3">
      <c r="B332" s="11">
        <v>44652</v>
      </c>
      <c r="C332" t="s">
        <v>97</v>
      </c>
      <c r="D332">
        <v>23278862</v>
      </c>
      <c r="E332">
        <v>326395.255</v>
      </c>
      <c r="F332">
        <v>4309</v>
      </c>
      <c r="G332" t="s">
        <v>20</v>
      </c>
    </row>
    <row r="333" spans="2:7" x14ac:dyDescent="0.3">
      <c r="B333" s="11">
        <v>44682</v>
      </c>
      <c r="C333" t="s">
        <v>97</v>
      </c>
      <c r="D333">
        <v>24508959</v>
      </c>
      <c r="E333">
        <v>339937.39500000002</v>
      </c>
      <c r="F333">
        <v>4303</v>
      </c>
      <c r="G333" t="s">
        <v>20</v>
      </c>
    </row>
    <row r="334" spans="2:7" x14ac:dyDescent="0.3">
      <c r="B334" s="11">
        <v>44713</v>
      </c>
      <c r="C334" t="s">
        <v>97</v>
      </c>
      <c r="D334">
        <v>22026003</v>
      </c>
      <c r="E334">
        <v>335393.63400000002</v>
      </c>
      <c r="F334">
        <v>4303</v>
      </c>
      <c r="G334" t="s">
        <v>20</v>
      </c>
    </row>
    <row r="335" spans="2:7" x14ac:dyDescent="0.3">
      <c r="B335" s="11">
        <v>44743</v>
      </c>
      <c r="C335" t="s">
        <v>97</v>
      </c>
      <c r="D335">
        <v>26148195</v>
      </c>
      <c r="E335">
        <v>376614.07500000001</v>
      </c>
      <c r="F335">
        <v>4306</v>
      </c>
      <c r="G335" t="s">
        <v>20</v>
      </c>
    </row>
    <row r="336" spans="2:7" x14ac:dyDescent="0.3">
      <c r="B336" s="11">
        <v>44774</v>
      </c>
      <c r="C336" t="s">
        <v>97</v>
      </c>
      <c r="D336">
        <v>29011935</v>
      </c>
      <c r="E336">
        <v>413694.19199999998</v>
      </c>
      <c r="F336">
        <v>4336</v>
      </c>
      <c r="G336" t="s">
        <v>20</v>
      </c>
    </row>
    <row r="337" spans="2:7" x14ac:dyDescent="0.3">
      <c r="B337" s="11">
        <v>44805</v>
      </c>
      <c r="C337" t="s">
        <v>97</v>
      </c>
      <c r="D337">
        <v>25746844</v>
      </c>
      <c r="E337">
        <v>349846.32299999997</v>
      </c>
      <c r="F337">
        <v>4334</v>
      </c>
      <c r="G337" t="s">
        <v>20</v>
      </c>
    </row>
    <row r="338" spans="2:7" x14ac:dyDescent="0.3">
      <c r="B338" s="11">
        <v>44835</v>
      </c>
      <c r="C338" t="s">
        <v>97</v>
      </c>
      <c r="D338">
        <v>24850447</v>
      </c>
      <c r="E338">
        <v>361614.44300000003</v>
      </c>
      <c r="F338">
        <v>4326</v>
      </c>
      <c r="G338" t="s">
        <v>20</v>
      </c>
    </row>
    <row r="339" spans="2:7" x14ac:dyDescent="0.3">
      <c r="B339" s="11">
        <v>44866</v>
      </c>
      <c r="C339" t="s">
        <v>97</v>
      </c>
      <c r="D339">
        <v>24513759</v>
      </c>
      <c r="E339">
        <v>366139.02100000001</v>
      </c>
      <c r="F339">
        <v>4302</v>
      </c>
      <c r="G339" t="s">
        <v>20</v>
      </c>
    </row>
    <row r="340" spans="2:7" x14ac:dyDescent="0.3">
      <c r="B340" s="11">
        <v>44896</v>
      </c>
      <c r="C340" t="s">
        <v>97</v>
      </c>
      <c r="D340">
        <v>25621828</v>
      </c>
      <c r="E340">
        <v>378403.90399999998</v>
      </c>
      <c r="F340">
        <v>4298</v>
      </c>
      <c r="G340" t="s">
        <v>20</v>
      </c>
    </row>
    <row r="341" spans="2:7" x14ac:dyDescent="0.3">
      <c r="B341" s="11">
        <v>44927</v>
      </c>
      <c r="C341" t="s">
        <v>97</v>
      </c>
      <c r="D341">
        <v>25409348</v>
      </c>
      <c r="E341">
        <v>365460.66800000001</v>
      </c>
      <c r="F341">
        <v>4287</v>
      </c>
      <c r="G341" t="s">
        <v>20</v>
      </c>
    </row>
    <row r="342" spans="2:7" x14ac:dyDescent="0.3">
      <c r="B342" s="11">
        <v>44958</v>
      </c>
      <c r="C342" t="s">
        <v>97</v>
      </c>
      <c r="D342">
        <v>27858707</v>
      </c>
      <c r="E342">
        <v>337607.47700000001</v>
      </c>
      <c r="F342">
        <v>4240</v>
      </c>
      <c r="G342" t="s">
        <v>20</v>
      </c>
    </row>
    <row r="343" spans="2:7" x14ac:dyDescent="0.3">
      <c r="B343" s="11">
        <v>44986</v>
      </c>
      <c r="C343" t="s">
        <v>97</v>
      </c>
      <c r="D343">
        <v>28876397</v>
      </c>
      <c r="E343">
        <v>368745.78399999999</v>
      </c>
      <c r="F343">
        <v>4288</v>
      </c>
      <c r="G343" t="s">
        <v>20</v>
      </c>
    </row>
    <row r="344" spans="2:7" x14ac:dyDescent="0.3">
      <c r="B344" s="11">
        <v>45017</v>
      </c>
      <c r="C344" t="s">
        <v>97</v>
      </c>
      <c r="D344">
        <v>29466730</v>
      </c>
      <c r="E344">
        <v>385280.6</v>
      </c>
      <c r="F344">
        <v>4224</v>
      </c>
      <c r="G344" t="s">
        <v>20</v>
      </c>
    </row>
    <row r="345" spans="2:7" x14ac:dyDescent="0.3">
      <c r="B345" s="11">
        <v>45047</v>
      </c>
      <c r="C345" t="s">
        <v>97</v>
      </c>
      <c r="D345">
        <v>30106635</v>
      </c>
      <c r="E345">
        <v>383908.54700000002</v>
      </c>
      <c r="F345">
        <v>4144</v>
      </c>
      <c r="G345" t="s">
        <v>20</v>
      </c>
    </row>
    <row r="346" spans="2:7" x14ac:dyDescent="0.3">
      <c r="B346" s="11">
        <v>45078</v>
      </c>
      <c r="C346" t="s">
        <v>97</v>
      </c>
      <c r="D346">
        <v>31758680</v>
      </c>
      <c r="E346">
        <v>393085.11800000002</v>
      </c>
      <c r="F346">
        <v>4174</v>
      </c>
      <c r="G346" t="s">
        <v>20</v>
      </c>
    </row>
    <row r="347" spans="2:7" x14ac:dyDescent="0.3">
      <c r="B347" s="11">
        <v>45108</v>
      </c>
      <c r="C347" t="s">
        <v>97</v>
      </c>
      <c r="D347">
        <v>32266360</v>
      </c>
      <c r="E347">
        <v>405074.73700000002</v>
      </c>
      <c r="F347">
        <v>4147</v>
      </c>
      <c r="G347" t="s">
        <v>20</v>
      </c>
    </row>
    <row r="348" spans="2:7" x14ac:dyDescent="0.3">
      <c r="B348" s="11">
        <v>45139</v>
      </c>
      <c r="C348" t="s">
        <v>97</v>
      </c>
      <c r="D348">
        <v>33701578</v>
      </c>
      <c r="E348">
        <v>417132.22899999999</v>
      </c>
      <c r="F348">
        <v>4248</v>
      </c>
      <c r="G348" t="s">
        <v>20</v>
      </c>
    </row>
    <row r="349" spans="2:7" x14ac:dyDescent="0.3">
      <c r="B349" s="11">
        <v>45170</v>
      </c>
      <c r="C349" t="s">
        <v>97</v>
      </c>
      <c r="D349">
        <v>31865861</v>
      </c>
      <c r="E349">
        <v>395435.16</v>
      </c>
      <c r="F349">
        <v>4211</v>
      </c>
      <c r="G349" t="s">
        <v>20</v>
      </c>
    </row>
    <row r="350" spans="2:7" x14ac:dyDescent="0.3">
      <c r="B350" s="11">
        <v>45200</v>
      </c>
      <c r="C350" t="s">
        <v>97</v>
      </c>
      <c r="D350">
        <v>32259876</v>
      </c>
      <c r="E350">
        <v>411552.41</v>
      </c>
      <c r="F350">
        <v>4193</v>
      </c>
      <c r="G350" t="s">
        <v>20</v>
      </c>
    </row>
    <row r="351" spans="2:7" x14ac:dyDescent="0.3">
      <c r="B351" s="11">
        <v>45231</v>
      </c>
      <c r="C351" t="s">
        <v>97</v>
      </c>
      <c r="D351">
        <v>30856002</v>
      </c>
      <c r="E351">
        <v>404362.09700000001</v>
      </c>
      <c r="F351">
        <v>4187</v>
      </c>
      <c r="G351" t="s">
        <v>20</v>
      </c>
    </row>
    <row r="352" spans="2:7" x14ac:dyDescent="0.3">
      <c r="B352" s="11">
        <v>45261</v>
      </c>
      <c r="C352" t="s">
        <v>97</v>
      </c>
      <c r="D352">
        <v>29910139</v>
      </c>
      <c r="E352">
        <v>388711.63799999998</v>
      </c>
      <c r="F352">
        <v>4161</v>
      </c>
      <c r="G352" t="s">
        <v>20</v>
      </c>
    </row>
    <row r="353" spans="2:7" x14ac:dyDescent="0.3">
      <c r="B353" s="11">
        <v>45292</v>
      </c>
      <c r="C353" t="s">
        <v>97</v>
      </c>
      <c r="D353">
        <v>34235878</v>
      </c>
      <c r="E353">
        <v>432442.66100000002</v>
      </c>
      <c r="F353">
        <v>4157</v>
      </c>
      <c r="G353" t="s">
        <v>20</v>
      </c>
    </row>
    <row r="354" spans="2:7" x14ac:dyDescent="0.3">
      <c r="B354" s="11">
        <v>45323</v>
      </c>
      <c r="C354" t="s">
        <v>97</v>
      </c>
      <c r="D354">
        <v>32947326</v>
      </c>
      <c r="E354">
        <v>347630.92700000003</v>
      </c>
      <c r="F354">
        <v>4236</v>
      </c>
      <c r="G354" t="s">
        <v>20</v>
      </c>
    </row>
    <row r="355" spans="2:7" x14ac:dyDescent="0.3">
      <c r="B355" s="11">
        <v>45352</v>
      </c>
      <c r="C355" t="s">
        <v>97</v>
      </c>
      <c r="D355">
        <v>35795485</v>
      </c>
      <c r="E355">
        <v>407830.02899999998</v>
      </c>
      <c r="F355">
        <v>4272</v>
      </c>
      <c r="G355" t="s">
        <v>20</v>
      </c>
    </row>
    <row r="356" spans="2:7" x14ac:dyDescent="0.3">
      <c r="B356" s="11">
        <v>45383</v>
      </c>
      <c r="C356" t="s">
        <v>97</v>
      </c>
      <c r="D356">
        <v>32705130</v>
      </c>
      <c r="E356">
        <v>386434.54599999997</v>
      </c>
      <c r="F356">
        <v>4281</v>
      </c>
      <c r="G356" t="s">
        <v>20</v>
      </c>
    </row>
    <row r="357" spans="2:7" x14ac:dyDescent="0.3">
      <c r="B357" s="11">
        <v>45413</v>
      </c>
      <c r="C357" t="s">
        <v>97</v>
      </c>
      <c r="D357">
        <v>37363728</v>
      </c>
      <c r="E357">
        <v>420301.587</v>
      </c>
      <c r="F357">
        <v>4269</v>
      </c>
      <c r="G357" t="s">
        <v>20</v>
      </c>
    </row>
    <row r="358" spans="2:7" x14ac:dyDescent="0.3">
      <c r="B358" s="11">
        <v>45444</v>
      </c>
      <c r="C358" t="s">
        <v>97</v>
      </c>
      <c r="D358">
        <v>36596883</v>
      </c>
      <c r="E358">
        <v>409448.745</v>
      </c>
      <c r="F358">
        <v>4289</v>
      </c>
      <c r="G358" t="s">
        <v>20</v>
      </c>
    </row>
    <row r="359" spans="2:7" x14ac:dyDescent="0.3">
      <c r="B359" s="11">
        <v>45474</v>
      </c>
      <c r="C359" t="s">
        <v>97</v>
      </c>
      <c r="D359">
        <v>41292178</v>
      </c>
      <c r="E359">
        <v>449991.11499999999</v>
      </c>
      <c r="F359">
        <v>4308</v>
      </c>
      <c r="G359" t="s">
        <v>20</v>
      </c>
    </row>
    <row r="360" spans="2:7" x14ac:dyDescent="0.3">
      <c r="B360" s="11">
        <v>45505</v>
      </c>
      <c r="C360" t="s">
        <v>97</v>
      </c>
      <c r="D360">
        <v>43334665</v>
      </c>
      <c r="E360">
        <v>475516.35499999998</v>
      </c>
      <c r="F360">
        <v>4308</v>
      </c>
      <c r="G360" t="s">
        <v>20</v>
      </c>
    </row>
    <row r="361" spans="2:7" x14ac:dyDescent="0.3">
      <c r="B361" s="11">
        <v>45536</v>
      </c>
      <c r="C361" t="s">
        <v>97</v>
      </c>
      <c r="D361">
        <v>40278029</v>
      </c>
      <c r="E361">
        <v>443244.96899999998</v>
      </c>
      <c r="F361">
        <v>4254</v>
      </c>
      <c r="G361" t="s">
        <v>20</v>
      </c>
    </row>
    <row r="362" spans="2:7" x14ac:dyDescent="0.3">
      <c r="B362" s="11">
        <v>45566</v>
      </c>
      <c r="C362" t="s">
        <v>97</v>
      </c>
      <c r="D362">
        <v>39826172</v>
      </c>
      <c r="E362">
        <v>444589.478</v>
      </c>
      <c r="F362">
        <v>4306</v>
      </c>
      <c r="G362" t="s">
        <v>20</v>
      </c>
    </row>
    <row r="363" spans="2:7" x14ac:dyDescent="0.3">
      <c r="B363" s="11">
        <v>45597</v>
      </c>
      <c r="C363" t="s">
        <v>97</v>
      </c>
      <c r="D363">
        <v>37739460</v>
      </c>
      <c r="E363">
        <v>431193.61800000002</v>
      </c>
      <c r="F363">
        <v>4206</v>
      </c>
      <c r="G363" t="s">
        <v>20</v>
      </c>
    </row>
    <row r="364" spans="2:7" x14ac:dyDescent="0.3">
      <c r="B364" s="11">
        <v>45627</v>
      </c>
      <c r="C364" t="s">
        <v>97</v>
      </c>
      <c r="D364">
        <v>38983575</v>
      </c>
      <c r="E364">
        <v>448811.19900000002</v>
      </c>
      <c r="F364">
        <v>4196</v>
      </c>
      <c r="G364" t="s">
        <v>20</v>
      </c>
    </row>
    <row r="365" spans="2:7" x14ac:dyDescent="0.3">
      <c r="B365" s="11">
        <v>42736</v>
      </c>
      <c r="C365" t="s">
        <v>95</v>
      </c>
      <c r="D365">
        <v>51227443</v>
      </c>
      <c r="E365">
        <v>564862.84</v>
      </c>
      <c r="F365">
        <v>103924</v>
      </c>
      <c r="G365" t="s">
        <v>20</v>
      </c>
    </row>
    <row r="366" spans="2:7" x14ac:dyDescent="0.3">
      <c r="B366" s="11">
        <v>42767</v>
      </c>
      <c r="C366" t="s">
        <v>95</v>
      </c>
      <c r="D366">
        <v>50190528</v>
      </c>
      <c r="E366">
        <v>544400.85600000003</v>
      </c>
      <c r="F366">
        <v>104044</v>
      </c>
      <c r="G366" t="s">
        <v>20</v>
      </c>
    </row>
    <row r="367" spans="2:7" x14ac:dyDescent="0.3">
      <c r="B367" s="11">
        <v>42795</v>
      </c>
      <c r="C367" t="s">
        <v>95</v>
      </c>
      <c r="D367">
        <v>52998532</v>
      </c>
      <c r="E367">
        <v>573938.723</v>
      </c>
      <c r="F367">
        <v>103921</v>
      </c>
      <c r="G367" t="s">
        <v>20</v>
      </c>
    </row>
    <row r="368" spans="2:7" x14ac:dyDescent="0.3">
      <c r="B368" s="11">
        <v>42826</v>
      </c>
      <c r="C368" t="s">
        <v>95</v>
      </c>
      <c r="D368">
        <v>49677696</v>
      </c>
      <c r="E368">
        <v>527750.38800000004</v>
      </c>
      <c r="F368">
        <v>104139</v>
      </c>
      <c r="G368" t="s">
        <v>20</v>
      </c>
    </row>
    <row r="369" spans="2:7" x14ac:dyDescent="0.3">
      <c r="B369" s="11">
        <v>42856</v>
      </c>
      <c r="C369" t="s">
        <v>95</v>
      </c>
      <c r="D369">
        <v>52077828</v>
      </c>
      <c r="E369">
        <v>549744.48800000001</v>
      </c>
      <c r="F369">
        <v>104194</v>
      </c>
      <c r="G369" t="s">
        <v>20</v>
      </c>
    </row>
    <row r="370" spans="2:7" x14ac:dyDescent="0.3">
      <c r="B370" s="11">
        <v>42887</v>
      </c>
      <c r="C370" t="s">
        <v>95</v>
      </c>
      <c r="D370">
        <v>52349229</v>
      </c>
      <c r="E370">
        <v>567326.99899999995</v>
      </c>
      <c r="F370">
        <v>104362</v>
      </c>
      <c r="G370" t="s">
        <v>20</v>
      </c>
    </row>
    <row r="371" spans="2:7" x14ac:dyDescent="0.3">
      <c r="B371" s="11">
        <v>42917</v>
      </c>
      <c r="C371" t="s">
        <v>95</v>
      </c>
      <c r="D371">
        <v>55363802</v>
      </c>
      <c r="E371">
        <v>598526.15300000005</v>
      </c>
      <c r="F371">
        <v>104395</v>
      </c>
      <c r="G371" t="s">
        <v>20</v>
      </c>
    </row>
    <row r="372" spans="2:7" x14ac:dyDescent="0.3">
      <c r="B372" s="11">
        <v>42948</v>
      </c>
      <c r="C372" t="s">
        <v>95</v>
      </c>
      <c r="D372">
        <v>59988999</v>
      </c>
      <c r="E372">
        <v>653731.43299999996</v>
      </c>
      <c r="F372">
        <v>104364</v>
      </c>
      <c r="G372" t="s">
        <v>20</v>
      </c>
    </row>
    <row r="373" spans="2:7" x14ac:dyDescent="0.3">
      <c r="B373" s="11">
        <v>42979</v>
      </c>
      <c r="C373" t="s">
        <v>95</v>
      </c>
      <c r="D373">
        <v>51056167</v>
      </c>
      <c r="E373">
        <v>554507.77800000005</v>
      </c>
      <c r="F373">
        <v>104478</v>
      </c>
      <c r="G373" t="s">
        <v>20</v>
      </c>
    </row>
    <row r="374" spans="2:7" x14ac:dyDescent="0.3">
      <c r="B374" s="11">
        <v>43009</v>
      </c>
      <c r="C374" t="s">
        <v>95</v>
      </c>
      <c r="D374">
        <v>52939452</v>
      </c>
      <c r="E374">
        <v>560025.85400000005</v>
      </c>
      <c r="F374">
        <v>104679</v>
      </c>
      <c r="G374" t="s">
        <v>20</v>
      </c>
    </row>
    <row r="375" spans="2:7" x14ac:dyDescent="0.3">
      <c r="B375" s="11">
        <v>43040</v>
      </c>
      <c r="C375" t="s">
        <v>95</v>
      </c>
      <c r="D375">
        <v>52733972</v>
      </c>
      <c r="E375">
        <v>560985.85400000005</v>
      </c>
      <c r="F375">
        <v>104704</v>
      </c>
      <c r="G375" t="s">
        <v>20</v>
      </c>
    </row>
    <row r="376" spans="2:7" x14ac:dyDescent="0.3">
      <c r="B376" s="11">
        <v>43070</v>
      </c>
      <c r="C376" t="s">
        <v>95</v>
      </c>
      <c r="D376">
        <v>55057358</v>
      </c>
      <c r="E376">
        <v>608342.28700000001</v>
      </c>
      <c r="F376">
        <v>104941</v>
      </c>
      <c r="G376" t="s">
        <v>20</v>
      </c>
    </row>
    <row r="377" spans="2:7" x14ac:dyDescent="0.3">
      <c r="B377" s="11">
        <v>43101</v>
      </c>
      <c r="C377" t="s">
        <v>95</v>
      </c>
      <c r="D377">
        <v>46406433</v>
      </c>
      <c r="E377">
        <v>498530.56</v>
      </c>
      <c r="F377">
        <v>104919</v>
      </c>
      <c r="G377" t="s">
        <v>20</v>
      </c>
    </row>
    <row r="378" spans="2:7" x14ac:dyDescent="0.3">
      <c r="B378" s="11">
        <v>43132</v>
      </c>
      <c r="C378" t="s">
        <v>95</v>
      </c>
      <c r="D378">
        <v>53100111</v>
      </c>
      <c r="E378">
        <v>564395.5</v>
      </c>
      <c r="F378">
        <v>105115</v>
      </c>
      <c r="G378" t="s">
        <v>20</v>
      </c>
    </row>
    <row r="379" spans="2:7" x14ac:dyDescent="0.3">
      <c r="B379" s="11">
        <v>43160</v>
      </c>
      <c r="C379" t="s">
        <v>95</v>
      </c>
      <c r="D379">
        <v>49232135</v>
      </c>
      <c r="E379">
        <v>519856.11</v>
      </c>
      <c r="F379">
        <v>105074</v>
      </c>
      <c r="G379" t="s">
        <v>20</v>
      </c>
    </row>
    <row r="380" spans="2:7" x14ac:dyDescent="0.3">
      <c r="B380" s="11">
        <v>43191</v>
      </c>
      <c r="C380" t="s">
        <v>95</v>
      </c>
      <c r="D380">
        <v>52185519</v>
      </c>
      <c r="E380">
        <v>541698.12</v>
      </c>
      <c r="F380">
        <v>105346</v>
      </c>
      <c r="G380" t="s">
        <v>20</v>
      </c>
    </row>
    <row r="381" spans="2:7" x14ac:dyDescent="0.3">
      <c r="B381" s="11">
        <v>43221</v>
      </c>
      <c r="C381" t="s">
        <v>95</v>
      </c>
      <c r="D381">
        <v>48646421</v>
      </c>
      <c r="E381">
        <v>509128.16</v>
      </c>
      <c r="F381">
        <v>110615</v>
      </c>
      <c r="G381" t="s">
        <v>20</v>
      </c>
    </row>
    <row r="382" spans="2:7" x14ac:dyDescent="0.3">
      <c r="B382" s="11">
        <v>43252</v>
      </c>
      <c r="C382" t="s">
        <v>95</v>
      </c>
      <c r="D382">
        <v>59886637</v>
      </c>
      <c r="E382">
        <v>590770.64</v>
      </c>
      <c r="F382">
        <v>118931</v>
      </c>
      <c r="G382" t="s">
        <v>20</v>
      </c>
    </row>
    <row r="383" spans="2:7" x14ac:dyDescent="0.3">
      <c r="B383" s="11">
        <v>43282</v>
      </c>
      <c r="C383" t="s">
        <v>95</v>
      </c>
      <c r="D383">
        <v>68469447</v>
      </c>
      <c r="E383">
        <v>648637.1</v>
      </c>
      <c r="F383">
        <v>105917</v>
      </c>
      <c r="G383" t="s">
        <v>20</v>
      </c>
    </row>
    <row r="384" spans="2:7" x14ac:dyDescent="0.3">
      <c r="B384" s="11">
        <v>43313</v>
      </c>
      <c r="C384" t="s">
        <v>95</v>
      </c>
      <c r="D384">
        <v>65685535</v>
      </c>
      <c r="E384">
        <v>621799.89</v>
      </c>
      <c r="F384">
        <v>105871</v>
      </c>
      <c r="G384" t="s">
        <v>20</v>
      </c>
    </row>
    <row r="385" spans="2:7" x14ac:dyDescent="0.3">
      <c r="B385" s="11">
        <v>43344</v>
      </c>
      <c r="C385" t="s">
        <v>95</v>
      </c>
      <c r="D385">
        <v>24772633</v>
      </c>
      <c r="E385">
        <v>552936.30000000005</v>
      </c>
      <c r="F385">
        <v>104753</v>
      </c>
      <c r="G385" t="s">
        <v>20</v>
      </c>
    </row>
    <row r="386" spans="2:7" x14ac:dyDescent="0.3">
      <c r="B386" s="11">
        <v>43374</v>
      </c>
      <c r="C386" t="s">
        <v>95</v>
      </c>
      <c r="D386">
        <v>56653753</v>
      </c>
      <c r="E386">
        <v>596074.87</v>
      </c>
      <c r="F386">
        <v>105857</v>
      </c>
      <c r="G386" t="s">
        <v>20</v>
      </c>
    </row>
    <row r="387" spans="2:7" x14ac:dyDescent="0.3">
      <c r="B387" s="11">
        <v>43405</v>
      </c>
      <c r="C387" t="s">
        <v>95</v>
      </c>
      <c r="D387">
        <v>51027089</v>
      </c>
      <c r="E387">
        <v>528298.64</v>
      </c>
      <c r="F387">
        <v>105885</v>
      </c>
      <c r="G387" t="s">
        <v>20</v>
      </c>
    </row>
    <row r="388" spans="2:7" x14ac:dyDescent="0.3">
      <c r="B388" s="11">
        <v>43435</v>
      </c>
      <c r="C388" t="s">
        <v>95</v>
      </c>
      <c r="D388">
        <v>52203764</v>
      </c>
      <c r="E388">
        <v>556357.34</v>
      </c>
      <c r="F388">
        <v>109021</v>
      </c>
      <c r="G388" t="s">
        <v>20</v>
      </c>
    </row>
    <row r="389" spans="2:7" x14ac:dyDescent="0.3">
      <c r="B389" s="11">
        <v>43466</v>
      </c>
      <c r="C389" t="s">
        <v>95</v>
      </c>
      <c r="D389">
        <v>49482239</v>
      </c>
      <c r="E389">
        <v>537564.37</v>
      </c>
      <c r="F389">
        <v>105586</v>
      </c>
      <c r="G389" t="s">
        <v>20</v>
      </c>
    </row>
    <row r="390" spans="2:7" x14ac:dyDescent="0.3">
      <c r="B390" s="11">
        <v>43497</v>
      </c>
      <c r="C390" t="s">
        <v>95</v>
      </c>
      <c r="D390">
        <v>53355443</v>
      </c>
      <c r="E390">
        <v>560381.73699999996</v>
      </c>
      <c r="F390">
        <v>105375</v>
      </c>
      <c r="G390" t="s">
        <v>20</v>
      </c>
    </row>
    <row r="391" spans="2:7" x14ac:dyDescent="0.3">
      <c r="B391" s="11">
        <v>43525</v>
      </c>
      <c r="C391" t="s">
        <v>95</v>
      </c>
      <c r="D391">
        <v>49587405</v>
      </c>
      <c r="E391">
        <v>529537.32400000002</v>
      </c>
      <c r="F391">
        <v>105493</v>
      </c>
      <c r="G391" t="s">
        <v>20</v>
      </c>
    </row>
    <row r="392" spans="2:7" x14ac:dyDescent="0.3">
      <c r="B392" s="11">
        <v>43556</v>
      </c>
      <c r="C392" t="s">
        <v>95</v>
      </c>
      <c r="D392">
        <v>50794539</v>
      </c>
      <c r="E392">
        <v>517706.88199999998</v>
      </c>
      <c r="F392">
        <v>105046</v>
      </c>
      <c r="G392" t="s">
        <v>20</v>
      </c>
    </row>
    <row r="393" spans="2:7" x14ac:dyDescent="0.3">
      <c r="B393" s="11">
        <v>43586</v>
      </c>
      <c r="C393" t="s">
        <v>95</v>
      </c>
      <c r="D393">
        <v>52839093</v>
      </c>
      <c r="E393">
        <v>542632.48600000003</v>
      </c>
      <c r="F393">
        <v>105121</v>
      </c>
      <c r="G393" t="s">
        <v>20</v>
      </c>
    </row>
    <row r="394" spans="2:7" x14ac:dyDescent="0.3">
      <c r="B394" s="11">
        <v>43617</v>
      </c>
      <c r="C394" t="s">
        <v>95</v>
      </c>
      <c r="D394">
        <v>50661053</v>
      </c>
      <c r="E394">
        <v>550420.36699999997</v>
      </c>
      <c r="F394">
        <v>104905</v>
      </c>
      <c r="G394" t="s">
        <v>20</v>
      </c>
    </row>
    <row r="395" spans="2:7" x14ac:dyDescent="0.3">
      <c r="B395" s="11">
        <v>43647</v>
      </c>
      <c r="C395" t="s">
        <v>95</v>
      </c>
      <c r="D395">
        <v>55205934</v>
      </c>
      <c r="E395">
        <v>584129.64099999995</v>
      </c>
      <c r="F395">
        <v>105362</v>
      </c>
      <c r="G395" t="s">
        <v>20</v>
      </c>
    </row>
    <row r="396" spans="2:7" x14ac:dyDescent="0.3">
      <c r="B396" s="11">
        <v>43678</v>
      </c>
      <c r="C396" t="s">
        <v>95</v>
      </c>
      <c r="D396">
        <v>54743821</v>
      </c>
      <c r="E396">
        <v>589167.34600000002</v>
      </c>
      <c r="F396">
        <v>105529</v>
      </c>
      <c r="G396" t="s">
        <v>20</v>
      </c>
    </row>
    <row r="397" spans="2:7" x14ac:dyDescent="0.3">
      <c r="B397" s="11">
        <v>43709</v>
      </c>
      <c r="C397" t="s">
        <v>95</v>
      </c>
      <c r="D397">
        <v>48157330</v>
      </c>
      <c r="E397">
        <v>519333.64199999999</v>
      </c>
      <c r="F397">
        <v>105283</v>
      </c>
      <c r="G397" t="s">
        <v>20</v>
      </c>
    </row>
    <row r="398" spans="2:7" x14ac:dyDescent="0.3">
      <c r="B398" s="11">
        <v>43739</v>
      </c>
      <c r="C398" t="s">
        <v>95</v>
      </c>
      <c r="D398">
        <v>53883640</v>
      </c>
      <c r="E398">
        <v>563731.85699999996</v>
      </c>
      <c r="F398">
        <v>105328</v>
      </c>
      <c r="G398" t="s">
        <v>20</v>
      </c>
    </row>
    <row r="399" spans="2:7" x14ac:dyDescent="0.3">
      <c r="B399" s="11">
        <v>43770</v>
      </c>
      <c r="C399" t="s">
        <v>95</v>
      </c>
      <c r="D399">
        <v>50537209</v>
      </c>
      <c r="E399">
        <v>531702.56499999994</v>
      </c>
      <c r="F399">
        <v>105460</v>
      </c>
      <c r="G399" t="s">
        <v>20</v>
      </c>
    </row>
    <row r="400" spans="2:7" x14ac:dyDescent="0.3">
      <c r="B400" s="11">
        <v>43800</v>
      </c>
      <c r="C400" t="s">
        <v>95</v>
      </c>
      <c r="D400">
        <v>50629275</v>
      </c>
      <c r="E400">
        <v>550476.01100000006</v>
      </c>
      <c r="F400">
        <v>105505</v>
      </c>
      <c r="G400" t="s">
        <v>20</v>
      </c>
    </row>
    <row r="401" spans="2:7" x14ac:dyDescent="0.3">
      <c r="B401" s="11">
        <v>43831</v>
      </c>
      <c r="C401" t="s">
        <v>95</v>
      </c>
      <c r="D401">
        <v>52179532</v>
      </c>
      <c r="E401">
        <v>548408.44799999997</v>
      </c>
      <c r="F401">
        <v>105944</v>
      </c>
      <c r="G401" t="s">
        <v>20</v>
      </c>
    </row>
    <row r="402" spans="2:7" x14ac:dyDescent="0.3">
      <c r="B402" s="11">
        <v>43862</v>
      </c>
      <c r="C402" t="s">
        <v>95</v>
      </c>
      <c r="D402">
        <v>52499938</v>
      </c>
      <c r="E402">
        <v>535874.27399999998</v>
      </c>
      <c r="F402">
        <v>105944</v>
      </c>
      <c r="G402" t="s">
        <v>20</v>
      </c>
    </row>
    <row r="403" spans="2:7" x14ac:dyDescent="0.3">
      <c r="B403" s="11">
        <v>43891</v>
      </c>
      <c r="C403" t="s">
        <v>95</v>
      </c>
      <c r="D403">
        <v>52332945</v>
      </c>
      <c r="E403">
        <v>537419.40099999995</v>
      </c>
      <c r="F403">
        <v>105942</v>
      </c>
      <c r="G403" t="s">
        <v>20</v>
      </c>
    </row>
    <row r="404" spans="2:7" x14ac:dyDescent="0.3">
      <c r="B404" s="11">
        <v>43922</v>
      </c>
      <c r="C404" t="s">
        <v>95</v>
      </c>
      <c r="D404">
        <v>42568750</v>
      </c>
      <c r="E404">
        <v>421234.37699999998</v>
      </c>
      <c r="F404">
        <v>106109</v>
      </c>
      <c r="G404" t="s">
        <v>20</v>
      </c>
    </row>
    <row r="405" spans="2:7" x14ac:dyDescent="0.3">
      <c r="B405" s="11">
        <v>43952</v>
      </c>
      <c r="C405" t="s">
        <v>95</v>
      </c>
      <c r="D405">
        <v>48052756</v>
      </c>
      <c r="E405">
        <v>470349.82400000002</v>
      </c>
      <c r="F405">
        <v>106008</v>
      </c>
      <c r="G405" t="s">
        <v>20</v>
      </c>
    </row>
    <row r="406" spans="2:7" x14ac:dyDescent="0.3">
      <c r="B406" s="11">
        <v>43983</v>
      </c>
      <c r="C406" t="s">
        <v>95</v>
      </c>
      <c r="D406">
        <v>46373706</v>
      </c>
      <c r="E406">
        <v>469902.18</v>
      </c>
      <c r="F406">
        <v>105969</v>
      </c>
      <c r="G406" t="s">
        <v>20</v>
      </c>
    </row>
    <row r="407" spans="2:7" x14ac:dyDescent="0.3">
      <c r="B407" s="11">
        <v>44013</v>
      </c>
      <c r="C407" t="s">
        <v>95</v>
      </c>
      <c r="D407">
        <v>55238079</v>
      </c>
      <c r="E407">
        <v>566792.23699999996</v>
      </c>
      <c r="F407">
        <v>106189</v>
      </c>
      <c r="G407" t="s">
        <v>20</v>
      </c>
    </row>
    <row r="408" spans="2:7" x14ac:dyDescent="0.3">
      <c r="B408" s="11">
        <v>44044</v>
      </c>
      <c r="C408" t="s">
        <v>95</v>
      </c>
      <c r="D408">
        <v>53926460</v>
      </c>
      <c r="E408">
        <v>561874.10400000005</v>
      </c>
      <c r="F408">
        <v>106181</v>
      </c>
      <c r="G408" t="s">
        <v>20</v>
      </c>
    </row>
    <row r="409" spans="2:7" x14ac:dyDescent="0.3">
      <c r="B409" s="11">
        <v>44075</v>
      </c>
      <c r="C409" t="s">
        <v>95</v>
      </c>
      <c r="D409">
        <v>47171411</v>
      </c>
      <c r="E409">
        <v>498878.288</v>
      </c>
      <c r="F409">
        <v>106201</v>
      </c>
      <c r="G409" t="s">
        <v>20</v>
      </c>
    </row>
    <row r="410" spans="2:7" x14ac:dyDescent="0.3">
      <c r="B410" s="11">
        <v>44105</v>
      </c>
      <c r="C410" t="s">
        <v>95</v>
      </c>
      <c r="D410">
        <v>49583977</v>
      </c>
      <c r="E410">
        <v>503174.11499999999</v>
      </c>
      <c r="F410">
        <v>106411</v>
      </c>
      <c r="G410" t="s">
        <v>20</v>
      </c>
    </row>
    <row r="411" spans="2:7" x14ac:dyDescent="0.3">
      <c r="B411" s="11">
        <v>44136</v>
      </c>
      <c r="C411" t="s">
        <v>95</v>
      </c>
      <c r="D411">
        <v>48912116</v>
      </c>
      <c r="E411">
        <v>499105.04100000003</v>
      </c>
      <c r="F411">
        <v>106394</v>
      </c>
      <c r="G411" t="s">
        <v>20</v>
      </c>
    </row>
    <row r="412" spans="2:7" x14ac:dyDescent="0.3">
      <c r="B412" s="11">
        <v>44166</v>
      </c>
      <c r="C412" t="s">
        <v>95</v>
      </c>
      <c r="D412">
        <v>51838418</v>
      </c>
      <c r="E412">
        <v>538739.39199999999</v>
      </c>
      <c r="F412">
        <v>106651</v>
      </c>
      <c r="G412" t="s">
        <v>20</v>
      </c>
    </row>
    <row r="413" spans="2:7" x14ac:dyDescent="0.3">
      <c r="B413" s="11">
        <v>44197</v>
      </c>
      <c r="C413" t="s">
        <v>95</v>
      </c>
      <c r="D413">
        <v>53686430</v>
      </c>
      <c r="E413">
        <v>530439.59600000002</v>
      </c>
      <c r="F413">
        <v>106639</v>
      </c>
      <c r="G413" t="s">
        <v>20</v>
      </c>
    </row>
    <row r="414" spans="2:7" x14ac:dyDescent="0.3">
      <c r="B414" s="11">
        <v>44228</v>
      </c>
      <c r="C414" t="s">
        <v>95</v>
      </c>
      <c r="D414">
        <v>50420457</v>
      </c>
      <c r="E414">
        <v>487985.636</v>
      </c>
      <c r="F414">
        <v>106646</v>
      </c>
      <c r="G414" t="s">
        <v>20</v>
      </c>
    </row>
    <row r="415" spans="2:7" x14ac:dyDescent="0.3">
      <c r="B415" s="11">
        <v>44256</v>
      </c>
      <c r="C415" t="s">
        <v>95</v>
      </c>
      <c r="D415">
        <v>56317783</v>
      </c>
      <c r="E415">
        <v>541490.94799999997</v>
      </c>
      <c r="F415">
        <v>106634</v>
      </c>
      <c r="G415" t="s">
        <v>20</v>
      </c>
    </row>
    <row r="416" spans="2:7" x14ac:dyDescent="0.3">
      <c r="B416" s="11">
        <v>44287</v>
      </c>
      <c r="C416" t="s">
        <v>95</v>
      </c>
      <c r="D416">
        <v>52672763</v>
      </c>
      <c r="E416">
        <v>501060.05099999998</v>
      </c>
      <c r="F416">
        <v>106625</v>
      </c>
      <c r="G416" t="s">
        <v>20</v>
      </c>
    </row>
    <row r="417" spans="2:7" x14ac:dyDescent="0.3">
      <c r="B417" s="11">
        <v>44317</v>
      </c>
      <c r="C417" t="s">
        <v>95</v>
      </c>
      <c r="D417">
        <v>54886762</v>
      </c>
      <c r="E417">
        <v>520324.64899999998</v>
      </c>
      <c r="F417">
        <v>106748</v>
      </c>
      <c r="G417" t="s">
        <v>20</v>
      </c>
    </row>
    <row r="418" spans="2:7" x14ac:dyDescent="0.3">
      <c r="B418" s="11">
        <v>44348</v>
      </c>
      <c r="C418" t="s">
        <v>95</v>
      </c>
      <c r="D418">
        <v>56658386</v>
      </c>
      <c r="E418">
        <v>552454.853</v>
      </c>
      <c r="F418">
        <v>106974</v>
      </c>
      <c r="G418" t="s">
        <v>20</v>
      </c>
    </row>
    <row r="419" spans="2:7" x14ac:dyDescent="0.3">
      <c r="B419" s="11">
        <v>44378</v>
      </c>
      <c r="C419" t="s">
        <v>95</v>
      </c>
      <c r="D419">
        <v>61068639</v>
      </c>
      <c r="E419">
        <v>601348.63800000004</v>
      </c>
      <c r="F419">
        <v>106779</v>
      </c>
      <c r="G419" t="s">
        <v>20</v>
      </c>
    </row>
    <row r="420" spans="2:7" x14ac:dyDescent="0.3">
      <c r="B420" s="11">
        <v>44409</v>
      </c>
      <c r="C420" t="s">
        <v>95</v>
      </c>
      <c r="D420">
        <v>61202954</v>
      </c>
      <c r="E420">
        <v>595046.00600000005</v>
      </c>
      <c r="F420">
        <v>106924</v>
      </c>
      <c r="G420" t="s">
        <v>20</v>
      </c>
    </row>
    <row r="421" spans="2:7" x14ac:dyDescent="0.3">
      <c r="B421" s="11">
        <v>44440</v>
      </c>
      <c r="C421" t="s">
        <v>95</v>
      </c>
      <c r="D421">
        <v>54045143</v>
      </c>
      <c r="E421">
        <v>528977.34499999997</v>
      </c>
      <c r="F421">
        <v>107159</v>
      </c>
      <c r="G421" t="s">
        <v>20</v>
      </c>
    </row>
    <row r="422" spans="2:7" x14ac:dyDescent="0.3">
      <c r="B422" s="11">
        <v>44470</v>
      </c>
      <c r="C422" t="s">
        <v>95</v>
      </c>
      <c r="D422">
        <v>53546090</v>
      </c>
      <c r="E422">
        <v>508529.48200000002</v>
      </c>
      <c r="F422">
        <v>107382</v>
      </c>
      <c r="G422" t="s">
        <v>20</v>
      </c>
    </row>
    <row r="423" spans="2:7" x14ac:dyDescent="0.3">
      <c r="B423" s="11">
        <v>44501</v>
      </c>
      <c r="C423" t="s">
        <v>95</v>
      </c>
      <c r="D423">
        <v>52984479</v>
      </c>
      <c r="E423">
        <v>515595.14600000001</v>
      </c>
      <c r="F423">
        <v>107923</v>
      </c>
      <c r="G423" t="s">
        <v>20</v>
      </c>
    </row>
    <row r="424" spans="2:7" x14ac:dyDescent="0.3">
      <c r="B424" s="11">
        <v>44531</v>
      </c>
      <c r="C424" t="s">
        <v>95</v>
      </c>
      <c r="D424">
        <v>63371096</v>
      </c>
      <c r="E424">
        <v>629796.84199999995</v>
      </c>
      <c r="F424">
        <v>107487</v>
      </c>
      <c r="G424" t="s">
        <v>20</v>
      </c>
    </row>
    <row r="425" spans="2:7" x14ac:dyDescent="0.3">
      <c r="B425" s="11">
        <v>44562</v>
      </c>
      <c r="C425" t="s">
        <v>95</v>
      </c>
      <c r="D425">
        <v>61694759</v>
      </c>
      <c r="E425">
        <v>587162.51699999999</v>
      </c>
      <c r="F425">
        <v>107524</v>
      </c>
      <c r="G425" t="s">
        <v>20</v>
      </c>
    </row>
    <row r="426" spans="2:7" x14ac:dyDescent="0.3">
      <c r="B426" s="11">
        <v>44593</v>
      </c>
      <c r="C426" t="s">
        <v>95</v>
      </c>
      <c r="D426">
        <v>50629777</v>
      </c>
      <c r="E426">
        <v>446342.85399999999</v>
      </c>
      <c r="F426">
        <v>107463</v>
      </c>
      <c r="G426" t="s">
        <v>20</v>
      </c>
    </row>
    <row r="427" spans="2:7" x14ac:dyDescent="0.3">
      <c r="B427" s="11">
        <v>44621</v>
      </c>
      <c r="C427" t="s">
        <v>95</v>
      </c>
      <c r="D427">
        <v>58632835</v>
      </c>
      <c r="E427">
        <v>533899.25600000005</v>
      </c>
      <c r="F427">
        <v>107730</v>
      </c>
      <c r="G427" t="s">
        <v>20</v>
      </c>
    </row>
    <row r="428" spans="2:7" x14ac:dyDescent="0.3">
      <c r="B428" s="11">
        <v>44652</v>
      </c>
      <c r="C428" t="s">
        <v>95</v>
      </c>
      <c r="D428">
        <v>56705181</v>
      </c>
      <c r="E428">
        <v>516844.886</v>
      </c>
      <c r="F428">
        <v>107870</v>
      </c>
      <c r="G428" t="s">
        <v>20</v>
      </c>
    </row>
    <row r="429" spans="2:7" x14ac:dyDescent="0.3">
      <c r="B429" s="11">
        <v>44682</v>
      </c>
      <c r="C429" t="s">
        <v>95</v>
      </c>
      <c r="D429">
        <v>57302925</v>
      </c>
      <c r="E429">
        <v>514898.37599999999</v>
      </c>
      <c r="F429">
        <v>107975</v>
      </c>
      <c r="G429" t="s">
        <v>20</v>
      </c>
    </row>
    <row r="430" spans="2:7" x14ac:dyDescent="0.3">
      <c r="B430" s="11">
        <v>44713</v>
      </c>
      <c r="C430" t="s">
        <v>95</v>
      </c>
      <c r="D430">
        <v>56034837</v>
      </c>
      <c r="E430">
        <v>514687.62</v>
      </c>
      <c r="F430">
        <v>108085</v>
      </c>
      <c r="G430" t="s">
        <v>20</v>
      </c>
    </row>
    <row r="431" spans="2:7" x14ac:dyDescent="0.3">
      <c r="B431" s="11">
        <v>44743</v>
      </c>
      <c r="C431" t="s">
        <v>95</v>
      </c>
      <c r="D431">
        <v>63403634</v>
      </c>
      <c r="E431">
        <v>590027.05299999996</v>
      </c>
      <c r="F431">
        <v>108135</v>
      </c>
      <c r="G431" t="s">
        <v>20</v>
      </c>
    </row>
    <row r="432" spans="2:7" x14ac:dyDescent="0.3">
      <c r="B432" s="11">
        <v>44774</v>
      </c>
      <c r="C432" t="s">
        <v>95</v>
      </c>
      <c r="D432">
        <v>65487908</v>
      </c>
      <c r="E432">
        <v>618425.45400000003</v>
      </c>
      <c r="F432">
        <v>108368</v>
      </c>
      <c r="G432" t="s">
        <v>20</v>
      </c>
    </row>
    <row r="433" spans="2:7" x14ac:dyDescent="0.3">
      <c r="B433" s="11">
        <v>44805</v>
      </c>
      <c r="C433" t="s">
        <v>95</v>
      </c>
      <c r="D433">
        <v>57569395</v>
      </c>
      <c r="E433">
        <v>544298.06000000006</v>
      </c>
      <c r="F433">
        <v>108005</v>
      </c>
      <c r="G433" t="s">
        <v>20</v>
      </c>
    </row>
    <row r="434" spans="2:7" x14ac:dyDescent="0.3">
      <c r="B434" s="11">
        <v>44835</v>
      </c>
      <c r="C434" t="s">
        <v>95</v>
      </c>
      <c r="D434">
        <v>57492469</v>
      </c>
      <c r="E434">
        <v>528892.18200000003</v>
      </c>
      <c r="F434">
        <v>108375</v>
      </c>
      <c r="G434" t="s">
        <v>20</v>
      </c>
    </row>
    <row r="435" spans="2:7" x14ac:dyDescent="0.3">
      <c r="B435" s="11">
        <v>44866</v>
      </c>
      <c r="C435" t="s">
        <v>95</v>
      </c>
      <c r="D435">
        <v>60226516</v>
      </c>
      <c r="E435">
        <v>564567.11399999994</v>
      </c>
      <c r="F435">
        <v>108269</v>
      </c>
      <c r="G435" t="s">
        <v>20</v>
      </c>
    </row>
    <row r="436" spans="2:7" x14ac:dyDescent="0.3">
      <c r="B436" s="11">
        <v>44896</v>
      </c>
      <c r="C436" t="s">
        <v>95</v>
      </c>
      <c r="D436">
        <v>62170152</v>
      </c>
      <c r="E436">
        <v>562005.35600000003</v>
      </c>
      <c r="F436">
        <v>108392</v>
      </c>
      <c r="G436" t="s">
        <v>20</v>
      </c>
    </row>
    <row r="437" spans="2:7" x14ac:dyDescent="0.3">
      <c r="B437" s="11">
        <v>44927</v>
      </c>
      <c r="C437" t="s">
        <v>95</v>
      </c>
      <c r="D437">
        <v>65892793.999999993</v>
      </c>
      <c r="E437">
        <v>580479.18599999999</v>
      </c>
      <c r="F437">
        <v>108359</v>
      </c>
      <c r="G437" t="s">
        <v>20</v>
      </c>
    </row>
    <row r="438" spans="2:7" x14ac:dyDescent="0.3">
      <c r="B438" s="11">
        <v>44958</v>
      </c>
      <c r="C438" t="s">
        <v>95</v>
      </c>
      <c r="D438">
        <v>62017280</v>
      </c>
      <c r="E438">
        <v>517576.54300000001</v>
      </c>
      <c r="F438">
        <v>108361</v>
      </c>
      <c r="G438" t="s">
        <v>20</v>
      </c>
    </row>
    <row r="439" spans="2:7" x14ac:dyDescent="0.3">
      <c r="B439" s="11">
        <v>44986</v>
      </c>
      <c r="C439" t="s">
        <v>95</v>
      </c>
      <c r="D439">
        <v>66561660</v>
      </c>
      <c r="E439">
        <v>555773.96699999995</v>
      </c>
      <c r="F439">
        <v>108467</v>
      </c>
      <c r="G439" t="s">
        <v>20</v>
      </c>
    </row>
    <row r="440" spans="2:7" x14ac:dyDescent="0.3">
      <c r="B440" s="11">
        <v>45017</v>
      </c>
      <c r="C440" t="s">
        <v>95</v>
      </c>
      <c r="D440">
        <v>65060515</v>
      </c>
      <c r="E440">
        <v>513500.06800000003</v>
      </c>
      <c r="F440">
        <v>108362</v>
      </c>
      <c r="G440" t="s">
        <v>20</v>
      </c>
    </row>
    <row r="441" spans="2:7" x14ac:dyDescent="0.3">
      <c r="B441" s="11">
        <v>45047</v>
      </c>
      <c r="C441" t="s">
        <v>95</v>
      </c>
      <c r="D441">
        <v>63900562</v>
      </c>
      <c r="E441">
        <v>535410.80200000003</v>
      </c>
      <c r="F441">
        <v>108053</v>
      </c>
      <c r="G441" t="s">
        <v>20</v>
      </c>
    </row>
    <row r="442" spans="2:7" x14ac:dyDescent="0.3">
      <c r="B442" s="11">
        <v>45078</v>
      </c>
      <c r="C442" t="s">
        <v>95</v>
      </c>
      <c r="D442">
        <v>62527112</v>
      </c>
      <c r="E442">
        <v>521477.42200000002</v>
      </c>
      <c r="F442">
        <v>108197</v>
      </c>
      <c r="G442" t="s">
        <v>20</v>
      </c>
    </row>
    <row r="443" spans="2:7" x14ac:dyDescent="0.3">
      <c r="B443" s="11">
        <v>45108</v>
      </c>
      <c r="C443" t="s">
        <v>95</v>
      </c>
      <c r="D443">
        <v>68972221</v>
      </c>
      <c r="E443">
        <v>579821.09100000001</v>
      </c>
      <c r="F443">
        <v>107883</v>
      </c>
      <c r="G443" t="s">
        <v>20</v>
      </c>
    </row>
    <row r="444" spans="2:7" x14ac:dyDescent="0.3">
      <c r="B444" s="11">
        <v>45139</v>
      </c>
      <c r="C444" t="s">
        <v>95</v>
      </c>
      <c r="D444">
        <v>70966104</v>
      </c>
      <c r="E444">
        <v>609405.57900000003</v>
      </c>
      <c r="F444">
        <v>108037</v>
      </c>
      <c r="G444" t="s">
        <v>20</v>
      </c>
    </row>
    <row r="445" spans="2:7" x14ac:dyDescent="0.3">
      <c r="B445" s="11">
        <v>45170</v>
      </c>
      <c r="C445" t="s">
        <v>95</v>
      </c>
      <c r="D445">
        <v>62569572</v>
      </c>
      <c r="E445">
        <v>502664.95500000002</v>
      </c>
      <c r="F445">
        <v>107947</v>
      </c>
      <c r="G445" t="s">
        <v>20</v>
      </c>
    </row>
    <row r="446" spans="2:7" x14ac:dyDescent="0.3">
      <c r="B446" s="11">
        <v>45200</v>
      </c>
      <c r="C446" t="s">
        <v>95</v>
      </c>
      <c r="D446">
        <v>62665101</v>
      </c>
      <c r="E446">
        <v>533768.92700000003</v>
      </c>
      <c r="F446">
        <v>108005</v>
      </c>
      <c r="G446" t="s">
        <v>20</v>
      </c>
    </row>
    <row r="447" spans="2:7" x14ac:dyDescent="0.3">
      <c r="B447" s="11">
        <v>45231</v>
      </c>
      <c r="C447" t="s">
        <v>95</v>
      </c>
      <c r="D447">
        <v>64945209</v>
      </c>
      <c r="E447">
        <v>510030.33100000001</v>
      </c>
      <c r="F447">
        <v>108421</v>
      </c>
      <c r="G447" t="s">
        <v>20</v>
      </c>
    </row>
    <row r="448" spans="2:7" x14ac:dyDescent="0.3">
      <c r="B448" s="11">
        <v>45261</v>
      </c>
      <c r="C448" t="s">
        <v>95</v>
      </c>
      <c r="D448">
        <v>64009367</v>
      </c>
      <c r="E448">
        <v>554377.74699999997</v>
      </c>
      <c r="F448">
        <v>108194</v>
      </c>
      <c r="G448" t="s">
        <v>20</v>
      </c>
    </row>
    <row r="449" spans="2:7" x14ac:dyDescent="0.3">
      <c r="B449" s="11">
        <v>45292</v>
      </c>
      <c r="C449" t="s">
        <v>95</v>
      </c>
      <c r="D449">
        <v>77082653</v>
      </c>
      <c r="E449">
        <v>567758.39899999998</v>
      </c>
      <c r="F449">
        <v>108187</v>
      </c>
      <c r="G449" t="s">
        <v>20</v>
      </c>
    </row>
    <row r="450" spans="2:7" x14ac:dyDescent="0.3">
      <c r="B450" s="11">
        <v>45323</v>
      </c>
      <c r="C450" t="s">
        <v>95</v>
      </c>
      <c r="D450">
        <v>72736029</v>
      </c>
      <c r="E450">
        <v>522044.55499999999</v>
      </c>
      <c r="F450">
        <v>109037</v>
      </c>
      <c r="G450" t="s">
        <v>20</v>
      </c>
    </row>
    <row r="451" spans="2:7" x14ac:dyDescent="0.3">
      <c r="B451" s="11">
        <v>45352</v>
      </c>
      <c r="C451" t="s">
        <v>95</v>
      </c>
      <c r="D451">
        <v>74509585</v>
      </c>
      <c r="E451">
        <v>533628.549</v>
      </c>
      <c r="F451">
        <v>109327</v>
      </c>
      <c r="G451" t="s">
        <v>20</v>
      </c>
    </row>
    <row r="452" spans="2:7" x14ac:dyDescent="0.3">
      <c r="B452" s="11">
        <v>45383</v>
      </c>
      <c r="C452" t="s">
        <v>95</v>
      </c>
      <c r="D452">
        <v>71516866</v>
      </c>
      <c r="E452">
        <v>509260.58399999997</v>
      </c>
      <c r="F452">
        <v>109381</v>
      </c>
      <c r="G452" t="s">
        <v>20</v>
      </c>
    </row>
    <row r="453" spans="2:7" x14ac:dyDescent="0.3">
      <c r="B453" s="11">
        <v>45413</v>
      </c>
      <c r="C453" t="s">
        <v>95</v>
      </c>
      <c r="D453">
        <v>72303056</v>
      </c>
      <c r="E453">
        <v>509885.185</v>
      </c>
      <c r="F453">
        <v>109497</v>
      </c>
      <c r="G453" t="s">
        <v>20</v>
      </c>
    </row>
    <row r="454" spans="2:7" x14ac:dyDescent="0.3">
      <c r="B454" s="11">
        <v>45444</v>
      </c>
      <c r="C454" t="s">
        <v>95</v>
      </c>
      <c r="D454">
        <v>71394177</v>
      </c>
      <c r="E454">
        <v>514870.07699999999</v>
      </c>
      <c r="F454">
        <v>109636</v>
      </c>
      <c r="G454" t="s">
        <v>20</v>
      </c>
    </row>
    <row r="455" spans="2:7" x14ac:dyDescent="0.3">
      <c r="B455" s="11">
        <v>45474</v>
      </c>
      <c r="C455" t="s">
        <v>95</v>
      </c>
      <c r="D455">
        <v>81436367</v>
      </c>
      <c r="E455">
        <v>598624.69299999997</v>
      </c>
      <c r="F455">
        <v>109694</v>
      </c>
      <c r="G455" t="s">
        <v>20</v>
      </c>
    </row>
    <row r="456" spans="2:7" x14ac:dyDescent="0.3">
      <c r="B456" s="11">
        <v>45505</v>
      </c>
      <c r="C456" t="s">
        <v>95</v>
      </c>
      <c r="D456">
        <v>77837980</v>
      </c>
      <c r="E456">
        <v>571186.42799999996</v>
      </c>
      <c r="F456">
        <v>109505</v>
      </c>
      <c r="G456" t="s">
        <v>20</v>
      </c>
    </row>
    <row r="457" spans="2:7" x14ac:dyDescent="0.3">
      <c r="B457" s="11">
        <v>45536</v>
      </c>
      <c r="C457" t="s">
        <v>95</v>
      </c>
      <c r="D457">
        <v>73160016</v>
      </c>
      <c r="E457">
        <v>524187.902</v>
      </c>
      <c r="F457">
        <v>109181</v>
      </c>
      <c r="G457" t="s">
        <v>20</v>
      </c>
    </row>
    <row r="458" spans="2:7" x14ac:dyDescent="0.3">
      <c r="B458" s="11">
        <v>45566</v>
      </c>
      <c r="C458" t="s">
        <v>95</v>
      </c>
      <c r="D458">
        <v>72771318</v>
      </c>
      <c r="E458">
        <v>518285.36200000002</v>
      </c>
      <c r="F458">
        <v>109571</v>
      </c>
      <c r="G458" t="s">
        <v>20</v>
      </c>
    </row>
    <row r="459" spans="2:7" x14ac:dyDescent="0.3">
      <c r="B459" s="11">
        <v>45597</v>
      </c>
      <c r="C459" t="s">
        <v>95</v>
      </c>
      <c r="D459">
        <v>72035847</v>
      </c>
      <c r="E459">
        <v>514055.87699999998</v>
      </c>
      <c r="F459">
        <v>108057</v>
      </c>
      <c r="G459" t="s">
        <v>20</v>
      </c>
    </row>
    <row r="460" spans="2:7" x14ac:dyDescent="0.3">
      <c r="B460" s="11">
        <v>45627</v>
      </c>
      <c r="C460" t="s">
        <v>95</v>
      </c>
      <c r="D460">
        <v>75598391</v>
      </c>
      <c r="E460">
        <v>549603.43299999996</v>
      </c>
      <c r="F460">
        <v>110145</v>
      </c>
      <c r="G460" t="s">
        <v>20</v>
      </c>
    </row>
  </sheetData>
  <phoneticPr fontId="8"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F83EC-19E4-4D0C-9BC6-95C929DAED65}">
  <sheetPr>
    <tabColor rgb="FF98A2B3"/>
  </sheetPr>
  <dimension ref="B1:D240"/>
  <sheetViews>
    <sheetView zoomScale="90" zoomScaleNormal="90" workbookViewId="0">
      <pane ySplit="4" topLeftCell="A5" activePane="bottomLeft" state="frozen"/>
      <selection pane="bottomLeft"/>
    </sheetView>
  </sheetViews>
  <sheetFormatPr defaultRowHeight="13" x14ac:dyDescent="0.3"/>
  <cols>
    <col min="1" max="1" width="2.69921875" customWidth="1"/>
    <col min="2" max="2" width="10.09765625" bestFit="1" customWidth="1"/>
    <col min="3" max="3" width="6.69921875" bestFit="1" customWidth="1"/>
    <col min="4" max="4" width="6.59765625" bestFit="1" customWidth="1"/>
  </cols>
  <sheetData>
    <row r="1" spans="2:4" ht="30" customHeight="1" x14ac:dyDescent="0.55000000000000004">
      <c r="B1" s="1" t="s">
        <v>200</v>
      </c>
    </row>
    <row r="2" spans="2:4" x14ac:dyDescent="0.3">
      <c r="B2" s="2" t="s">
        <v>199</v>
      </c>
    </row>
    <row r="4" spans="2:4" x14ac:dyDescent="0.3">
      <c r="B4" t="s">
        <v>3</v>
      </c>
      <c r="C4" t="s">
        <v>204</v>
      </c>
      <c r="D4" t="s">
        <v>205</v>
      </c>
    </row>
    <row r="5" spans="2:4" x14ac:dyDescent="0.3">
      <c r="B5" s="11">
        <v>39083</v>
      </c>
      <c r="C5">
        <v>856</v>
      </c>
      <c r="D5">
        <v>0</v>
      </c>
    </row>
    <row r="6" spans="2:4" x14ac:dyDescent="0.3">
      <c r="B6" s="11">
        <v>39114</v>
      </c>
      <c r="C6">
        <v>627</v>
      </c>
      <c r="D6">
        <v>0</v>
      </c>
    </row>
    <row r="7" spans="2:4" x14ac:dyDescent="0.3">
      <c r="B7" s="11">
        <v>39142</v>
      </c>
      <c r="C7">
        <v>539</v>
      </c>
      <c r="D7">
        <v>0</v>
      </c>
    </row>
    <row r="8" spans="2:4" x14ac:dyDescent="0.3">
      <c r="B8" s="11">
        <v>39173</v>
      </c>
      <c r="C8">
        <v>501</v>
      </c>
      <c r="D8">
        <v>0</v>
      </c>
    </row>
    <row r="9" spans="2:4" x14ac:dyDescent="0.3">
      <c r="B9" s="11">
        <v>39203</v>
      </c>
      <c r="C9">
        <v>322</v>
      </c>
      <c r="D9">
        <v>0</v>
      </c>
    </row>
    <row r="10" spans="2:4" x14ac:dyDescent="0.3">
      <c r="B10" s="11">
        <v>39356</v>
      </c>
      <c r="C10">
        <v>459</v>
      </c>
      <c r="D10">
        <v>0</v>
      </c>
    </row>
    <row r="11" spans="2:4" x14ac:dyDescent="0.3">
      <c r="B11" s="11">
        <v>39387</v>
      </c>
      <c r="C11">
        <v>648</v>
      </c>
      <c r="D11">
        <v>0</v>
      </c>
    </row>
    <row r="12" spans="2:4" x14ac:dyDescent="0.3">
      <c r="B12" s="11">
        <v>39417</v>
      </c>
      <c r="C12">
        <v>818</v>
      </c>
      <c r="D12">
        <v>0</v>
      </c>
    </row>
    <row r="13" spans="2:4" x14ac:dyDescent="0.3">
      <c r="B13" s="11">
        <v>39448</v>
      </c>
      <c r="C13">
        <v>896</v>
      </c>
      <c r="D13">
        <v>0</v>
      </c>
    </row>
    <row r="14" spans="2:4" x14ac:dyDescent="0.3">
      <c r="B14" s="11">
        <v>39479</v>
      </c>
      <c r="C14">
        <v>644</v>
      </c>
      <c r="D14">
        <v>0</v>
      </c>
    </row>
    <row r="15" spans="2:4" x14ac:dyDescent="0.3">
      <c r="B15" s="11">
        <v>39508</v>
      </c>
      <c r="C15">
        <v>719</v>
      </c>
      <c r="D15">
        <v>0</v>
      </c>
    </row>
    <row r="16" spans="2:4" x14ac:dyDescent="0.3">
      <c r="B16" s="11">
        <v>39539</v>
      </c>
      <c r="C16">
        <v>612</v>
      </c>
      <c r="D16">
        <v>0</v>
      </c>
    </row>
    <row r="17" spans="2:4" x14ac:dyDescent="0.3">
      <c r="B17" s="11">
        <v>39569</v>
      </c>
      <c r="C17">
        <v>322</v>
      </c>
      <c r="D17">
        <v>0</v>
      </c>
    </row>
    <row r="18" spans="2:4" x14ac:dyDescent="0.3">
      <c r="B18" s="11">
        <v>39600</v>
      </c>
      <c r="C18">
        <v>238</v>
      </c>
      <c r="D18">
        <v>0</v>
      </c>
    </row>
    <row r="19" spans="2:4" x14ac:dyDescent="0.3">
      <c r="B19" s="11">
        <v>39722</v>
      </c>
      <c r="C19">
        <v>415</v>
      </c>
      <c r="D19">
        <v>0</v>
      </c>
    </row>
    <row r="20" spans="2:4" x14ac:dyDescent="0.3">
      <c r="B20" s="11">
        <v>39753</v>
      </c>
      <c r="C20">
        <v>528</v>
      </c>
      <c r="D20">
        <v>0</v>
      </c>
    </row>
    <row r="21" spans="2:4" x14ac:dyDescent="0.3">
      <c r="B21" s="11">
        <v>39783</v>
      </c>
      <c r="C21">
        <v>880</v>
      </c>
      <c r="D21">
        <v>0</v>
      </c>
    </row>
    <row r="22" spans="2:4" x14ac:dyDescent="0.3">
      <c r="B22" s="11">
        <v>39814</v>
      </c>
      <c r="C22">
        <v>787</v>
      </c>
      <c r="D22">
        <v>0</v>
      </c>
    </row>
    <row r="23" spans="2:4" x14ac:dyDescent="0.3">
      <c r="B23" s="11">
        <v>39845</v>
      </c>
      <c r="C23">
        <v>672</v>
      </c>
      <c r="D23">
        <v>0</v>
      </c>
    </row>
    <row r="24" spans="2:4" x14ac:dyDescent="0.3">
      <c r="B24" s="11">
        <v>39873</v>
      </c>
      <c r="C24">
        <v>725</v>
      </c>
      <c r="D24">
        <v>0</v>
      </c>
    </row>
    <row r="25" spans="2:4" x14ac:dyDescent="0.3">
      <c r="B25" s="11">
        <v>39904</v>
      </c>
      <c r="C25">
        <v>525</v>
      </c>
      <c r="D25">
        <v>0</v>
      </c>
    </row>
    <row r="26" spans="2:4" x14ac:dyDescent="0.3">
      <c r="B26" s="11">
        <v>39934</v>
      </c>
      <c r="C26">
        <v>305</v>
      </c>
      <c r="D26">
        <v>0</v>
      </c>
    </row>
    <row r="27" spans="2:4" x14ac:dyDescent="0.3">
      <c r="B27" s="11">
        <v>40087</v>
      </c>
      <c r="C27">
        <v>440</v>
      </c>
      <c r="D27">
        <v>0</v>
      </c>
    </row>
    <row r="28" spans="2:4" x14ac:dyDescent="0.3">
      <c r="B28" s="11">
        <v>40118</v>
      </c>
      <c r="C28">
        <v>624</v>
      </c>
      <c r="D28">
        <v>0</v>
      </c>
    </row>
    <row r="29" spans="2:4" x14ac:dyDescent="0.3">
      <c r="B29" s="11">
        <v>40148</v>
      </c>
      <c r="C29">
        <v>908</v>
      </c>
      <c r="D29">
        <v>0</v>
      </c>
    </row>
    <row r="30" spans="2:4" x14ac:dyDescent="0.3">
      <c r="B30" s="11">
        <v>40179</v>
      </c>
      <c r="C30">
        <v>636</v>
      </c>
      <c r="D30">
        <v>0</v>
      </c>
    </row>
    <row r="31" spans="2:4" x14ac:dyDescent="0.3">
      <c r="B31" s="11">
        <v>40210</v>
      </c>
      <c r="C31">
        <v>560</v>
      </c>
      <c r="D31">
        <v>0</v>
      </c>
    </row>
    <row r="32" spans="2:4" x14ac:dyDescent="0.3">
      <c r="B32" s="11">
        <v>40238</v>
      </c>
      <c r="C32">
        <v>614</v>
      </c>
      <c r="D32">
        <v>0</v>
      </c>
    </row>
    <row r="33" spans="2:4" x14ac:dyDescent="0.3">
      <c r="B33" s="11">
        <v>40269</v>
      </c>
      <c r="C33">
        <v>540</v>
      </c>
      <c r="D33">
        <v>0</v>
      </c>
    </row>
    <row r="34" spans="2:4" x14ac:dyDescent="0.3">
      <c r="B34" s="11">
        <v>40299</v>
      </c>
      <c r="C34">
        <v>431</v>
      </c>
      <c r="D34">
        <v>0</v>
      </c>
    </row>
    <row r="35" spans="2:4" x14ac:dyDescent="0.3">
      <c r="B35" s="11">
        <v>40330</v>
      </c>
      <c r="C35">
        <v>246</v>
      </c>
      <c r="D35">
        <v>0</v>
      </c>
    </row>
    <row r="36" spans="2:4" x14ac:dyDescent="0.3">
      <c r="B36" s="11">
        <v>40452</v>
      </c>
      <c r="C36">
        <v>381</v>
      </c>
      <c r="D36">
        <v>0</v>
      </c>
    </row>
    <row r="37" spans="2:4" x14ac:dyDescent="0.3">
      <c r="B37" s="11">
        <v>40483</v>
      </c>
      <c r="C37">
        <v>654</v>
      </c>
      <c r="D37">
        <v>0</v>
      </c>
    </row>
    <row r="38" spans="2:4" x14ac:dyDescent="0.3">
      <c r="B38" s="11">
        <v>40513</v>
      </c>
      <c r="C38">
        <v>744</v>
      </c>
      <c r="D38">
        <v>0</v>
      </c>
    </row>
    <row r="39" spans="2:4" x14ac:dyDescent="0.3">
      <c r="B39" s="11">
        <v>40544</v>
      </c>
      <c r="C39">
        <v>744</v>
      </c>
      <c r="D39">
        <v>0</v>
      </c>
    </row>
    <row r="40" spans="2:4" x14ac:dyDescent="0.3">
      <c r="B40" s="11">
        <v>40575</v>
      </c>
      <c r="C40">
        <v>736</v>
      </c>
      <c r="D40">
        <v>0</v>
      </c>
    </row>
    <row r="41" spans="2:4" x14ac:dyDescent="0.3">
      <c r="B41" s="11">
        <v>40603</v>
      </c>
      <c r="C41">
        <v>670</v>
      </c>
      <c r="D41">
        <v>0</v>
      </c>
    </row>
    <row r="42" spans="2:4" x14ac:dyDescent="0.3">
      <c r="B42" s="11">
        <v>40634</v>
      </c>
      <c r="C42">
        <v>624</v>
      </c>
      <c r="D42">
        <v>0</v>
      </c>
    </row>
    <row r="43" spans="2:4" x14ac:dyDescent="0.3">
      <c r="B43" s="11">
        <v>40664</v>
      </c>
      <c r="C43">
        <v>462</v>
      </c>
      <c r="D43">
        <v>0</v>
      </c>
    </row>
    <row r="44" spans="2:4" x14ac:dyDescent="0.3">
      <c r="B44" s="11">
        <v>40695</v>
      </c>
      <c r="C44">
        <v>235</v>
      </c>
      <c r="D44">
        <v>0</v>
      </c>
    </row>
    <row r="45" spans="2:4" x14ac:dyDescent="0.3">
      <c r="B45" s="11">
        <v>40817</v>
      </c>
      <c r="C45">
        <v>378</v>
      </c>
      <c r="D45">
        <v>0</v>
      </c>
    </row>
    <row r="46" spans="2:4" x14ac:dyDescent="0.3">
      <c r="B46" s="11">
        <v>40848</v>
      </c>
      <c r="C46">
        <v>663</v>
      </c>
      <c r="D46">
        <v>0</v>
      </c>
    </row>
    <row r="47" spans="2:4" x14ac:dyDescent="0.3">
      <c r="B47" s="11">
        <v>40878</v>
      </c>
      <c r="C47">
        <v>846</v>
      </c>
      <c r="D47">
        <v>0</v>
      </c>
    </row>
    <row r="48" spans="2:4" x14ac:dyDescent="0.3">
      <c r="B48" s="11">
        <v>40909</v>
      </c>
      <c r="C48">
        <v>763</v>
      </c>
      <c r="D48">
        <v>0</v>
      </c>
    </row>
    <row r="49" spans="2:4" x14ac:dyDescent="0.3">
      <c r="B49" s="11">
        <v>40940</v>
      </c>
      <c r="C49">
        <v>669</v>
      </c>
      <c r="D49">
        <v>0</v>
      </c>
    </row>
    <row r="50" spans="2:4" x14ac:dyDescent="0.3">
      <c r="B50" s="11">
        <v>40969</v>
      </c>
      <c r="C50">
        <v>722</v>
      </c>
      <c r="D50">
        <v>0</v>
      </c>
    </row>
    <row r="51" spans="2:4" x14ac:dyDescent="0.3">
      <c r="B51" s="11">
        <v>41000</v>
      </c>
      <c r="C51">
        <v>468</v>
      </c>
      <c r="D51">
        <v>0</v>
      </c>
    </row>
    <row r="52" spans="2:4" x14ac:dyDescent="0.3">
      <c r="B52" s="11">
        <v>41030</v>
      </c>
      <c r="C52">
        <v>360</v>
      </c>
      <c r="D52">
        <v>0</v>
      </c>
    </row>
    <row r="53" spans="2:4" x14ac:dyDescent="0.3">
      <c r="B53" s="11">
        <v>41061</v>
      </c>
      <c r="C53">
        <v>249</v>
      </c>
      <c r="D53">
        <v>0</v>
      </c>
    </row>
    <row r="54" spans="2:4" x14ac:dyDescent="0.3">
      <c r="B54" s="11">
        <v>41183</v>
      </c>
      <c r="C54">
        <v>369</v>
      </c>
      <c r="D54">
        <v>0</v>
      </c>
    </row>
    <row r="55" spans="2:4" x14ac:dyDescent="0.3">
      <c r="B55" s="11">
        <v>41214</v>
      </c>
      <c r="C55">
        <v>567</v>
      </c>
      <c r="D55">
        <v>0</v>
      </c>
    </row>
    <row r="56" spans="2:4" x14ac:dyDescent="0.3">
      <c r="B56" s="11">
        <v>41244</v>
      </c>
      <c r="C56">
        <v>797</v>
      </c>
      <c r="D56">
        <v>0</v>
      </c>
    </row>
    <row r="57" spans="2:4" x14ac:dyDescent="0.3">
      <c r="B57" s="11">
        <v>41275</v>
      </c>
      <c r="C57">
        <v>852</v>
      </c>
      <c r="D57">
        <v>0</v>
      </c>
    </row>
    <row r="58" spans="2:4" x14ac:dyDescent="0.3">
      <c r="B58" s="11">
        <v>41306</v>
      </c>
      <c r="C58">
        <v>655</v>
      </c>
      <c r="D58">
        <v>0</v>
      </c>
    </row>
    <row r="59" spans="2:4" x14ac:dyDescent="0.3">
      <c r="B59" s="11">
        <v>41334</v>
      </c>
      <c r="C59">
        <v>592</v>
      </c>
      <c r="D59">
        <v>0</v>
      </c>
    </row>
    <row r="60" spans="2:4" x14ac:dyDescent="0.3">
      <c r="B60" s="11">
        <v>41365</v>
      </c>
      <c r="C60">
        <v>468</v>
      </c>
      <c r="D60">
        <v>0</v>
      </c>
    </row>
    <row r="61" spans="2:4" x14ac:dyDescent="0.3">
      <c r="B61" s="11">
        <v>41395</v>
      </c>
      <c r="C61">
        <v>290</v>
      </c>
      <c r="D61">
        <v>0</v>
      </c>
    </row>
    <row r="62" spans="2:4" x14ac:dyDescent="0.3">
      <c r="B62" s="11">
        <v>41548</v>
      </c>
      <c r="C62">
        <v>434</v>
      </c>
      <c r="D62">
        <v>0</v>
      </c>
    </row>
    <row r="63" spans="2:4" x14ac:dyDescent="0.3">
      <c r="B63" s="11">
        <v>41579</v>
      </c>
      <c r="C63">
        <v>618</v>
      </c>
      <c r="D63">
        <v>0</v>
      </c>
    </row>
    <row r="64" spans="2:4" x14ac:dyDescent="0.3">
      <c r="B64" s="11">
        <v>41609</v>
      </c>
      <c r="C64">
        <v>914</v>
      </c>
      <c r="D64">
        <v>0</v>
      </c>
    </row>
    <row r="65" spans="2:4" x14ac:dyDescent="0.3">
      <c r="B65" s="11">
        <v>41640</v>
      </c>
      <c r="C65">
        <v>719</v>
      </c>
      <c r="D65">
        <v>0</v>
      </c>
    </row>
    <row r="66" spans="2:4" x14ac:dyDescent="0.3">
      <c r="B66" s="11">
        <v>41671</v>
      </c>
      <c r="C66">
        <v>700</v>
      </c>
      <c r="D66">
        <v>0</v>
      </c>
    </row>
    <row r="67" spans="2:4" x14ac:dyDescent="0.3">
      <c r="B67" s="11">
        <v>41699</v>
      </c>
      <c r="C67">
        <v>561</v>
      </c>
      <c r="D67">
        <v>0</v>
      </c>
    </row>
    <row r="68" spans="2:4" x14ac:dyDescent="0.3">
      <c r="B68" s="11">
        <v>41730</v>
      </c>
      <c r="C68">
        <v>447</v>
      </c>
      <c r="D68">
        <v>0</v>
      </c>
    </row>
    <row r="69" spans="2:4" x14ac:dyDescent="0.3">
      <c r="B69" s="11">
        <v>41913</v>
      </c>
      <c r="C69">
        <v>243</v>
      </c>
      <c r="D69">
        <v>0</v>
      </c>
    </row>
    <row r="70" spans="2:4" x14ac:dyDescent="0.3">
      <c r="B70" s="11">
        <v>41944</v>
      </c>
      <c r="C70">
        <v>609</v>
      </c>
      <c r="D70">
        <v>0</v>
      </c>
    </row>
    <row r="71" spans="2:4" x14ac:dyDescent="0.3">
      <c r="B71" s="11">
        <v>41974</v>
      </c>
      <c r="C71">
        <v>679</v>
      </c>
      <c r="D71">
        <v>0</v>
      </c>
    </row>
    <row r="72" spans="2:4" x14ac:dyDescent="0.3">
      <c r="B72" s="11">
        <v>42005</v>
      </c>
      <c r="C72">
        <v>645</v>
      </c>
      <c r="D72">
        <v>0</v>
      </c>
    </row>
    <row r="73" spans="2:4" x14ac:dyDescent="0.3">
      <c r="B73" s="11">
        <v>42036</v>
      </c>
      <c r="C73">
        <v>490</v>
      </c>
      <c r="D73">
        <v>0</v>
      </c>
    </row>
    <row r="74" spans="2:4" x14ac:dyDescent="0.3">
      <c r="B74" s="11">
        <v>42064</v>
      </c>
      <c r="C74">
        <v>453</v>
      </c>
      <c r="D74">
        <v>0</v>
      </c>
    </row>
    <row r="75" spans="2:4" x14ac:dyDescent="0.3">
      <c r="B75" s="11">
        <v>42095</v>
      </c>
      <c r="C75">
        <v>486</v>
      </c>
      <c r="D75">
        <v>0</v>
      </c>
    </row>
    <row r="76" spans="2:4" x14ac:dyDescent="0.3">
      <c r="B76" s="11">
        <v>42278</v>
      </c>
      <c r="C76">
        <v>237</v>
      </c>
      <c r="D76">
        <v>0</v>
      </c>
    </row>
    <row r="77" spans="2:4" x14ac:dyDescent="0.3">
      <c r="B77" s="11">
        <v>42309</v>
      </c>
      <c r="C77">
        <v>666</v>
      </c>
      <c r="D77">
        <v>0</v>
      </c>
    </row>
    <row r="78" spans="2:4" x14ac:dyDescent="0.3">
      <c r="B78" s="11">
        <v>42339</v>
      </c>
      <c r="C78">
        <v>747</v>
      </c>
      <c r="D78">
        <v>0</v>
      </c>
    </row>
    <row r="79" spans="2:4" x14ac:dyDescent="0.3">
      <c r="B79" s="11">
        <v>42370</v>
      </c>
      <c r="C79">
        <v>735</v>
      </c>
      <c r="D79">
        <v>0</v>
      </c>
    </row>
    <row r="80" spans="2:4" x14ac:dyDescent="0.3">
      <c r="B80" s="11">
        <v>42401</v>
      </c>
      <c r="C80">
        <v>518</v>
      </c>
      <c r="D80">
        <v>0</v>
      </c>
    </row>
    <row r="81" spans="2:4" x14ac:dyDescent="0.3">
      <c r="B81" s="11">
        <v>42430</v>
      </c>
      <c r="C81">
        <v>580</v>
      </c>
      <c r="D81">
        <v>0</v>
      </c>
    </row>
    <row r="82" spans="2:4" x14ac:dyDescent="0.3">
      <c r="B82" s="11">
        <v>42461</v>
      </c>
      <c r="C82">
        <v>327</v>
      </c>
      <c r="D82">
        <v>0</v>
      </c>
    </row>
    <row r="83" spans="2:4" x14ac:dyDescent="0.3">
      <c r="B83" s="11">
        <v>42644</v>
      </c>
      <c r="C83">
        <v>394</v>
      </c>
      <c r="D83">
        <v>0</v>
      </c>
    </row>
    <row r="84" spans="2:4" x14ac:dyDescent="0.3">
      <c r="B84" s="11">
        <v>42675</v>
      </c>
      <c r="C84">
        <v>480</v>
      </c>
      <c r="D84">
        <v>0</v>
      </c>
    </row>
    <row r="85" spans="2:4" x14ac:dyDescent="0.3">
      <c r="B85" s="11">
        <v>42705</v>
      </c>
      <c r="C85">
        <v>921</v>
      </c>
      <c r="D85">
        <v>0</v>
      </c>
    </row>
    <row r="86" spans="2:4" x14ac:dyDescent="0.3">
      <c r="B86" s="11">
        <v>42736</v>
      </c>
      <c r="C86">
        <v>924</v>
      </c>
      <c r="D86">
        <v>0</v>
      </c>
    </row>
    <row r="87" spans="2:4" x14ac:dyDescent="0.3">
      <c r="B87" s="11">
        <v>42767</v>
      </c>
      <c r="C87">
        <v>680</v>
      </c>
      <c r="D87">
        <v>0</v>
      </c>
    </row>
    <row r="88" spans="2:4" x14ac:dyDescent="0.3">
      <c r="B88" s="11">
        <v>42795</v>
      </c>
      <c r="C88">
        <v>617</v>
      </c>
      <c r="D88">
        <v>0</v>
      </c>
    </row>
    <row r="89" spans="2:4" x14ac:dyDescent="0.3">
      <c r="B89" s="11">
        <v>42826</v>
      </c>
      <c r="C89">
        <v>531</v>
      </c>
      <c r="D89">
        <v>0</v>
      </c>
    </row>
    <row r="90" spans="2:4" x14ac:dyDescent="0.3">
      <c r="B90" s="11">
        <v>43009</v>
      </c>
      <c r="C90">
        <v>403</v>
      </c>
      <c r="D90">
        <v>0</v>
      </c>
    </row>
    <row r="91" spans="2:4" x14ac:dyDescent="0.3">
      <c r="B91" s="11">
        <v>43040</v>
      </c>
      <c r="C91">
        <v>609</v>
      </c>
      <c r="D91">
        <v>0</v>
      </c>
    </row>
    <row r="92" spans="2:4" x14ac:dyDescent="0.3">
      <c r="B92" s="11">
        <v>43070</v>
      </c>
      <c r="C92">
        <v>797</v>
      </c>
      <c r="D92">
        <v>0</v>
      </c>
    </row>
    <row r="93" spans="2:4" x14ac:dyDescent="0.3">
      <c r="B93" s="11">
        <v>43101</v>
      </c>
      <c r="C93">
        <v>670</v>
      </c>
      <c r="D93">
        <v>0</v>
      </c>
    </row>
    <row r="94" spans="2:4" x14ac:dyDescent="0.3">
      <c r="B94" s="11">
        <v>43132</v>
      </c>
      <c r="C94">
        <v>697</v>
      </c>
      <c r="D94">
        <v>0</v>
      </c>
    </row>
    <row r="95" spans="2:4" x14ac:dyDescent="0.3">
      <c r="B95" s="11">
        <v>43160</v>
      </c>
      <c r="C95">
        <v>666</v>
      </c>
      <c r="D95">
        <v>0</v>
      </c>
    </row>
    <row r="96" spans="2:4" x14ac:dyDescent="0.3">
      <c r="B96" s="11">
        <v>43191</v>
      </c>
      <c r="C96">
        <v>474</v>
      </c>
      <c r="D96">
        <v>0</v>
      </c>
    </row>
    <row r="97" spans="2:4" x14ac:dyDescent="0.3">
      <c r="B97" s="11">
        <v>43374</v>
      </c>
      <c r="C97">
        <v>338</v>
      </c>
      <c r="D97">
        <v>0</v>
      </c>
    </row>
    <row r="98" spans="2:4" x14ac:dyDescent="0.3">
      <c r="B98" s="11">
        <v>43405</v>
      </c>
      <c r="C98">
        <v>573</v>
      </c>
      <c r="D98">
        <v>0</v>
      </c>
    </row>
    <row r="99" spans="2:4" x14ac:dyDescent="0.3">
      <c r="B99" s="11">
        <v>43435</v>
      </c>
      <c r="C99">
        <v>750</v>
      </c>
      <c r="D99">
        <v>0</v>
      </c>
    </row>
    <row r="100" spans="2:4" x14ac:dyDescent="0.3">
      <c r="B100" s="11">
        <v>43466</v>
      </c>
      <c r="C100">
        <v>716</v>
      </c>
      <c r="D100">
        <v>0</v>
      </c>
    </row>
    <row r="101" spans="2:4" x14ac:dyDescent="0.3">
      <c r="B101" s="11">
        <v>43497</v>
      </c>
      <c r="C101">
        <v>823</v>
      </c>
      <c r="D101">
        <v>0</v>
      </c>
    </row>
    <row r="102" spans="2:4" x14ac:dyDescent="0.3">
      <c r="B102" s="11">
        <v>43525</v>
      </c>
      <c r="C102">
        <v>660</v>
      </c>
      <c r="D102">
        <v>0</v>
      </c>
    </row>
    <row r="103" spans="2:4" x14ac:dyDescent="0.3">
      <c r="B103" s="11">
        <v>43556</v>
      </c>
      <c r="C103">
        <v>447</v>
      </c>
      <c r="D103">
        <v>0</v>
      </c>
    </row>
    <row r="104" spans="2:4" x14ac:dyDescent="0.3">
      <c r="B104" s="11">
        <v>43739</v>
      </c>
      <c r="C104">
        <v>508</v>
      </c>
      <c r="D104">
        <v>0</v>
      </c>
    </row>
    <row r="105" spans="2:4" x14ac:dyDescent="0.3">
      <c r="B105" s="11">
        <v>43770</v>
      </c>
      <c r="C105">
        <v>600</v>
      </c>
      <c r="D105">
        <v>0</v>
      </c>
    </row>
    <row r="106" spans="2:4" x14ac:dyDescent="0.3">
      <c r="B106" s="11">
        <v>43800</v>
      </c>
      <c r="C106">
        <v>738</v>
      </c>
      <c r="D106">
        <v>0</v>
      </c>
    </row>
    <row r="107" spans="2:4" x14ac:dyDescent="0.3">
      <c r="B107" s="11">
        <v>43831</v>
      </c>
      <c r="C107">
        <v>691</v>
      </c>
      <c r="D107">
        <v>0</v>
      </c>
    </row>
    <row r="108" spans="2:4" x14ac:dyDescent="0.3">
      <c r="B108" s="11">
        <v>43862</v>
      </c>
      <c r="C108">
        <v>661</v>
      </c>
      <c r="D108">
        <v>0</v>
      </c>
    </row>
    <row r="109" spans="2:4" x14ac:dyDescent="0.3">
      <c r="B109" s="11">
        <v>43891</v>
      </c>
      <c r="C109">
        <v>679</v>
      </c>
      <c r="D109">
        <v>0</v>
      </c>
    </row>
    <row r="110" spans="2:4" x14ac:dyDescent="0.3">
      <c r="B110" s="11">
        <v>43922</v>
      </c>
      <c r="C110">
        <v>435</v>
      </c>
      <c r="D110">
        <v>0</v>
      </c>
    </row>
    <row r="111" spans="2:4" x14ac:dyDescent="0.3">
      <c r="B111" s="11">
        <v>43952</v>
      </c>
      <c r="C111">
        <v>284</v>
      </c>
      <c r="D111">
        <v>0</v>
      </c>
    </row>
    <row r="112" spans="2:4" x14ac:dyDescent="0.3">
      <c r="B112" s="11">
        <v>44105</v>
      </c>
      <c r="C112">
        <v>347</v>
      </c>
      <c r="D112">
        <v>0</v>
      </c>
    </row>
    <row r="113" spans="2:4" x14ac:dyDescent="0.3">
      <c r="B113" s="11">
        <v>44136</v>
      </c>
      <c r="C113">
        <v>639</v>
      </c>
      <c r="D113">
        <v>0</v>
      </c>
    </row>
    <row r="114" spans="2:4" x14ac:dyDescent="0.3">
      <c r="B114" s="11">
        <v>44166</v>
      </c>
      <c r="C114">
        <v>725</v>
      </c>
      <c r="D114">
        <v>0</v>
      </c>
    </row>
    <row r="115" spans="2:4" x14ac:dyDescent="0.3">
      <c r="B115" s="11">
        <v>44197</v>
      </c>
      <c r="C115">
        <v>707</v>
      </c>
      <c r="D115">
        <v>0</v>
      </c>
    </row>
    <row r="116" spans="2:4" x14ac:dyDescent="0.3">
      <c r="B116" s="11">
        <v>44228</v>
      </c>
      <c r="C116">
        <v>700</v>
      </c>
      <c r="D116">
        <v>0</v>
      </c>
    </row>
    <row r="117" spans="2:4" x14ac:dyDescent="0.3">
      <c r="B117" s="11">
        <v>44256</v>
      </c>
      <c r="C117">
        <v>670</v>
      </c>
      <c r="D117">
        <v>0</v>
      </c>
    </row>
    <row r="118" spans="2:4" x14ac:dyDescent="0.3">
      <c r="B118" s="11">
        <v>44287</v>
      </c>
      <c r="C118">
        <v>420</v>
      </c>
      <c r="D118">
        <v>0</v>
      </c>
    </row>
    <row r="119" spans="2:4" x14ac:dyDescent="0.3">
      <c r="B119" s="11">
        <v>44317</v>
      </c>
      <c r="C119">
        <v>305</v>
      </c>
      <c r="D119">
        <v>0</v>
      </c>
    </row>
    <row r="120" spans="2:4" x14ac:dyDescent="0.3">
      <c r="B120" s="11">
        <v>44470</v>
      </c>
      <c r="C120">
        <v>440</v>
      </c>
      <c r="D120">
        <v>0</v>
      </c>
    </row>
    <row r="121" spans="2:4" x14ac:dyDescent="0.3">
      <c r="B121" s="11">
        <v>44501</v>
      </c>
      <c r="C121">
        <v>540</v>
      </c>
      <c r="D121">
        <v>0</v>
      </c>
    </row>
    <row r="122" spans="2:4" x14ac:dyDescent="0.3">
      <c r="B122" s="11">
        <v>44531</v>
      </c>
      <c r="C122">
        <v>812</v>
      </c>
      <c r="D122">
        <v>0</v>
      </c>
    </row>
    <row r="123" spans="2:4" x14ac:dyDescent="0.3">
      <c r="B123" s="11">
        <v>44562</v>
      </c>
      <c r="C123">
        <v>750</v>
      </c>
      <c r="D123">
        <v>0</v>
      </c>
    </row>
    <row r="124" spans="2:4" x14ac:dyDescent="0.3">
      <c r="B124" s="11">
        <v>44593</v>
      </c>
      <c r="C124">
        <v>661</v>
      </c>
      <c r="D124">
        <v>0</v>
      </c>
    </row>
    <row r="125" spans="2:4" x14ac:dyDescent="0.3">
      <c r="B125" s="11">
        <v>44621</v>
      </c>
      <c r="C125">
        <v>570</v>
      </c>
      <c r="D125">
        <v>0</v>
      </c>
    </row>
    <row r="126" spans="2:4" x14ac:dyDescent="0.3">
      <c r="B126" s="11">
        <v>44652</v>
      </c>
      <c r="C126">
        <v>591</v>
      </c>
      <c r="D126">
        <v>0</v>
      </c>
    </row>
    <row r="127" spans="2:4" x14ac:dyDescent="0.3">
      <c r="B127" s="11">
        <v>44682</v>
      </c>
      <c r="C127">
        <v>409</v>
      </c>
      <c r="D127">
        <v>0</v>
      </c>
    </row>
    <row r="128" spans="2:4" x14ac:dyDescent="0.3">
      <c r="B128" s="11">
        <v>44835</v>
      </c>
      <c r="C128">
        <v>228</v>
      </c>
      <c r="D128">
        <v>0</v>
      </c>
    </row>
    <row r="129" spans="2:4" x14ac:dyDescent="0.3">
      <c r="B129" s="11">
        <v>44866</v>
      </c>
      <c r="C129">
        <v>738</v>
      </c>
      <c r="D129">
        <v>0</v>
      </c>
    </row>
    <row r="130" spans="2:4" x14ac:dyDescent="0.3">
      <c r="B130" s="11">
        <v>44896</v>
      </c>
      <c r="C130">
        <v>818</v>
      </c>
      <c r="D130">
        <v>0</v>
      </c>
    </row>
    <row r="131" spans="2:4" x14ac:dyDescent="0.3">
      <c r="B131" s="11">
        <v>44927</v>
      </c>
      <c r="C131">
        <v>756</v>
      </c>
      <c r="D131">
        <v>0</v>
      </c>
    </row>
    <row r="132" spans="2:4" x14ac:dyDescent="0.3">
      <c r="B132" s="11">
        <v>44958</v>
      </c>
      <c r="C132">
        <v>734</v>
      </c>
      <c r="D132">
        <v>0</v>
      </c>
    </row>
    <row r="133" spans="2:4" x14ac:dyDescent="0.3">
      <c r="B133" s="11">
        <v>44986</v>
      </c>
      <c r="C133">
        <v>760</v>
      </c>
      <c r="D133">
        <v>0</v>
      </c>
    </row>
    <row r="134" spans="2:4" x14ac:dyDescent="0.3">
      <c r="B134" s="11">
        <v>45017</v>
      </c>
      <c r="C134">
        <v>543</v>
      </c>
      <c r="D134">
        <v>0</v>
      </c>
    </row>
    <row r="135" spans="2:4" x14ac:dyDescent="0.3">
      <c r="B135" s="11">
        <v>45200</v>
      </c>
      <c r="C135">
        <v>338</v>
      </c>
      <c r="D135">
        <v>0</v>
      </c>
    </row>
    <row r="136" spans="2:4" x14ac:dyDescent="0.3">
      <c r="B136" s="11">
        <v>45231</v>
      </c>
      <c r="C136">
        <v>600</v>
      </c>
      <c r="D136">
        <v>0</v>
      </c>
    </row>
    <row r="137" spans="2:4" x14ac:dyDescent="0.3">
      <c r="B137" s="11">
        <v>45261</v>
      </c>
      <c r="C137">
        <v>642</v>
      </c>
      <c r="D137">
        <v>0</v>
      </c>
    </row>
    <row r="138" spans="2:4" x14ac:dyDescent="0.3">
      <c r="B138" s="11">
        <v>45292</v>
      </c>
      <c r="C138">
        <v>747</v>
      </c>
      <c r="D138">
        <v>0</v>
      </c>
    </row>
    <row r="139" spans="2:4" x14ac:dyDescent="0.3">
      <c r="B139" s="11">
        <v>45323</v>
      </c>
      <c r="C139">
        <v>613</v>
      </c>
      <c r="D139">
        <v>0</v>
      </c>
    </row>
    <row r="140" spans="2:4" x14ac:dyDescent="0.3">
      <c r="B140" s="11">
        <v>45352</v>
      </c>
      <c r="C140">
        <v>617</v>
      </c>
      <c r="D140">
        <v>0</v>
      </c>
    </row>
    <row r="141" spans="2:4" x14ac:dyDescent="0.3">
      <c r="B141" s="11">
        <v>45383</v>
      </c>
      <c r="C141">
        <v>486</v>
      </c>
      <c r="D141">
        <v>0</v>
      </c>
    </row>
    <row r="142" spans="2:4" x14ac:dyDescent="0.3">
      <c r="B142" s="11">
        <v>45413</v>
      </c>
      <c r="C142">
        <v>344</v>
      </c>
      <c r="D142">
        <v>0</v>
      </c>
    </row>
    <row r="143" spans="2:4" x14ac:dyDescent="0.3">
      <c r="B143" s="11">
        <v>45566</v>
      </c>
      <c r="C143">
        <v>344</v>
      </c>
      <c r="D143">
        <v>0</v>
      </c>
    </row>
    <row r="144" spans="2:4" x14ac:dyDescent="0.3">
      <c r="B144" s="11">
        <v>45597</v>
      </c>
      <c r="C144">
        <v>639</v>
      </c>
      <c r="D144">
        <v>0</v>
      </c>
    </row>
    <row r="145" spans="2:4" x14ac:dyDescent="0.3">
      <c r="B145" s="11">
        <v>45627</v>
      </c>
      <c r="C145">
        <v>704</v>
      </c>
      <c r="D145">
        <v>0</v>
      </c>
    </row>
    <row r="146" spans="2:4" x14ac:dyDescent="0.3">
      <c r="B146" s="11">
        <v>45658</v>
      </c>
      <c r="C146">
        <v>784</v>
      </c>
      <c r="D146">
        <v>0</v>
      </c>
    </row>
    <row r="147" spans="2:4" x14ac:dyDescent="0.3">
      <c r="B147" s="11">
        <v>45689</v>
      </c>
      <c r="C147">
        <v>706</v>
      </c>
      <c r="D147">
        <v>0</v>
      </c>
    </row>
    <row r="148" spans="2:4" x14ac:dyDescent="0.3">
      <c r="B148" s="11">
        <v>45717</v>
      </c>
      <c r="C148">
        <v>589</v>
      </c>
      <c r="D148">
        <v>0</v>
      </c>
    </row>
    <row r="149" spans="2:4" x14ac:dyDescent="0.3">
      <c r="B149" s="11">
        <v>45748</v>
      </c>
      <c r="C149">
        <v>420</v>
      </c>
      <c r="D149">
        <v>0</v>
      </c>
    </row>
    <row r="150" spans="2:4" x14ac:dyDescent="0.3">
      <c r="B150" s="11">
        <v>45778</v>
      </c>
      <c r="C150">
        <v>310</v>
      </c>
      <c r="D150">
        <v>0</v>
      </c>
    </row>
    <row r="151" spans="2:4" x14ac:dyDescent="0.3">
      <c r="B151" s="11">
        <v>45931</v>
      </c>
      <c r="C151">
        <v>425</v>
      </c>
      <c r="D151">
        <v>0</v>
      </c>
    </row>
    <row r="152" spans="2:4" x14ac:dyDescent="0.3">
      <c r="B152" s="11">
        <v>45962</v>
      </c>
      <c r="C152">
        <v>519</v>
      </c>
      <c r="D152">
        <v>0</v>
      </c>
    </row>
    <row r="153" spans="2:4" x14ac:dyDescent="0.3">
      <c r="B153" s="11">
        <v>45992</v>
      </c>
      <c r="C153">
        <v>626</v>
      </c>
      <c r="D153">
        <v>0</v>
      </c>
    </row>
    <row r="154" spans="2:4" x14ac:dyDescent="0.3">
      <c r="B154" s="11">
        <v>46023</v>
      </c>
      <c r="C154">
        <v>701</v>
      </c>
      <c r="D154">
        <v>0</v>
      </c>
    </row>
    <row r="155" spans="2:4" x14ac:dyDescent="0.3">
      <c r="B155" s="11">
        <v>46054</v>
      </c>
      <c r="C155">
        <v>599</v>
      </c>
      <c r="D155">
        <v>0</v>
      </c>
    </row>
    <row r="156" spans="2:4" x14ac:dyDescent="0.3">
      <c r="B156" s="11">
        <v>46082</v>
      </c>
      <c r="C156">
        <v>524</v>
      </c>
      <c r="D156">
        <v>0</v>
      </c>
    </row>
    <row r="157" spans="2:4" x14ac:dyDescent="0.3">
      <c r="B157" s="11">
        <v>46113</v>
      </c>
      <c r="C157">
        <v>408</v>
      </c>
      <c r="D157">
        <v>0</v>
      </c>
    </row>
    <row r="158" spans="2:4" x14ac:dyDescent="0.3">
      <c r="B158" s="11">
        <v>39234</v>
      </c>
      <c r="C158">
        <v>199</v>
      </c>
      <c r="D158">
        <v>7</v>
      </c>
    </row>
    <row r="159" spans="2:4" x14ac:dyDescent="0.3">
      <c r="B159" s="11">
        <v>39264</v>
      </c>
      <c r="C159">
        <v>34</v>
      </c>
      <c r="D159">
        <v>102</v>
      </c>
    </row>
    <row r="160" spans="2:4" x14ac:dyDescent="0.3">
      <c r="B160" s="11">
        <v>39295</v>
      </c>
      <c r="C160">
        <v>66</v>
      </c>
      <c r="D160">
        <v>60</v>
      </c>
    </row>
    <row r="161" spans="2:4" x14ac:dyDescent="0.3">
      <c r="B161" s="11">
        <v>39326</v>
      </c>
      <c r="C161">
        <v>180</v>
      </c>
      <c r="D161">
        <v>12</v>
      </c>
    </row>
    <row r="162" spans="2:4" x14ac:dyDescent="0.3">
      <c r="B162" s="11">
        <v>39630</v>
      </c>
      <c r="C162">
        <v>54</v>
      </c>
      <c r="D162">
        <v>76</v>
      </c>
    </row>
    <row r="163" spans="2:4" x14ac:dyDescent="0.3">
      <c r="B163" s="11">
        <v>39661</v>
      </c>
      <c r="C163">
        <v>54</v>
      </c>
      <c r="D163">
        <v>73</v>
      </c>
    </row>
    <row r="164" spans="2:4" x14ac:dyDescent="0.3">
      <c r="B164" s="11">
        <v>39692</v>
      </c>
      <c r="C164">
        <v>123</v>
      </c>
      <c r="D164">
        <v>27</v>
      </c>
    </row>
    <row r="165" spans="2:4" x14ac:dyDescent="0.3">
      <c r="B165" s="11">
        <v>39965</v>
      </c>
      <c r="C165">
        <v>144</v>
      </c>
      <c r="D165">
        <v>15</v>
      </c>
    </row>
    <row r="166" spans="2:4" x14ac:dyDescent="0.3">
      <c r="B166" s="11">
        <v>39995</v>
      </c>
      <c r="C166">
        <v>18</v>
      </c>
      <c r="D166">
        <v>139</v>
      </c>
    </row>
    <row r="167" spans="2:4" x14ac:dyDescent="0.3">
      <c r="B167" s="11">
        <v>40026</v>
      </c>
      <c r="C167">
        <v>51</v>
      </c>
      <c r="D167">
        <v>76</v>
      </c>
    </row>
    <row r="168" spans="2:4" x14ac:dyDescent="0.3">
      <c r="B168" s="11">
        <v>40057</v>
      </c>
      <c r="C168">
        <v>111</v>
      </c>
      <c r="D168">
        <v>33</v>
      </c>
    </row>
    <row r="169" spans="2:4" x14ac:dyDescent="0.3">
      <c r="B169" s="11">
        <v>40360</v>
      </c>
      <c r="C169">
        <v>64</v>
      </c>
      <c r="D169">
        <v>64</v>
      </c>
    </row>
    <row r="170" spans="2:4" x14ac:dyDescent="0.3">
      <c r="B170" s="11">
        <v>40391</v>
      </c>
      <c r="C170">
        <v>66</v>
      </c>
      <c r="D170">
        <v>60</v>
      </c>
    </row>
    <row r="171" spans="2:4" x14ac:dyDescent="0.3">
      <c r="B171" s="11">
        <v>40422</v>
      </c>
      <c r="C171">
        <v>143</v>
      </c>
      <c r="D171">
        <v>20</v>
      </c>
    </row>
    <row r="172" spans="2:4" x14ac:dyDescent="0.3">
      <c r="B172" s="11">
        <v>40725</v>
      </c>
      <c r="C172">
        <v>110</v>
      </c>
      <c r="D172">
        <v>29</v>
      </c>
    </row>
    <row r="173" spans="2:4" x14ac:dyDescent="0.3">
      <c r="B173" s="11">
        <v>40756</v>
      </c>
      <c r="C173">
        <v>54</v>
      </c>
      <c r="D173">
        <v>73</v>
      </c>
    </row>
    <row r="174" spans="2:4" x14ac:dyDescent="0.3">
      <c r="B174" s="11">
        <v>40787</v>
      </c>
      <c r="C174">
        <v>77</v>
      </c>
      <c r="D174">
        <v>59</v>
      </c>
    </row>
    <row r="175" spans="2:4" x14ac:dyDescent="0.3">
      <c r="B175" s="11">
        <v>41091</v>
      </c>
      <c r="C175">
        <v>79</v>
      </c>
      <c r="D175">
        <v>51</v>
      </c>
    </row>
    <row r="176" spans="2:4" x14ac:dyDescent="0.3">
      <c r="B176" s="11">
        <v>41122</v>
      </c>
      <c r="C176">
        <v>34</v>
      </c>
      <c r="D176">
        <v>99</v>
      </c>
    </row>
    <row r="177" spans="2:4" x14ac:dyDescent="0.3">
      <c r="B177" s="11">
        <v>41153</v>
      </c>
      <c r="C177">
        <v>104</v>
      </c>
      <c r="D177">
        <v>38</v>
      </c>
    </row>
    <row r="178" spans="2:4" x14ac:dyDescent="0.3">
      <c r="B178" s="11">
        <v>41426</v>
      </c>
      <c r="C178">
        <v>130</v>
      </c>
      <c r="D178">
        <v>19</v>
      </c>
    </row>
    <row r="179" spans="2:4" x14ac:dyDescent="0.3">
      <c r="B179" s="11">
        <v>41456</v>
      </c>
      <c r="C179">
        <v>31</v>
      </c>
      <c r="D179">
        <v>106</v>
      </c>
    </row>
    <row r="180" spans="2:4" x14ac:dyDescent="0.3">
      <c r="B180" s="11">
        <v>41487</v>
      </c>
      <c r="C180">
        <v>35</v>
      </c>
      <c r="D180">
        <v>97</v>
      </c>
    </row>
    <row r="181" spans="2:4" x14ac:dyDescent="0.3">
      <c r="B181" s="11">
        <v>41518</v>
      </c>
      <c r="C181">
        <v>138</v>
      </c>
      <c r="D181">
        <v>21</v>
      </c>
    </row>
    <row r="182" spans="2:4" x14ac:dyDescent="0.3">
      <c r="B182" s="11">
        <v>41760</v>
      </c>
      <c r="C182">
        <v>249</v>
      </c>
      <c r="D182">
        <v>7</v>
      </c>
    </row>
    <row r="183" spans="2:4" x14ac:dyDescent="0.3">
      <c r="B183" s="11">
        <v>41791</v>
      </c>
      <c r="C183">
        <v>172</v>
      </c>
      <c r="D183">
        <v>10</v>
      </c>
    </row>
    <row r="184" spans="2:4" x14ac:dyDescent="0.3">
      <c r="B184" s="11">
        <v>41821</v>
      </c>
      <c r="C184">
        <v>17</v>
      </c>
      <c r="D184">
        <v>144</v>
      </c>
    </row>
    <row r="185" spans="2:4" x14ac:dyDescent="0.3">
      <c r="B185" s="11">
        <v>41852</v>
      </c>
      <c r="C185">
        <v>16</v>
      </c>
      <c r="D185">
        <v>143</v>
      </c>
    </row>
    <row r="186" spans="2:4" x14ac:dyDescent="0.3">
      <c r="B186" s="11">
        <v>41883</v>
      </c>
      <c r="C186">
        <v>77</v>
      </c>
      <c r="D186">
        <v>59</v>
      </c>
    </row>
    <row r="187" spans="2:4" x14ac:dyDescent="0.3">
      <c r="B187" s="11">
        <v>42125</v>
      </c>
      <c r="C187">
        <v>261</v>
      </c>
      <c r="D187">
        <v>6</v>
      </c>
    </row>
    <row r="188" spans="2:4" x14ac:dyDescent="0.3">
      <c r="B188" s="11">
        <v>42156</v>
      </c>
      <c r="C188">
        <v>47</v>
      </c>
      <c r="D188">
        <v>80</v>
      </c>
    </row>
    <row r="189" spans="2:4" x14ac:dyDescent="0.3">
      <c r="B189" s="11">
        <v>42186</v>
      </c>
      <c r="C189">
        <v>14</v>
      </c>
      <c r="D189">
        <v>156</v>
      </c>
    </row>
    <row r="190" spans="2:4" x14ac:dyDescent="0.3">
      <c r="B190" s="11">
        <v>42217</v>
      </c>
      <c r="C190">
        <v>22</v>
      </c>
      <c r="D190">
        <v>122</v>
      </c>
    </row>
    <row r="191" spans="2:4" x14ac:dyDescent="0.3">
      <c r="B191" s="11">
        <v>42248</v>
      </c>
      <c r="C191">
        <v>157</v>
      </c>
      <c r="D191">
        <v>16</v>
      </c>
    </row>
    <row r="192" spans="2:4" x14ac:dyDescent="0.3">
      <c r="B192" s="11">
        <v>42491</v>
      </c>
      <c r="C192">
        <v>249</v>
      </c>
      <c r="D192">
        <v>7</v>
      </c>
    </row>
    <row r="193" spans="2:4" x14ac:dyDescent="0.3">
      <c r="B193" s="11">
        <v>42522</v>
      </c>
      <c r="C193">
        <v>122</v>
      </c>
      <c r="D193">
        <v>23</v>
      </c>
    </row>
    <row r="194" spans="2:4" x14ac:dyDescent="0.3">
      <c r="B194" s="11">
        <v>42552</v>
      </c>
      <c r="C194">
        <v>71</v>
      </c>
      <c r="D194">
        <v>58</v>
      </c>
    </row>
    <row r="195" spans="2:4" x14ac:dyDescent="0.3">
      <c r="B195" s="11">
        <v>42583</v>
      </c>
      <c r="C195">
        <v>23</v>
      </c>
      <c r="D195">
        <v>119</v>
      </c>
    </row>
    <row r="196" spans="2:4" x14ac:dyDescent="0.3">
      <c r="B196" s="11">
        <v>42614</v>
      </c>
      <c r="C196">
        <v>164</v>
      </c>
      <c r="D196">
        <v>14</v>
      </c>
    </row>
    <row r="197" spans="2:4" x14ac:dyDescent="0.3">
      <c r="B197" s="11">
        <v>42856</v>
      </c>
      <c r="C197">
        <v>275</v>
      </c>
      <c r="D197">
        <v>5</v>
      </c>
    </row>
    <row r="198" spans="2:4" x14ac:dyDescent="0.3">
      <c r="B198" s="11">
        <v>42887</v>
      </c>
      <c r="C198">
        <v>133</v>
      </c>
      <c r="D198">
        <v>19</v>
      </c>
    </row>
    <row r="199" spans="2:4" x14ac:dyDescent="0.3">
      <c r="B199" s="11">
        <v>42917</v>
      </c>
      <c r="C199">
        <v>37</v>
      </c>
      <c r="D199">
        <v>96</v>
      </c>
    </row>
    <row r="200" spans="2:4" x14ac:dyDescent="0.3">
      <c r="B200" s="11">
        <v>42948</v>
      </c>
      <c r="C200">
        <v>9</v>
      </c>
      <c r="D200">
        <v>177</v>
      </c>
    </row>
    <row r="201" spans="2:4" x14ac:dyDescent="0.3">
      <c r="B201" s="11">
        <v>42979</v>
      </c>
      <c r="C201">
        <v>91</v>
      </c>
      <c r="D201">
        <v>46</v>
      </c>
    </row>
    <row r="202" spans="2:4" x14ac:dyDescent="0.3">
      <c r="B202" s="11">
        <v>43221</v>
      </c>
      <c r="C202">
        <v>238</v>
      </c>
      <c r="D202">
        <v>9</v>
      </c>
    </row>
    <row r="203" spans="2:4" x14ac:dyDescent="0.3">
      <c r="B203" s="11">
        <v>43252</v>
      </c>
      <c r="C203">
        <v>149</v>
      </c>
      <c r="D203">
        <v>14</v>
      </c>
    </row>
    <row r="204" spans="2:4" x14ac:dyDescent="0.3">
      <c r="B204" s="11">
        <v>43282</v>
      </c>
      <c r="C204">
        <v>17</v>
      </c>
      <c r="D204">
        <v>141</v>
      </c>
    </row>
    <row r="205" spans="2:4" x14ac:dyDescent="0.3">
      <c r="B205" s="11">
        <v>43313</v>
      </c>
      <c r="C205">
        <v>29</v>
      </c>
      <c r="D205">
        <v>107</v>
      </c>
    </row>
    <row r="206" spans="2:4" x14ac:dyDescent="0.3">
      <c r="B206" s="11">
        <v>43344</v>
      </c>
      <c r="C206">
        <v>162</v>
      </c>
      <c r="D206">
        <v>15</v>
      </c>
    </row>
    <row r="207" spans="2:4" x14ac:dyDescent="0.3">
      <c r="B207" s="11">
        <v>43586</v>
      </c>
      <c r="C207">
        <v>258</v>
      </c>
      <c r="D207">
        <v>7</v>
      </c>
    </row>
    <row r="208" spans="2:4" x14ac:dyDescent="0.3">
      <c r="B208" s="11">
        <v>43617</v>
      </c>
      <c r="C208">
        <v>130</v>
      </c>
      <c r="D208">
        <v>19</v>
      </c>
    </row>
    <row r="209" spans="2:4" x14ac:dyDescent="0.3">
      <c r="B209" s="11">
        <v>43647</v>
      </c>
      <c r="C209">
        <v>63</v>
      </c>
      <c r="D209">
        <v>66</v>
      </c>
    </row>
    <row r="210" spans="2:4" x14ac:dyDescent="0.3">
      <c r="B210" s="11">
        <v>43678</v>
      </c>
      <c r="C210">
        <v>30</v>
      </c>
      <c r="D210">
        <v>105</v>
      </c>
    </row>
    <row r="211" spans="2:4" x14ac:dyDescent="0.3">
      <c r="B211" s="11">
        <v>43709</v>
      </c>
      <c r="C211">
        <v>167</v>
      </c>
      <c r="D211">
        <v>14</v>
      </c>
    </row>
    <row r="212" spans="2:4" x14ac:dyDescent="0.3">
      <c r="B212" s="11">
        <v>43983</v>
      </c>
      <c r="C212">
        <v>169</v>
      </c>
      <c r="D212">
        <v>10</v>
      </c>
    </row>
    <row r="213" spans="2:4" x14ac:dyDescent="0.3">
      <c r="B213" s="11">
        <v>44013</v>
      </c>
      <c r="C213">
        <v>48</v>
      </c>
      <c r="D213">
        <v>82</v>
      </c>
    </row>
    <row r="214" spans="2:4" x14ac:dyDescent="0.3">
      <c r="B214" s="11">
        <v>44044</v>
      </c>
      <c r="C214">
        <v>36</v>
      </c>
      <c r="D214">
        <v>95</v>
      </c>
    </row>
    <row r="215" spans="2:4" x14ac:dyDescent="0.3">
      <c r="B215" s="11">
        <v>44075</v>
      </c>
      <c r="C215">
        <v>80</v>
      </c>
      <c r="D215">
        <v>56</v>
      </c>
    </row>
    <row r="216" spans="2:4" x14ac:dyDescent="0.3">
      <c r="B216" s="11">
        <v>44348</v>
      </c>
      <c r="C216">
        <v>54</v>
      </c>
      <c r="D216">
        <v>72</v>
      </c>
    </row>
    <row r="217" spans="2:4" x14ac:dyDescent="0.3">
      <c r="B217" s="11">
        <v>44378</v>
      </c>
      <c r="C217">
        <v>17</v>
      </c>
      <c r="D217">
        <v>141</v>
      </c>
    </row>
    <row r="218" spans="2:4" x14ac:dyDescent="0.3">
      <c r="B218" s="11">
        <v>44409</v>
      </c>
      <c r="C218">
        <v>24</v>
      </c>
      <c r="D218">
        <v>117</v>
      </c>
    </row>
    <row r="219" spans="2:4" x14ac:dyDescent="0.3">
      <c r="B219" s="11">
        <v>44440</v>
      </c>
      <c r="C219">
        <v>119</v>
      </c>
      <c r="D219">
        <v>29</v>
      </c>
    </row>
    <row r="220" spans="2:4" x14ac:dyDescent="0.3">
      <c r="B220" s="11">
        <v>44713</v>
      </c>
      <c r="C220">
        <v>157</v>
      </c>
      <c r="D220">
        <v>13</v>
      </c>
    </row>
    <row r="221" spans="2:4" x14ac:dyDescent="0.3">
      <c r="B221" s="11">
        <v>44743</v>
      </c>
      <c r="C221">
        <v>20</v>
      </c>
      <c r="D221">
        <v>134</v>
      </c>
    </row>
    <row r="222" spans="2:4" x14ac:dyDescent="0.3">
      <c r="B222" s="11">
        <v>44774</v>
      </c>
      <c r="C222">
        <v>11</v>
      </c>
      <c r="D222">
        <v>163</v>
      </c>
    </row>
    <row r="223" spans="2:4" x14ac:dyDescent="0.3">
      <c r="B223" s="11">
        <v>44805</v>
      </c>
      <c r="C223">
        <v>74</v>
      </c>
      <c r="D223">
        <v>62</v>
      </c>
    </row>
    <row r="224" spans="2:4" x14ac:dyDescent="0.3">
      <c r="B224" s="11">
        <v>45047</v>
      </c>
      <c r="C224">
        <v>202</v>
      </c>
      <c r="D224">
        <v>13</v>
      </c>
    </row>
    <row r="225" spans="2:4" x14ac:dyDescent="0.3">
      <c r="B225" s="11">
        <v>45078</v>
      </c>
      <c r="C225">
        <v>122</v>
      </c>
      <c r="D225">
        <v>23</v>
      </c>
    </row>
    <row r="226" spans="2:4" x14ac:dyDescent="0.3">
      <c r="B226" s="11">
        <v>45108</v>
      </c>
      <c r="C226">
        <v>22</v>
      </c>
      <c r="D226">
        <v>127</v>
      </c>
    </row>
    <row r="227" spans="2:4" x14ac:dyDescent="0.3">
      <c r="B227" s="11">
        <v>45139</v>
      </c>
      <c r="C227">
        <v>10</v>
      </c>
      <c r="D227">
        <v>174</v>
      </c>
    </row>
    <row r="228" spans="2:4" x14ac:dyDescent="0.3">
      <c r="B228" s="11">
        <v>45170</v>
      </c>
      <c r="C228">
        <v>138</v>
      </c>
      <c r="D228">
        <v>21</v>
      </c>
    </row>
    <row r="229" spans="2:4" x14ac:dyDescent="0.3">
      <c r="B229" s="11">
        <v>45444</v>
      </c>
      <c r="C229">
        <v>144</v>
      </c>
      <c r="D229">
        <v>15</v>
      </c>
    </row>
    <row r="230" spans="2:4" x14ac:dyDescent="0.3">
      <c r="B230" s="11">
        <v>45474</v>
      </c>
      <c r="C230">
        <v>11</v>
      </c>
      <c r="D230">
        <v>169</v>
      </c>
    </row>
    <row r="231" spans="2:4" x14ac:dyDescent="0.3">
      <c r="B231" s="11">
        <v>45505</v>
      </c>
      <c r="C231">
        <v>41</v>
      </c>
      <c r="D231">
        <v>88</v>
      </c>
    </row>
    <row r="232" spans="2:4" x14ac:dyDescent="0.3">
      <c r="B232" s="11">
        <v>45536</v>
      </c>
      <c r="C232">
        <v>97</v>
      </c>
      <c r="D232">
        <v>43</v>
      </c>
    </row>
    <row r="233" spans="2:4" x14ac:dyDescent="0.3">
      <c r="B233" s="11">
        <v>45809</v>
      </c>
      <c r="C233">
        <v>115</v>
      </c>
      <c r="D233">
        <v>25</v>
      </c>
    </row>
    <row r="234" spans="2:4" x14ac:dyDescent="0.3">
      <c r="B234" s="11">
        <v>45839</v>
      </c>
      <c r="C234">
        <v>20</v>
      </c>
      <c r="D234">
        <v>132</v>
      </c>
    </row>
    <row r="235" spans="2:4" x14ac:dyDescent="0.3">
      <c r="B235" s="11">
        <v>45870</v>
      </c>
      <c r="C235">
        <v>11</v>
      </c>
      <c r="D235">
        <v>163</v>
      </c>
    </row>
    <row r="236" spans="2:4" x14ac:dyDescent="0.3">
      <c r="B236" s="11">
        <v>45901</v>
      </c>
      <c r="C236">
        <v>79</v>
      </c>
      <c r="D236">
        <v>58</v>
      </c>
    </row>
    <row r="237" spans="2:4" x14ac:dyDescent="0.3">
      <c r="B237" s="11">
        <v>46143</v>
      </c>
      <c r="C237">
        <v>241</v>
      </c>
      <c r="D237">
        <v>8</v>
      </c>
    </row>
    <row r="238" spans="2:4" x14ac:dyDescent="0.3">
      <c r="B238" s="11">
        <v>46174</v>
      </c>
      <c r="C238">
        <v>109</v>
      </c>
      <c r="D238">
        <v>28</v>
      </c>
    </row>
    <row r="239" spans="2:4" x14ac:dyDescent="0.3">
      <c r="B239" s="11">
        <v>46204</v>
      </c>
      <c r="C239">
        <v>41</v>
      </c>
      <c r="D239">
        <v>91</v>
      </c>
    </row>
    <row r="240" spans="2:4" x14ac:dyDescent="0.3">
      <c r="B240" s="11">
        <v>46235</v>
      </c>
      <c r="C240">
        <v>27</v>
      </c>
      <c r="D240">
        <v>111</v>
      </c>
    </row>
  </sheetData>
  <phoneticPr fontId="8"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533BB-8555-4123-9DBD-6F14CBE09669}">
  <sheetPr>
    <tabColor rgb="FF98A2B3"/>
  </sheetPr>
  <dimension ref="B1:S118"/>
  <sheetViews>
    <sheetView zoomScale="90" zoomScaleNormal="90" workbookViewId="0">
      <pane ySplit="4" topLeftCell="A5" activePane="bottomLeft" state="frozen"/>
      <selection pane="bottomLeft"/>
    </sheetView>
  </sheetViews>
  <sheetFormatPr defaultRowHeight="13" x14ac:dyDescent="0.3"/>
  <cols>
    <col min="1" max="1" width="2.69921875" customWidth="1"/>
    <col min="2" max="2" width="129.5" bestFit="1" customWidth="1"/>
    <col min="4" max="4" width="13" bestFit="1" customWidth="1"/>
    <col min="5" max="5" width="21.8984375" bestFit="1" customWidth="1"/>
    <col min="6" max="6" width="17.296875" bestFit="1" customWidth="1"/>
    <col min="7" max="7" width="22.09765625" bestFit="1" customWidth="1"/>
    <col min="8" max="8" width="22.8984375" bestFit="1" customWidth="1"/>
    <col min="9" max="9" width="18.296875" bestFit="1" customWidth="1"/>
    <col min="10" max="10" width="23.09765625" bestFit="1" customWidth="1"/>
    <col min="11" max="11" width="21" bestFit="1" customWidth="1"/>
    <col min="12" max="12" width="16.3984375" bestFit="1" customWidth="1"/>
    <col min="13" max="13" width="21.19921875" bestFit="1" customWidth="1"/>
    <col min="14" max="14" width="25" bestFit="1" customWidth="1"/>
    <col min="15" max="15" width="20.3984375" bestFit="1" customWidth="1"/>
    <col min="16" max="16" width="25.19921875" bestFit="1" customWidth="1"/>
    <col min="17" max="17" width="16.59765625" bestFit="1" customWidth="1"/>
    <col min="18" max="18" width="12.3984375" bestFit="1" customWidth="1"/>
    <col min="19" max="19" width="16.796875" bestFit="1" customWidth="1"/>
  </cols>
  <sheetData>
    <row r="1" spans="2:19" ht="30" customHeight="1" x14ac:dyDescent="0.55000000000000004">
      <c r="B1" s="1" t="s">
        <v>0</v>
      </c>
    </row>
    <row r="2" spans="2:19" x14ac:dyDescent="0.3">
      <c r="B2" s="2" t="s">
        <v>1</v>
      </c>
    </row>
    <row r="4" spans="2:19" x14ac:dyDescent="0.3">
      <c r="B4" s="3" t="s">
        <v>2</v>
      </c>
      <c r="C4" s="3" t="s">
        <v>3</v>
      </c>
      <c r="D4" s="3" t="s">
        <v>4</v>
      </c>
      <c r="E4" s="3" t="s">
        <v>5</v>
      </c>
      <c r="F4" s="3" t="s">
        <v>6</v>
      </c>
      <c r="G4" s="3" t="s">
        <v>7</v>
      </c>
      <c r="H4" s="3" t="s">
        <v>8</v>
      </c>
      <c r="I4" s="3" t="s">
        <v>9</v>
      </c>
      <c r="J4" s="3" t="s">
        <v>10</v>
      </c>
      <c r="K4" s="3" t="s">
        <v>11</v>
      </c>
      <c r="L4" s="3" t="s">
        <v>12</v>
      </c>
      <c r="M4" s="3" t="s">
        <v>13</v>
      </c>
      <c r="N4" s="3" t="s">
        <v>14</v>
      </c>
      <c r="O4" s="3" t="s">
        <v>15</v>
      </c>
      <c r="P4" s="3" t="s">
        <v>16</v>
      </c>
      <c r="Q4" s="3" t="s">
        <v>17</v>
      </c>
      <c r="R4" s="3" t="s">
        <v>18</v>
      </c>
      <c r="S4" s="3" t="s">
        <v>19</v>
      </c>
    </row>
    <row r="5" spans="2:19" x14ac:dyDescent="0.3">
      <c r="B5" s="4">
        <v>2017</v>
      </c>
      <c r="C5" s="4">
        <v>1</v>
      </c>
      <c r="D5" s="3" t="s">
        <v>20</v>
      </c>
      <c r="E5" s="5">
        <v>110997.693</v>
      </c>
      <c r="F5" s="5">
        <v>990661.44799999997</v>
      </c>
      <c r="G5" s="4">
        <v>757251</v>
      </c>
      <c r="H5" s="5">
        <v>51227.442999999999</v>
      </c>
      <c r="I5" s="5">
        <v>564862.84</v>
      </c>
      <c r="J5" s="4">
        <v>103924</v>
      </c>
      <c r="K5" s="5">
        <v>16112.302</v>
      </c>
      <c r="L5" s="5">
        <v>251120.06700000001</v>
      </c>
      <c r="M5" s="4">
        <v>1812</v>
      </c>
      <c r="N5" s="5">
        <v>84.745999999999995</v>
      </c>
      <c r="O5" s="5">
        <v>1039.4290000000001</v>
      </c>
      <c r="P5" s="4">
        <v>1</v>
      </c>
      <c r="Q5" s="5">
        <v>178422.18400000001</v>
      </c>
      <c r="R5" s="5">
        <v>1807683.784</v>
      </c>
      <c r="S5" s="4">
        <v>862988</v>
      </c>
    </row>
    <row r="6" spans="2:19" x14ac:dyDescent="0.3">
      <c r="B6" s="4">
        <v>2017</v>
      </c>
      <c r="C6" s="4">
        <v>2</v>
      </c>
      <c r="D6" s="3" t="s">
        <v>20</v>
      </c>
      <c r="E6" s="5">
        <v>81627.307000000001</v>
      </c>
      <c r="F6" s="5">
        <v>706887.00800000003</v>
      </c>
      <c r="G6" s="4">
        <v>758015</v>
      </c>
      <c r="H6" s="5">
        <v>50190.527999999998</v>
      </c>
      <c r="I6" s="5">
        <v>544400.85600000003</v>
      </c>
      <c r="J6" s="4">
        <v>104044</v>
      </c>
      <c r="K6" s="5">
        <v>13894.816999999999</v>
      </c>
      <c r="L6" s="5">
        <v>217279.47500000001</v>
      </c>
      <c r="M6" s="4">
        <v>1793</v>
      </c>
      <c r="N6" s="5">
        <v>81.344999999999999</v>
      </c>
      <c r="O6" s="5">
        <v>976.66099999999994</v>
      </c>
      <c r="P6" s="4">
        <v>1</v>
      </c>
      <c r="Q6" s="5">
        <v>145793.997</v>
      </c>
      <c r="R6" s="5">
        <v>1469544</v>
      </c>
      <c r="S6" s="4">
        <v>863853</v>
      </c>
    </row>
    <row r="7" spans="2:19" x14ac:dyDescent="0.3">
      <c r="B7" s="4">
        <v>2017</v>
      </c>
      <c r="C7" s="4">
        <v>3</v>
      </c>
      <c r="D7" s="3" t="s">
        <v>20</v>
      </c>
      <c r="E7" s="5">
        <v>78026.217000000004</v>
      </c>
      <c r="F7" s="5">
        <v>685946.94799999997</v>
      </c>
      <c r="G7" s="4">
        <v>758996</v>
      </c>
      <c r="H7" s="5">
        <v>52998.531999999999</v>
      </c>
      <c r="I7" s="5">
        <v>573938.723</v>
      </c>
      <c r="J7" s="4">
        <v>103921</v>
      </c>
      <c r="K7" s="5">
        <v>14531.096</v>
      </c>
      <c r="L7" s="5">
        <v>218555.65700000001</v>
      </c>
      <c r="M7" s="4">
        <v>1795</v>
      </c>
      <c r="N7" s="5">
        <v>77.02</v>
      </c>
      <c r="O7" s="5">
        <v>916.18799999999999</v>
      </c>
      <c r="P7" s="4">
        <v>1</v>
      </c>
      <c r="Q7" s="5">
        <v>145632.86499999999</v>
      </c>
      <c r="R7" s="5">
        <v>1479357.5160000001</v>
      </c>
      <c r="S7" s="4">
        <v>864713</v>
      </c>
    </row>
    <row r="8" spans="2:19" x14ac:dyDescent="0.3">
      <c r="B8" s="4">
        <v>2017</v>
      </c>
      <c r="C8" s="4">
        <v>4</v>
      </c>
      <c r="D8" s="3" t="s">
        <v>20</v>
      </c>
      <c r="E8" s="5">
        <v>64403.074999999997</v>
      </c>
      <c r="F8" s="5">
        <v>560747.10400000005</v>
      </c>
      <c r="G8" s="4">
        <v>760084</v>
      </c>
      <c r="H8" s="5">
        <v>49677.696000000004</v>
      </c>
      <c r="I8" s="5">
        <v>527750.38800000004</v>
      </c>
      <c r="J8" s="4">
        <v>104139</v>
      </c>
      <c r="K8" s="5">
        <v>16184.635</v>
      </c>
      <c r="L8" s="5">
        <v>248607.48699999999</v>
      </c>
      <c r="M8" s="4">
        <v>1862</v>
      </c>
      <c r="N8" s="5">
        <v>69.272000000000006</v>
      </c>
      <c r="O8" s="5">
        <v>802.476</v>
      </c>
      <c r="P8" s="4">
        <v>1</v>
      </c>
      <c r="Q8" s="5">
        <v>130334.678</v>
      </c>
      <c r="R8" s="5">
        <v>1337907.4550000001</v>
      </c>
      <c r="S8" s="4">
        <v>866086</v>
      </c>
    </row>
    <row r="9" spans="2:19" x14ac:dyDescent="0.3">
      <c r="B9" s="4">
        <v>2017</v>
      </c>
      <c r="C9" s="4">
        <v>5</v>
      </c>
      <c r="D9" s="3" t="s">
        <v>20</v>
      </c>
      <c r="E9" s="5">
        <v>63841.548000000003</v>
      </c>
      <c r="F9" s="5">
        <v>553137.44900000002</v>
      </c>
      <c r="G9" s="4">
        <v>761492</v>
      </c>
      <c r="H9" s="5">
        <v>52077.828000000001</v>
      </c>
      <c r="I9" s="5">
        <v>549744.48800000001</v>
      </c>
      <c r="J9" s="4">
        <v>104194</v>
      </c>
      <c r="K9" s="5">
        <v>17151.437999999998</v>
      </c>
      <c r="L9" s="5">
        <v>258034.193</v>
      </c>
      <c r="M9" s="4">
        <v>4429</v>
      </c>
      <c r="N9" s="5">
        <v>66.046999999999997</v>
      </c>
      <c r="O9" s="5">
        <v>751.58799999999997</v>
      </c>
      <c r="P9" s="4">
        <v>1</v>
      </c>
      <c r="Q9" s="5">
        <v>133136.861</v>
      </c>
      <c r="R9" s="5">
        <v>1361667.7180000001</v>
      </c>
      <c r="S9" s="4">
        <v>870116</v>
      </c>
    </row>
    <row r="10" spans="2:19" x14ac:dyDescent="0.3">
      <c r="B10" s="4">
        <v>2017</v>
      </c>
      <c r="C10" s="4">
        <v>6</v>
      </c>
      <c r="D10" s="3" t="s">
        <v>20</v>
      </c>
      <c r="E10" s="5">
        <v>59012.256000000001</v>
      </c>
      <c r="F10" s="5">
        <v>511914.908</v>
      </c>
      <c r="G10" s="4">
        <v>762754</v>
      </c>
      <c r="H10" s="5">
        <v>52349.228999999999</v>
      </c>
      <c r="I10" s="5">
        <v>567326.99899999995</v>
      </c>
      <c r="J10" s="4">
        <v>104362</v>
      </c>
      <c r="K10" s="5">
        <v>17127.210999999999</v>
      </c>
      <c r="L10" s="5">
        <v>250564.44699999999</v>
      </c>
      <c r="M10" s="4">
        <v>4460</v>
      </c>
      <c r="N10" s="5">
        <v>71.569999999999993</v>
      </c>
      <c r="O10" s="5">
        <v>834.33600000000001</v>
      </c>
      <c r="P10" s="4">
        <v>1</v>
      </c>
      <c r="Q10" s="5">
        <v>128560.266</v>
      </c>
      <c r="R10" s="5">
        <v>1330640.69</v>
      </c>
      <c r="S10" s="4">
        <v>871577</v>
      </c>
    </row>
    <row r="11" spans="2:19" x14ac:dyDescent="0.3">
      <c r="B11" s="4">
        <v>2017</v>
      </c>
      <c r="C11" s="4">
        <v>7</v>
      </c>
      <c r="D11" s="3" t="s">
        <v>20</v>
      </c>
      <c r="E11" s="5">
        <v>67639.659</v>
      </c>
      <c r="F11" s="5">
        <v>590015.04099999997</v>
      </c>
      <c r="G11" s="4">
        <v>763442</v>
      </c>
      <c r="H11" s="5">
        <v>55363.802000000003</v>
      </c>
      <c r="I11" s="5">
        <v>598526.15300000005</v>
      </c>
      <c r="J11" s="4">
        <v>104395</v>
      </c>
      <c r="K11" s="5">
        <v>18012.407999999999</v>
      </c>
      <c r="L11" s="5">
        <v>256104.78099999999</v>
      </c>
      <c r="M11" s="4">
        <v>4496</v>
      </c>
      <c r="N11" s="5">
        <v>73.066000000000003</v>
      </c>
      <c r="O11" s="5">
        <v>869.48800000000006</v>
      </c>
      <c r="P11" s="4">
        <v>1</v>
      </c>
      <c r="Q11" s="5">
        <v>141088.935</v>
      </c>
      <c r="R11" s="5">
        <v>1445515.463</v>
      </c>
      <c r="S11" s="4">
        <v>872334</v>
      </c>
    </row>
    <row r="12" spans="2:19" x14ac:dyDescent="0.3">
      <c r="B12" s="4">
        <v>2017</v>
      </c>
      <c r="C12" s="4">
        <v>8</v>
      </c>
      <c r="D12" s="3" t="s">
        <v>20</v>
      </c>
      <c r="E12" s="5">
        <v>78413.123000000007</v>
      </c>
      <c r="F12" s="5">
        <v>686167.89899999998</v>
      </c>
      <c r="G12" s="4">
        <v>763365</v>
      </c>
      <c r="H12" s="5">
        <v>59988.999000000003</v>
      </c>
      <c r="I12" s="5">
        <v>653731.43299999996</v>
      </c>
      <c r="J12" s="4">
        <v>104364</v>
      </c>
      <c r="K12" s="5">
        <v>20472.113000000001</v>
      </c>
      <c r="L12" s="5">
        <v>289872.29100000003</v>
      </c>
      <c r="M12" s="4">
        <v>4477</v>
      </c>
      <c r="N12" s="5">
        <v>72.905000000000001</v>
      </c>
      <c r="O12" s="5">
        <v>844.74199999999996</v>
      </c>
      <c r="P12" s="4">
        <v>1</v>
      </c>
      <c r="Q12" s="5">
        <v>158947.14000000001</v>
      </c>
      <c r="R12" s="5">
        <v>1630616.365</v>
      </c>
      <c r="S12" s="4">
        <v>872207</v>
      </c>
    </row>
    <row r="13" spans="2:19" x14ac:dyDescent="0.3">
      <c r="B13" s="4">
        <v>2017</v>
      </c>
      <c r="C13" s="4">
        <v>9</v>
      </c>
      <c r="D13" s="3" t="s">
        <v>20</v>
      </c>
      <c r="E13" s="5">
        <v>61838.858</v>
      </c>
      <c r="F13" s="5">
        <v>540908.125</v>
      </c>
      <c r="G13" s="4">
        <v>763852</v>
      </c>
      <c r="H13" s="5">
        <v>51056.167000000001</v>
      </c>
      <c r="I13" s="5">
        <v>554507.77800000005</v>
      </c>
      <c r="J13" s="4">
        <v>104478</v>
      </c>
      <c r="K13" s="5">
        <v>16824.053</v>
      </c>
      <c r="L13" s="5">
        <v>247133.85500000001</v>
      </c>
      <c r="M13" s="4">
        <v>4500</v>
      </c>
      <c r="N13" s="5">
        <v>70.435000000000002</v>
      </c>
      <c r="O13" s="5">
        <v>817.67499999999995</v>
      </c>
      <c r="P13" s="4">
        <v>1</v>
      </c>
      <c r="Q13" s="5">
        <v>129789.51300000001</v>
      </c>
      <c r="R13" s="5">
        <v>1343367.433</v>
      </c>
      <c r="S13" s="4">
        <v>872831</v>
      </c>
    </row>
    <row r="14" spans="2:19" x14ac:dyDescent="0.3">
      <c r="B14" s="4">
        <v>2017</v>
      </c>
      <c r="C14" s="4">
        <v>10</v>
      </c>
      <c r="D14" s="3" t="s">
        <v>20</v>
      </c>
      <c r="E14" s="5">
        <v>59806.052000000003</v>
      </c>
      <c r="F14" s="5">
        <v>511187.114</v>
      </c>
      <c r="G14" s="4">
        <v>764638</v>
      </c>
      <c r="H14" s="5">
        <v>52939.451999999997</v>
      </c>
      <c r="I14" s="5">
        <v>560025.85400000005</v>
      </c>
      <c r="J14" s="4">
        <v>104679</v>
      </c>
      <c r="K14" s="5">
        <v>17048.595000000001</v>
      </c>
      <c r="L14" s="5">
        <v>253658.80799999999</v>
      </c>
      <c r="M14" s="4">
        <v>4499</v>
      </c>
      <c r="N14" s="5">
        <v>66.459000000000003</v>
      </c>
      <c r="O14" s="5">
        <v>755.22400000000005</v>
      </c>
      <c r="P14" s="4">
        <v>1</v>
      </c>
      <c r="Q14" s="5">
        <v>129860.558</v>
      </c>
      <c r="R14" s="5">
        <v>1325627</v>
      </c>
      <c r="S14" s="4">
        <v>873817</v>
      </c>
    </row>
    <row r="15" spans="2:19" x14ac:dyDescent="0.3">
      <c r="B15" s="4">
        <v>2017</v>
      </c>
      <c r="C15" s="4">
        <v>11</v>
      </c>
      <c r="D15" s="3" t="s">
        <v>20</v>
      </c>
      <c r="E15" s="5">
        <v>75608.043000000005</v>
      </c>
      <c r="F15" s="5">
        <v>660141.12199999997</v>
      </c>
      <c r="G15" s="4">
        <v>765628</v>
      </c>
      <c r="H15" s="5">
        <v>52733.972000000002</v>
      </c>
      <c r="I15" s="5">
        <v>560985.85400000005</v>
      </c>
      <c r="J15" s="4">
        <v>104704</v>
      </c>
      <c r="K15" s="5">
        <v>16713.194</v>
      </c>
      <c r="L15" s="5">
        <v>251878.16800000001</v>
      </c>
      <c r="M15" s="4">
        <v>2450</v>
      </c>
      <c r="N15" s="5">
        <v>69.494</v>
      </c>
      <c r="O15" s="5">
        <v>788.31399999999996</v>
      </c>
      <c r="P15" s="4">
        <v>1</v>
      </c>
      <c r="Q15" s="5">
        <v>145124.70300000001</v>
      </c>
      <c r="R15" s="5">
        <v>1473793.4580000001</v>
      </c>
      <c r="S15" s="4">
        <v>872783</v>
      </c>
    </row>
    <row r="16" spans="2:19" x14ac:dyDescent="0.3">
      <c r="B16" s="4">
        <v>2017</v>
      </c>
      <c r="C16" s="4">
        <v>12</v>
      </c>
      <c r="D16" s="3" t="s">
        <v>20</v>
      </c>
      <c r="E16" s="5">
        <v>98957.971000000005</v>
      </c>
      <c r="F16" s="5">
        <v>881871.09900000005</v>
      </c>
      <c r="G16" s="4">
        <v>767012</v>
      </c>
      <c r="H16" s="5">
        <v>55057.358</v>
      </c>
      <c r="I16" s="5">
        <v>608342.28700000001</v>
      </c>
      <c r="J16" s="4">
        <v>104941</v>
      </c>
      <c r="K16" s="5">
        <v>16823.196</v>
      </c>
      <c r="L16" s="5">
        <v>257442.587</v>
      </c>
      <c r="M16" s="4">
        <v>2015</v>
      </c>
      <c r="N16" s="5">
        <v>76.512</v>
      </c>
      <c r="O16" s="5">
        <v>903.10500000000002</v>
      </c>
      <c r="P16" s="4">
        <v>1</v>
      </c>
      <c r="Q16" s="5">
        <v>170915.03700000001</v>
      </c>
      <c r="R16" s="5">
        <v>1748559.078</v>
      </c>
      <c r="S16" s="4">
        <v>873969</v>
      </c>
    </row>
    <row r="17" spans="2:19" x14ac:dyDescent="0.3">
      <c r="B17" s="4">
        <v>2018</v>
      </c>
      <c r="C17" s="4">
        <v>1</v>
      </c>
      <c r="D17" s="3" t="s">
        <v>20</v>
      </c>
      <c r="E17" s="5">
        <v>91240.206999999995</v>
      </c>
      <c r="F17" s="5">
        <v>782520.01800000004</v>
      </c>
      <c r="G17" s="4">
        <v>767940</v>
      </c>
      <c r="H17" s="5">
        <v>46406.432999999997</v>
      </c>
      <c r="I17" s="5">
        <v>498530.56</v>
      </c>
      <c r="J17" s="4">
        <v>104919</v>
      </c>
      <c r="K17" s="5">
        <v>14495.68</v>
      </c>
      <c r="L17" s="5">
        <v>221927.58199999999</v>
      </c>
      <c r="M17" s="4">
        <v>1910</v>
      </c>
      <c r="N17" s="5">
        <v>91.186999999999998</v>
      </c>
      <c r="O17" s="5">
        <v>1109.117</v>
      </c>
      <c r="P17" s="4">
        <v>1</v>
      </c>
      <c r="Q17" s="5">
        <v>152233.50700000001</v>
      </c>
      <c r="R17" s="5">
        <v>1504087.277</v>
      </c>
      <c r="S17" s="4">
        <v>874770</v>
      </c>
    </row>
    <row r="18" spans="2:19" x14ac:dyDescent="0.3">
      <c r="B18" s="4">
        <v>2018</v>
      </c>
      <c r="C18" s="4">
        <v>2</v>
      </c>
      <c r="D18" s="3" t="s">
        <v>20</v>
      </c>
      <c r="E18" s="5">
        <v>80111.555999999997</v>
      </c>
      <c r="F18" s="5">
        <v>667419.772</v>
      </c>
      <c r="G18" s="4">
        <v>768875</v>
      </c>
      <c r="H18" s="5">
        <v>53100.110999999997</v>
      </c>
      <c r="I18" s="5">
        <v>564395.5</v>
      </c>
      <c r="J18" s="4">
        <v>105115</v>
      </c>
      <c r="K18" s="5">
        <v>14848.245999999999</v>
      </c>
      <c r="L18" s="5">
        <v>233086.74799999999</v>
      </c>
      <c r="M18" s="4">
        <v>1873</v>
      </c>
      <c r="N18" s="5">
        <v>75.602000000000004</v>
      </c>
      <c r="O18" s="5">
        <v>887.12699999999995</v>
      </c>
      <c r="P18" s="4">
        <v>1</v>
      </c>
      <c r="Q18" s="5">
        <v>148135.51500000001</v>
      </c>
      <c r="R18" s="5">
        <v>1465789.1470000001</v>
      </c>
      <c r="S18" s="4">
        <v>875864</v>
      </c>
    </row>
    <row r="19" spans="2:19" x14ac:dyDescent="0.3">
      <c r="B19" s="4">
        <v>2018</v>
      </c>
      <c r="C19" s="4">
        <v>3</v>
      </c>
      <c r="D19" s="3" t="s">
        <v>20</v>
      </c>
      <c r="E19" s="5">
        <v>80997.766000000003</v>
      </c>
      <c r="F19" s="5">
        <v>683257.18400000001</v>
      </c>
      <c r="G19" s="4">
        <v>769843</v>
      </c>
      <c r="H19" s="5">
        <v>49232.135000000002</v>
      </c>
      <c r="I19" s="5">
        <v>519856.11</v>
      </c>
      <c r="J19" s="4">
        <v>105074</v>
      </c>
      <c r="K19" s="5">
        <v>14451.011</v>
      </c>
      <c r="L19" s="5">
        <v>225466.96400000001</v>
      </c>
      <c r="M19" s="4">
        <v>1915</v>
      </c>
      <c r="N19" s="5">
        <v>79.870999999999995</v>
      </c>
      <c r="O19" s="5">
        <v>942.37199999999996</v>
      </c>
      <c r="P19" s="4">
        <v>1</v>
      </c>
      <c r="Q19" s="5">
        <v>144760.783</v>
      </c>
      <c r="R19" s="5">
        <v>1429522.63</v>
      </c>
      <c r="S19" s="4">
        <v>876833</v>
      </c>
    </row>
    <row r="20" spans="2:19" x14ac:dyDescent="0.3">
      <c r="B20" s="4">
        <v>2018</v>
      </c>
      <c r="C20" s="4">
        <v>4</v>
      </c>
      <c r="D20" s="3" t="s">
        <v>20</v>
      </c>
      <c r="E20" s="5">
        <v>71988.385999999999</v>
      </c>
      <c r="F20" s="5">
        <v>598978.50899999996</v>
      </c>
      <c r="G20" s="4">
        <v>770784</v>
      </c>
      <c r="H20" s="5">
        <v>52185.519</v>
      </c>
      <c r="I20" s="5">
        <v>541698.12</v>
      </c>
      <c r="J20" s="4">
        <v>105346</v>
      </c>
      <c r="K20" s="5">
        <v>15036.092000000001</v>
      </c>
      <c r="L20" s="5">
        <v>230827.54399999999</v>
      </c>
      <c r="M20" s="4">
        <v>1999</v>
      </c>
      <c r="N20" s="5">
        <v>73.600999999999999</v>
      </c>
      <c r="O20" s="5">
        <v>853.51599999999996</v>
      </c>
      <c r="P20" s="4">
        <v>1</v>
      </c>
      <c r="Q20" s="5">
        <v>139283.598</v>
      </c>
      <c r="R20" s="5">
        <v>1372357.689</v>
      </c>
      <c r="S20" s="4">
        <v>878130</v>
      </c>
    </row>
    <row r="21" spans="2:19" x14ac:dyDescent="0.3">
      <c r="B21" s="4">
        <v>2018</v>
      </c>
      <c r="C21" s="4">
        <v>5</v>
      </c>
      <c r="D21" s="3" t="s">
        <v>20</v>
      </c>
      <c r="E21" s="5">
        <v>64791.546000000002</v>
      </c>
      <c r="F21" s="5">
        <v>531853.49800000002</v>
      </c>
      <c r="G21" s="4">
        <v>799709</v>
      </c>
      <c r="H21" s="5">
        <v>48646.421000000002</v>
      </c>
      <c r="I21" s="5">
        <v>509128.16</v>
      </c>
      <c r="J21" s="4">
        <v>110615</v>
      </c>
      <c r="K21" s="5">
        <v>16130.892</v>
      </c>
      <c r="L21" s="5">
        <v>246447.71799999999</v>
      </c>
      <c r="M21" s="4">
        <v>4260</v>
      </c>
      <c r="N21" s="5">
        <v>70.558999999999997</v>
      </c>
      <c r="O21" s="5">
        <v>848.76900000000001</v>
      </c>
      <c r="P21" s="4">
        <v>1</v>
      </c>
      <c r="Q21" s="5">
        <v>129639.41800000001</v>
      </c>
      <c r="R21" s="5">
        <v>1288278.145</v>
      </c>
      <c r="S21" s="4">
        <v>914585</v>
      </c>
    </row>
    <row r="22" spans="2:19" x14ac:dyDescent="0.3">
      <c r="B22" s="4">
        <v>2018</v>
      </c>
      <c r="C22" s="4">
        <v>6</v>
      </c>
      <c r="D22" s="3" t="s">
        <v>20</v>
      </c>
      <c r="E22" s="5">
        <v>57746.981</v>
      </c>
      <c r="F22" s="5">
        <v>481480.29</v>
      </c>
      <c r="G22" s="4">
        <v>800797</v>
      </c>
      <c r="H22" s="5">
        <v>59886.637000000002</v>
      </c>
      <c r="I22" s="5">
        <v>590770.64</v>
      </c>
      <c r="J22" s="4">
        <v>118931</v>
      </c>
      <c r="K22" s="5">
        <v>9407.0360000000001</v>
      </c>
      <c r="L22" s="5">
        <v>202256.16500000001</v>
      </c>
      <c r="M22" s="4">
        <v>4334</v>
      </c>
      <c r="N22" s="5">
        <v>69.900000000000006</v>
      </c>
      <c r="O22" s="5">
        <v>847.35799999999995</v>
      </c>
      <c r="P22" s="4">
        <v>1</v>
      </c>
      <c r="Q22" s="5">
        <v>127110.554</v>
      </c>
      <c r="R22" s="5">
        <v>1275354.453</v>
      </c>
      <c r="S22" s="4">
        <v>924063</v>
      </c>
    </row>
    <row r="23" spans="2:19" x14ac:dyDescent="0.3">
      <c r="B23" s="4">
        <v>2018</v>
      </c>
      <c r="C23" s="4">
        <v>7</v>
      </c>
      <c r="D23" s="3" t="s">
        <v>20</v>
      </c>
      <c r="E23" s="5">
        <v>76021.555999999997</v>
      </c>
      <c r="F23" s="5">
        <v>605692.41</v>
      </c>
      <c r="G23" s="4">
        <v>773399</v>
      </c>
      <c r="H23" s="5">
        <v>68469.447</v>
      </c>
      <c r="I23" s="5">
        <v>648637.1</v>
      </c>
      <c r="J23" s="4">
        <v>105917</v>
      </c>
      <c r="K23" s="5">
        <v>7117.5680000000002</v>
      </c>
      <c r="L23" s="5">
        <v>349046.21500000003</v>
      </c>
      <c r="M23" s="4">
        <v>4284</v>
      </c>
      <c r="N23" s="5">
        <v>69.697999999999993</v>
      </c>
      <c r="O23" s="5">
        <v>839.36199999999997</v>
      </c>
      <c r="P23" s="4">
        <v>1</v>
      </c>
      <c r="Q23" s="5">
        <v>151678.269</v>
      </c>
      <c r="R23" s="5">
        <v>1604215.0870000001</v>
      </c>
      <c r="S23" s="4">
        <v>883601</v>
      </c>
    </row>
    <row r="24" spans="2:19" x14ac:dyDescent="0.3">
      <c r="B24" s="4">
        <v>2018</v>
      </c>
      <c r="C24" s="4">
        <v>8</v>
      </c>
      <c r="D24" s="3" t="s">
        <v>20</v>
      </c>
      <c r="E24" s="5">
        <v>74373.244000000006</v>
      </c>
      <c r="F24" s="5">
        <v>626326.62199999997</v>
      </c>
      <c r="G24" s="4">
        <v>774482</v>
      </c>
      <c r="H24" s="5">
        <v>65685.535000000003</v>
      </c>
      <c r="I24" s="5">
        <v>621799.89</v>
      </c>
      <c r="J24" s="4">
        <v>105871</v>
      </c>
      <c r="K24" s="5">
        <v>12472.804</v>
      </c>
      <c r="L24" s="5">
        <v>300167.88400000002</v>
      </c>
      <c r="M24" s="4">
        <v>4278</v>
      </c>
      <c r="N24" s="5">
        <v>78.004999999999995</v>
      </c>
      <c r="O24" s="5">
        <v>979.51099999999997</v>
      </c>
      <c r="P24" s="4">
        <v>1</v>
      </c>
      <c r="Q24" s="5">
        <v>152609.58799999999</v>
      </c>
      <c r="R24" s="5">
        <v>1549273.9069999999</v>
      </c>
      <c r="S24" s="4">
        <v>884632</v>
      </c>
    </row>
    <row r="25" spans="2:19" x14ac:dyDescent="0.3">
      <c r="B25" s="4">
        <v>2018</v>
      </c>
      <c r="C25" s="4">
        <v>9</v>
      </c>
      <c r="D25" s="3" t="s">
        <v>20</v>
      </c>
      <c r="E25" s="5">
        <v>58496.447</v>
      </c>
      <c r="F25" s="5">
        <v>479418.86200000002</v>
      </c>
      <c r="G25" s="4">
        <v>768589</v>
      </c>
      <c r="H25" s="5">
        <v>24772.633000000002</v>
      </c>
      <c r="I25" s="5">
        <v>552936.30000000005</v>
      </c>
      <c r="J25" s="4">
        <v>104753</v>
      </c>
      <c r="K25" s="5">
        <v>45542.646000000001</v>
      </c>
      <c r="L25" s="5">
        <v>276401.49400000001</v>
      </c>
      <c r="M25" s="4">
        <v>4264</v>
      </c>
      <c r="N25" s="5">
        <v>73.295000000000002</v>
      </c>
      <c r="O25" s="5">
        <v>888.38099999999997</v>
      </c>
      <c r="P25" s="4">
        <v>1</v>
      </c>
      <c r="Q25" s="5">
        <v>128885.02099999999</v>
      </c>
      <c r="R25" s="5">
        <v>1309645.037</v>
      </c>
      <c r="S25" s="4">
        <v>877607</v>
      </c>
    </row>
    <row r="26" spans="2:19" x14ac:dyDescent="0.3">
      <c r="B26" s="4">
        <v>2018</v>
      </c>
      <c r="C26" s="4">
        <v>10</v>
      </c>
      <c r="D26" s="3" t="s">
        <v>20</v>
      </c>
      <c r="E26" s="5">
        <v>61711.96</v>
      </c>
      <c r="F26" s="5">
        <v>500522.51199999999</v>
      </c>
      <c r="G26" s="4">
        <v>774532</v>
      </c>
      <c r="H26" s="5">
        <v>56653.752999999997</v>
      </c>
      <c r="I26" s="5">
        <v>596074.87</v>
      </c>
      <c r="J26" s="4">
        <v>105857</v>
      </c>
      <c r="K26" s="5">
        <v>17766.46</v>
      </c>
      <c r="L26" s="5">
        <v>268421.53499999997</v>
      </c>
      <c r="M26" s="4">
        <v>4279</v>
      </c>
      <c r="N26" s="5">
        <v>69.021000000000001</v>
      </c>
      <c r="O26" s="5">
        <v>819.66099999999994</v>
      </c>
      <c r="P26" s="4">
        <v>1</v>
      </c>
      <c r="Q26" s="5">
        <v>136201.19399999999</v>
      </c>
      <c r="R26" s="5">
        <v>1365838.578</v>
      </c>
      <c r="S26" s="4">
        <v>884669</v>
      </c>
    </row>
    <row r="27" spans="2:19" x14ac:dyDescent="0.3">
      <c r="B27" s="4">
        <v>2018</v>
      </c>
      <c r="C27" s="4">
        <v>11</v>
      </c>
      <c r="D27" s="3" t="s">
        <v>20</v>
      </c>
      <c r="E27" s="5">
        <v>75299.760999999999</v>
      </c>
      <c r="F27" s="5">
        <v>627928.25</v>
      </c>
      <c r="G27" s="4">
        <v>775802</v>
      </c>
      <c r="H27" s="5">
        <v>51027.089</v>
      </c>
      <c r="I27" s="5">
        <v>528298.64</v>
      </c>
      <c r="J27" s="4">
        <v>105885</v>
      </c>
      <c r="K27" s="5">
        <v>15808.378000000001</v>
      </c>
      <c r="L27" s="5">
        <v>255094.739</v>
      </c>
      <c r="M27" s="4">
        <v>4279</v>
      </c>
      <c r="N27" s="5">
        <v>71.724999999999994</v>
      </c>
      <c r="O27" s="5">
        <v>867.31600000000003</v>
      </c>
      <c r="P27" s="4">
        <v>1</v>
      </c>
      <c r="Q27" s="5">
        <v>142206.95300000001</v>
      </c>
      <c r="R27" s="5">
        <v>1412188.9450000001</v>
      </c>
      <c r="S27" s="4">
        <v>885967</v>
      </c>
    </row>
    <row r="28" spans="2:19" x14ac:dyDescent="0.3">
      <c r="B28" s="4">
        <v>2018</v>
      </c>
      <c r="C28" s="4">
        <v>12</v>
      </c>
      <c r="D28" s="3" t="s">
        <v>20</v>
      </c>
      <c r="E28" s="5">
        <v>97597.187000000005</v>
      </c>
      <c r="F28" s="5">
        <v>830360.63100000005</v>
      </c>
      <c r="G28" s="4">
        <v>776207</v>
      </c>
      <c r="H28" s="5">
        <v>52203.764000000003</v>
      </c>
      <c r="I28" s="5">
        <v>556357.34</v>
      </c>
      <c r="J28" s="4">
        <v>109021</v>
      </c>
      <c r="K28" s="5">
        <v>14874.009</v>
      </c>
      <c r="L28" s="5">
        <v>232755.576</v>
      </c>
      <c r="M28" s="4">
        <v>4493</v>
      </c>
      <c r="N28" s="5">
        <v>82.375</v>
      </c>
      <c r="O28" s="5">
        <v>997.09299999999996</v>
      </c>
      <c r="P28" s="4">
        <v>1</v>
      </c>
      <c r="Q28" s="5">
        <v>164757.33499999999</v>
      </c>
      <c r="R28" s="5">
        <v>1620470.64</v>
      </c>
      <c r="S28" s="4">
        <v>889722</v>
      </c>
    </row>
    <row r="29" spans="2:19" x14ac:dyDescent="0.3">
      <c r="B29" s="4">
        <v>2019</v>
      </c>
      <c r="C29" s="4">
        <v>1</v>
      </c>
      <c r="D29" s="3" t="s">
        <v>20</v>
      </c>
      <c r="E29" s="5">
        <v>91499.472999999998</v>
      </c>
      <c r="F29" s="5">
        <v>768677.51399999997</v>
      </c>
      <c r="G29" s="4">
        <v>776211</v>
      </c>
      <c r="H29" s="5">
        <v>49482.239000000001</v>
      </c>
      <c r="I29" s="5">
        <v>537564.37</v>
      </c>
      <c r="J29" s="4">
        <v>105586</v>
      </c>
      <c r="K29" s="5">
        <v>16771.735000000001</v>
      </c>
      <c r="L29" s="5">
        <v>276352.84399999998</v>
      </c>
      <c r="M29" s="4">
        <v>4496</v>
      </c>
      <c r="N29" s="5">
        <v>83.41</v>
      </c>
      <c r="O29" s="5">
        <v>1003.151</v>
      </c>
      <c r="P29" s="4">
        <v>1</v>
      </c>
      <c r="Q29" s="5">
        <v>157836.85699999999</v>
      </c>
      <c r="R29" s="5">
        <v>1583597.879</v>
      </c>
      <c r="S29" s="4">
        <v>886294</v>
      </c>
    </row>
    <row r="30" spans="2:19" x14ac:dyDescent="0.3">
      <c r="B30" s="4">
        <v>2019</v>
      </c>
      <c r="C30" s="4">
        <v>2</v>
      </c>
      <c r="D30" s="3" t="s">
        <v>20</v>
      </c>
      <c r="E30" s="5">
        <v>94720.198999999993</v>
      </c>
      <c r="F30" s="5">
        <v>773899.80900000001</v>
      </c>
      <c r="G30" s="4">
        <v>775816</v>
      </c>
      <c r="H30" s="5">
        <v>53355.442999999999</v>
      </c>
      <c r="I30" s="5">
        <v>560381.73699999996</v>
      </c>
      <c r="J30" s="4">
        <v>105375</v>
      </c>
      <c r="K30" s="5">
        <v>14522.416999999999</v>
      </c>
      <c r="L30" s="5">
        <v>223376.55600000001</v>
      </c>
      <c r="M30" s="4">
        <v>4454</v>
      </c>
      <c r="N30" s="5">
        <v>91.188000000000002</v>
      </c>
      <c r="O30" s="5">
        <v>1109.117</v>
      </c>
      <c r="P30" s="4">
        <v>1</v>
      </c>
      <c r="Q30" s="5">
        <v>162689.247</v>
      </c>
      <c r="R30" s="5">
        <v>1558767.219</v>
      </c>
      <c r="S30" s="4">
        <v>885646</v>
      </c>
    </row>
    <row r="31" spans="2:19" x14ac:dyDescent="0.3">
      <c r="B31" s="4">
        <v>2019</v>
      </c>
      <c r="C31" s="4">
        <v>3</v>
      </c>
      <c r="D31" s="3" t="s">
        <v>20</v>
      </c>
      <c r="E31" s="5">
        <v>86193.101999999999</v>
      </c>
      <c r="F31" s="5">
        <v>713455.68400000001</v>
      </c>
      <c r="G31" s="4">
        <v>776175</v>
      </c>
      <c r="H31" s="5">
        <v>49587.404999999999</v>
      </c>
      <c r="I31" s="5">
        <v>529537.32400000002</v>
      </c>
      <c r="J31" s="4">
        <v>105493</v>
      </c>
      <c r="K31" s="5">
        <v>12972.147000000001</v>
      </c>
      <c r="L31" s="5">
        <v>208460.52900000001</v>
      </c>
      <c r="M31" s="4">
        <v>4438</v>
      </c>
      <c r="N31" s="5">
        <v>85.034000000000006</v>
      </c>
      <c r="O31" s="5">
        <v>1032.652</v>
      </c>
      <c r="P31" s="4">
        <v>1</v>
      </c>
      <c r="Q31" s="5">
        <v>148837.68799999999</v>
      </c>
      <c r="R31" s="5">
        <v>1452486.189</v>
      </c>
      <c r="S31" s="4">
        <v>886107</v>
      </c>
    </row>
    <row r="32" spans="2:19" x14ac:dyDescent="0.3">
      <c r="B32" s="4">
        <v>2019</v>
      </c>
      <c r="C32" s="4">
        <v>4</v>
      </c>
      <c r="D32" s="3" t="s">
        <v>20</v>
      </c>
      <c r="E32" s="5">
        <v>64534.17</v>
      </c>
      <c r="F32" s="5">
        <v>513872</v>
      </c>
      <c r="G32" s="4">
        <v>777313</v>
      </c>
      <c r="H32" s="5">
        <v>50794.538999999997</v>
      </c>
      <c r="I32" s="5">
        <v>517706.88199999998</v>
      </c>
      <c r="J32" s="4">
        <v>105046</v>
      </c>
      <c r="K32" s="5">
        <v>18759.121999999999</v>
      </c>
      <c r="L32" s="5">
        <v>300418.489</v>
      </c>
      <c r="M32" s="4">
        <v>4312</v>
      </c>
      <c r="N32" s="5">
        <v>71.590999999999994</v>
      </c>
      <c r="O32" s="5">
        <v>828.11400000000003</v>
      </c>
      <c r="P32" s="4">
        <v>1</v>
      </c>
      <c r="Q32" s="5">
        <v>134159.42199999999</v>
      </c>
      <c r="R32" s="5">
        <v>1332825.4850000001</v>
      </c>
      <c r="S32" s="4">
        <v>886672</v>
      </c>
    </row>
    <row r="33" spans="2:19" x14ac:dyDescent="0.3">
      <c r="B33" s="4">
        <v>2019</v>
      </c>
      <c r="C33" s="4">
        <v>5</v>
      </c>
      <c r="D33" s="3" t="s">
        <v>20</v>
      </c>
      <c r="E33" s="5">
        <v>63761.36</v>
      </c>
      <c r="F33" s="5">
        <v>505095.58600000001</v>
      </c>
      <c r="G33" s="4">
        <v>777198</v>
      </c>
      <c r="H33" s="5">
        <v>52839.093000000001</v>
      </c>
      <c r="I33" s="5">
        <v>542632.48600000003</v>
      </c>
      <c r="J33" s="4">
        <v>105121</v>
      </c>
      <c r="K33" s="5">
        <v>15558.939</v>
      </c>
      <c r="L33" s="5">
        <v>240850.274</v>
      </c>
      <c r="M33" s="4">
        <v>4413</v>
      </c>
      <c r="N33" s="5">
        <v>67.412999999999997</v>
      </c>
      <c r="O33" s="5">
        <v>796.02800000000002</v>
      </c>
      <c r="P33" s="4">
        <v>1</v>
      </c>
      <c r="Q33" s="5">
        <v>132226.80499999999</v>
      </c>
      <c r="R33" s="5">
        <v>1289374.3740000001</v>
      </c>
      <c r="S33" s="4">
        <v>886733</v>
      </c>
    </row>
    <row r="34" spans="2:19" x14ac:dyDescent="0.3">
      <c r="B34" s="4">
        <v>2019</v>
      </c>
      <c r="C34" s="4">
        <v>6</v>
      </c>
      <c r="D34" s="3" t="s">
        <v>20</v>
      </c>
      <c r="E34" s="5">
        <v>62970.71</v>
      </c>
      <c r="F34" s="5">
        <v>507298.321</v>
      </c>
      <c r="G34" s="4">
        <v>778181</v>
      </c>
      <c r="H34" s="5">
        <v>50661.053</v>
      </c>
      <c r="I34" s="5">
        <v>550420.36699999997</v>
      </c>
      <c r="J34" s="4">
        <v>104905</v>
      </c>
      <c r="K34" s="5">
        <v>18172.007000000001</v>
      </c>
      <c r="L34" s="5">
        <v>277584.65000000002</v>
      </c>
      <c r="M34" s="4">
        <v>4348</v>
      </c>
      <c r="N34" s="5">
        <v>70.225999999999999</v>
      </c>
      <c r="O34" s="5">
        <v>805.93700000000001</v>
      </c>
      <c r="P34" s="4">
        <v>1</v>
      </c>
      <c r="Q34" s="5">
        <v>131873.99600000001</v>
      </c>
      <c r="R34" s="5">
        <v>1336109.2749999999</v>
      </c>
      <c r="S34" s="4">
        <v>887435</v>
      </c>
    </row>
    <row r="35" spans="2:19" x14ac:dyDescent="0.3">
      <c r="B35" s="4">
        <v>2019</v>
      </c>
      <c r="C35" s="4">
        <v>7</v>
      </c>
      <c r="D35" s="3" t="s">
        <v>20</v>
      </c>
      <c r="E35" s="5">
        <v>68112.264999999999</v>
      </c>
      <c r="F35" s="5">
        <v>546106.73300000001</v>
      </c>
      <c r="G35" s="4">
        <v>780838</v>
      </c>
      <c r="H35" s="5">
        <v>55205.934000000001</v>
      </c>
      <c r="I35" s="5">
        <v>584129.64099999995</v>
      </c>
      <c r="J35" s="4">
        <v>105362</v>
      </c>
      <c r="K35" s="5">
        <v>19102.524000000001</v>
      </c>
      <c r="L35" s="5">
        <v>287313.32900000003</v>
      </c>
      <c r="M35" s="4">
        <v>4397</v>
      </c>
      <c r="N35" s="5">
        <v>73.382000000000005</v>
      </c>
      <c r="O35" s="5">
        <v>864.17</v>
      </c>
      <c r="P35" s="4">
        <v>1</v>
      </c>
      <c r="Q35" s="5">
        <v>142494.10500000001</v>
      </c>
      <c r="R35" s="5">
        <v>1418413.8729999999</v>
      </c>
      <c r="S35" s="4">
        <v>890598</v>
      </c>
    </row>
    <row r="36" spans="2:19" x14ac:dyDescent="0.3">
      <c r="B36" s="4">
        <v>2019</v>
      </c>
      <c r="C36" s="4">
        <v>8</v>
      </c>
      <c r="D36" s="3" t="s">
        <v>20</v>
      </c>
      <c r="E36" s="5">
        <v>73153.982000000004</v>
      </c>
      <c r="F36" s="5">
        <v>592229.25300000003</v>
      </c>
      <c r="G36" s="4">
        <v>780897</v>
      </c>
      <c r="H36" s="5">
        <v>54743.821000000004</v>
      </c>
      <c r="I36" s="5">
        <v>589167.34600000002</v>
      </c>
      <c r="J36" s="4">
        <v>105529</v>
      </c>
      <c r="K36" s="5">
        <v>21233.594000000001</v>
      </c>
      <c r="L36" s="5">
        <v>321523.38799999998</v>
      </c>
      <c r="M36" s="4">
        <v>4408</v>
      </c>
      <c r="N36" s="5">
        <v>69.441999999999993</v>
      </c>
      <c r="O36" s="5">
        <v>827.46</v>
      </c>
      <c r="P36" s="4">
        <v>1</v>
      </c>
      <c r="Q36" s="5">
        <v>149200.83900000001</v>
      </c>
      <c r="R36" s="5">
        <v>1503747.4469999999</v>
      </c>
      <c r="S36" s="4">
        <v>890835</v>
      </c>
    </row>
    <row r="37" spans="2:19" x14ac:dyDescent="0.3">
      <c r="B37" s="4">
        <v>2019</v>
      </c>
      <c r="C37" s="4">
        <v>9</v>
      </c>
      <c r="D37" s="3" t="s">
        <v>20</v>
      </c>
      <c r="E37" s="5">
        <v>63216.330999999998</v>
      </c>
      <c r="F37" s="5">
        <v>507424.86900000001</v>
      </c>
      <c r="G37" s="4">
        <v>781935</v>
      </c>
      <c r="H37" s="5">
        <v>48157.33</v>
      </c>
      <c r="I37" s="5">
        <v>519333.64199999999</v>
      </c>
      <c r="J37" s="4">
        <v>105283</v>
      </c>
      <c r="K37" s="5">
        <v>16982.507000000001</v>
      </c>
      <c r="L37" s="5">
        <v>256062.07999999999</v>
      </c>
      <c r="M37" s="4">
        <v>4362</v>
      </c>
      <c r="N37" s="5">
        <v>70.036000000000001</v>
      </c>
      <c r="O37" s="5">
        <v>827.46500000000003</v>
      </c>
      <c r="P37" s="4">
        <v>1</v>
      </c>
      <c r="Q37" s="5">
        <v>128426.204</v>
      </c>
      <c r="R37" s="5">
        <v>1283648.0560000001</v>
      </c>
      <c r="S37" s="4">
        <v>891581</v>
      </c>
    </row>
    <row r="38" spans="2:19" x14ac:dyDescent="0.3">
      <c r="B38" s="4">
        <v>2019</v>
      </c>
      <c r="C38" s="4">
        <v>10</v>
      </c>
      <c r="D38" s="3" t="s">
        <v>20</v>
      </c>
      <c r="E38" s="5">
        <v>69495.214000000007</v>
      </c>
      <c r="F38" s="5">
        <v>554965.56999999995</v>
      </c>
      <c r="G38" s="4">
        <v>782818</v>
      </c>
      <c r="H38" s="5">
        <v>53883.64</v>
      </c>
      <c r="I38" s="5">
        <v>563731.85699999996</v>
      </c>
      <c r="J38" s="4">
        <v>105328</v>
      </c>
      <c r="K38" s="5">
        <v>19897.341</v>
      </c>
      <c r="L38" s="5">
        <v>316650.26299999998</v>
      </c>
      <c r="M38" s="4">
        <v>4356</v>
      </c>
      <c r="N38" s="5">
        <v>71.703000000000003</v>
      </c>
      <c r="O38" s="5">
        <v>870.38300000000004</v>
      </c>
      <c r="P38" s="4">
        <v>1</v>
      </c>
      <c r="Q38" s="5">
        <v>143347.89799999999</v>
      </c>
      <c r="R38" s="5">
        <v>1436218.0730000001</v>
      </c>
      <c r="S38" s="4">
        <v>892503</v>
      </c>
    </row>
    <row r="39" spans="2:19" x14ac:dyDescent="0.3">
      <c r="B39" s="4">
        <v>2019</v>
      </c>
      <c r="C39" s="4">
        <v>11</v>
      </c>
      <c r="D39" s="3" t="s">
        <v>20</v>
      </c>
      <c r="E39" s="5">
        <v>82950.042000000001</v>
      </c>
      <c r="F39" s="5">
        <v>678625.65700000001</v>
      </c>
      <c r="G39" s="4">
        <v>783933</v>
      </c>
      <c r="H39" s="5">
        <v>50537.209000000003</v>
      </c>
      <c r="I39" s="5">
        <v>531702.56499999994</v>
      </c>
      <c r="J39" s="4">
        <v>105460</v>
      </c>
      <c r="K39" s="5">
        <v>15586.056</v>
      </c>
      <c r="L39" s="5">
        <v>249626.47099999999</v>
      </c>
      <c r="M39" s="4">
        <v>4314</v>
      </c>
      <c r="N39" s="5">
        <v>68.653000000000006</v>
      </c>
      <c r="O39" s="5">
        <v>820.53099999999995</v>
      </c>
      <c r="P39" s="4">
        <v>1</v>
      </c>
      <c r="Q39" s="5">
        <v>149141.96</v>
      </c>
      <c r="R39" s="5">
        <v>1460775.2239999999</v>
      </c>
      <c r="S39" s="4">
        <v>893708</v>
      </c>
    </row>
    <row r="40" spans="2:19" x14ac:dyDescent="0.3">
      <c r="B40" s="4">
        <v>2019</v>
      </c>
      <c r="C40" s="4">
        <v>12</v>
      </c>
      <c r="D40" s="3" t="s">
        <v>20</v>
      </c>
      <c r="E40" s="5">
        <v>97185.486999999994</v>
      </c>
      <c r="F40" s="5">
        <v>809417.78300000005</v>
      </c>
      <c r="G40" s="4">
        <v>784756</v>
      </c>
      <c r="H40" s="5">
        <v>50629.275000000001</v>
      </c>
      <c r="I40" s="5">
        <v>550476.01100000006</v>
      </c>
      <c r="J40" s="4">
        <v>105505</v>
      </c>
      <c r="K40" s="5">
        <v>17623.112000000001</v>
      </c>
      <c r="L40" s="5">
        <v>287875.62900000002</v>
      </c>
      <c r="M40" s="4">
        <v>4275</v>
      </c>
      <c r="N40" s="5">
        <v>78.662000000000006</v>
      </c>
      <c r="O40" s="5">
        <v>957.59799999999996</v>
      </c>
      <c r="P40" s="4">
        <v>1</v>
      </c>
      <c r="Q40" s="5">
        <v>165516.53599999999</v>
      </c>
      <c r="R40" s="5">
        <v>1648727.0209999999</v>
      </c>
      <c r="S40" s="4">
        <v>894537</v>
      </c>
    </row>
    <row r="41" spans="2:19" x14ac:dyDescent="0.3">
      <c r="B41" s="4">
        <v>2020</v>
      </c>
      <c r="C41" s="4">
        <v>1</v>
      </c>
      <c r="D41" s="3" t="s">
        <v>20</v>
      </c>
      <c r="E41" s="5">
        <v>92440.289000000004</v>
      </c>
      <c r="F41" s="5">
        <v>757300.19</v>
      </c>
      <c r="G41" s="4">
        <v>786566</v>
      </c>
      <c r="H41" s="5">
        <v>52179.531999999999</v>
      </c>
      <c r="I41" s="5">
        <v>548408.44799999997</v>
      </c>
      <c r="J41" s="4">
        <v>105944</v>
      </c>
      <c r="K41" s="5">
        <v>16902.735000000001</v>
      </c>
      <c r="L41" s="5">
        <v>273213.91600000003</v>
      </c>
      <c r="M41" s="4">
        <v>4328</v>
      </c>
      <c r="N41" s="5">
        <v>80.521000000000001</v>
      </c>
      <c r="O41" s="5">
        <v>974.31299999999999</v>
      </c>
      <c r="P41" s="4">
        <v>1</v>
      </c>
      <c r="Q41" s="5">
        <v>161603.07699999999</v>
      </c>
      <c r="R41" s="5">
        <v>1579896.8670000001</v>
      </c>
      <c r="S41" s="4">
        <v>896839</v>
      </c>
    </row>
    <row r="42" spans="2:19" x14ac:dyDescent="0.3">
      <c r="B42" s="4">
        <v>2020</v>
      </c>
      <c r="C42" s="4">
        <v>2</v>
      </c>
      <c r="D42" s="3" t="s">
        <v>20</v>
      </c>
      <c r="E42" s="5">
        <v>84547.676999999996</v>
      </c>
      <c r="F42" s="5">
        <v>677783.65399999998</v>
      </c>
      <c r="G42" s="4">
        <v>786566</v>
      </c>
      <c r="H42" s="5">
        <v>52499.938000000002</v>
      </c>
      <c r="I42" s="5">
        <v>535874.27399999998</v>
      </c>
      <c r="J42" s="4">
        <v>105944</v>
      </c>
      <c r="K42" s="5">
        <v>17953.333999999999</v>
      </c>
      <c r="L42" s="5">
        <v>276985.32799999998</v>
      </c>
      <c r="M42" s="4">
        <v>4328</v>
      </c>
      <c r="N42" s="5">
        <v>76.293999999999997</v>
      </c>
      <c r="O42" s="5">
        <v>854.08199999999999</v>
      </c>
      <c r="P42" s="4">
        <v>1</v>
      </c>
      <c r="Q42" s="5">
        <v>155077.24299999999</v>
      </c>
      <c r="R42" s="5">
        <v>1491497.338</v>
      </c>
      <c r="S42" s="4">
        <v>896839</v>
      </c>
    </row>
    <row r="43" spans="2:19" x14ac:dyDescent="0.3">
      <c r="B43" s="4">
        <v>2020</v>
      </c>
      <c r="C43" s="4">
        <v>3</v>
      </c>
      <c r="D43" s="3" t="s">
        <v>20</v>
      </c>
      <c r="E43" s="5">
        <v>86584.133000000002</v>
      </c>
      <c r="F43" s="5">
        <v>695797.45700000005</v>
      </c>
      <c r="G43" s="4">
        <v>788154</v>
      </c>
      <c r="H43" s="5">
        <v>52332.945</v>
      </c>
      <c r="I43" s="5">
        <v>537419.40099999995</v>
      </c>
      <c r="J43" s="4">
        <v>105942</v>
      </c>
      <c r="K43" s="5">
        <v>16863.315999999999</v>
      </c>
      <c r="L43" s="5">
        <v>261325.28</v>
      </c>
      <c r="M43" s="4">
        <v>4313</v>
      </c>
      <c r="N43" s="5">
        <v>76.116</v>
      </c>
      <c r="O43" s="5">
        <v>850.58699999999999</v>
      </c>
      <c r="P43" s="4">
        <v>1</v>
      </c>
      <c r="Q43" s="5">
        <v>155856.51</v>
      </c>
      <c r="R43" s="5">
        <v>1495392.7250000001</v>
      </c>
      <c r="S43" s="4">
        <v>898410</v>
      </c>
    </row>
    <row r="44" spans="2:19" x14ac:dyDescent="0.3">
      <c r="B44" s="4">
        <v>2020</v>
      </c>
      <c r="C44" s="4">
        <v>4</v>
      </c>
      <c r="D44" s="3" t="s">
        <v>20</v>
      </c>
      <c r="E44" s="5">
        <v>72607.039000000004</v>
      </c>
      <c r="F44" s="5">
        <v>578296.55500000005</v>
      </c>
      <c r="G44" s="4">
        <v>789341</v>
      </c>
      <c r="H44" s="5">
        <v>42568.75</v>
      </c>
      <c r="I44" s="5">
        <v>421234.37699999998</v>
      </c>
      <c r="J44" s="4">
        <v>106109</v>
      </c>
      <c r="K44" s="5">
        <v>17340.04</v>
      </c>
      <c r="L44" s="5">
        <v>271930.05</v>
      </c>
      <c r="M44" s="4">
        <v>4320</v>
      </c>
      <c r="N44" s="5">
        <v>78.463999999999999</v>
      </c>
      <c r="O44" s="5">
        <v>891.51099999999997</v>
      </c>
      <c r="P44" s="4">
        <v>1</v>
      </c>
      <c r="Q44" s="5">
        <v>132594.29300000001</v>
      </c>
      <c r="R44" s="5">
        <v>1272352.493</v>
      </c>
      <c r="S44" s="4">
        <v>899771</v>
      </c>
    </row>
    <row r="45" spans="2:19" x14ac:dyDescent="0.3">
      <c r="B45" s="4">
        <v>2020</v>
      </c>
      <c r="C45" s="4">
        <v>5</v>
      </c>
      <c r="D45" s="3" t="s">
        <v>20</v>
      </c>
      <c r="E45" s="5">
        <v>71795.683000000005</v>
      </c>
      <c r="F45" s="5">
        <v>559614.69200000004</v>
      </c>
      <c r="G45" s="4">
        <v>789974</v>
      </c>
      <c r="H45" s="5">
        <v>48052.756000000001</v>
      </c>
      <c r="I45" s="5">
        <v>470349.82400000002</v>
      </c>
      <c r="J45" s="4">
        <v>106008</v>
      </c>
      <c r="K45" s="5">
        <v>18319.245999999999</v>
      </c>
      <c r="L45" s="5">
        <v>282965.77299999999</v>
      </c>
      <c r="M45" s="4">
        <v>4313</v>
      </c>
      <c r="N45" s="5">
        <v>67.536000000000001</v>
      </c>
      <c r="O45" s="5">
        <v>721.68899999999996</v>
      </c>
      <c r="P45" s="4">
        <v>1</v>
      </c>
      <c r="Q45" s="5">
        <v>138235.22099999999</v>
      </c>
      <c r="R45" s="5">
        <v>1313651.9779999999</v>
      </c>
      <c r="S45" s="4">
        <v>900296</v>
      </c>
    </row>
    <row r="46" spans="2:19" x14ac:dyDescent="0.3">
      <c r="B46" s="4">
        <v>2020</v>
      </c>
      <c r="C46" s="4">
        <v>6</v>
      </c>
      <c r="D46" s="3" t="s">
        <v>20</v>
      </c>
      <c r="E46" s="5">
        <v>66120.206000000006</v>
      </c>
      <c r="F46" s="5">
        <v>519798.20400000003</v>
      </c>
      <c r="G46" s="4">
        <v>790467</v>
      </c>
      <c r="H46" s="5">
        <v>46373.705999999998</v>
      </c>
      <c r="I46" s="5">
        <v>469902.18</v>
      </c>
      <c r="J46" s="4">
        <v>105969</v>
      </c>
      <c r="K46" s="5">
        <v>18808.898000000001</v>
      </c>
      <c r="L46" s="5">
        <v>283514.42300000001</v>
      </c>
      <c r="M46" s="4">
        <v>4335</v>
      </c>
      <c r="N46" s="5">
        <v>69.63</v>
      </c>
      <c r="O46" s="5">
        <v>763.21699999999998</v>
      </c>
      <c r="P46" s="4">
        <v>1</v>
      </c>
      <c r="Q46" s="5">
        <v>131372.44</v>
      </c>
      <c r="R46" s="5">
        <v>1273978.024</v>
      </c>
      <c r="S46" s="4">
        <v>900772</v>
      </c>
    </row>
    <row r="47" spans="2:19" x14ac:dyDescent="0.3">
      <c r="B47" s="4">
        <v>2020</v>
      </c>
      <c r="C47" s="4">
        <v>7</v>
      </c>
      <c r="D47" s="3" t="s">
        <v>20</v>
      </c>
      <c r="E47" s="5">
        <v>78690.320000000007</v>
      </c>
      <c r="F47" s="5">
        <v>622729.58600000001</v>
      </c>
      <c r="G47" s="4">
        <v>791623</v>
      </c>
      <c r="H47" s="5">
        <v>55238.078999999998</v>
      </c>
      <c r="I47" s="5">
        <v>566792.23699999996</v>
      </c>
      <c r="J47" s="4">
        <v>106189</v>
      </c>
      <c r="K47" s="5">
        <v>20097.761999999999</v>
      </c>
      <c r="L47" s="5">
        <v>297239.54599999997</v>
      </c>
      <c r="M47" s="4">
        <v>4331</v>
      </c>
      <c r="N47" s="5">
        <v>71.320999999999998</v>
      </c>
      <c r="O47" s="5">
        <v>792.04100000000005</v>
      </c>
      <c r="P47" s="4">
        <v>1</v>
      </c>
      <c r="Q47" s="5">
        <v>154097.48199999999</v>
      </c>
      <c r="R47" s="5">
        <v>1487553.41</v>
      </c>
      <c r="S47" s="4">
        <v>902144</v>
      </c>
    </row>
    <row r="48" spans="2:19" x14ac:dyDescent="0.3">
      <c r="B48" s="4">
        <v>2020</v>
      </c>
      <c r="C48" s="4">
        <v>8</v>
      </c>
      <c r="D48" s="3" t="s">
        <v>20</v>
      </c>
      <c r="E48" s="5">
        <v>81668.534</v>
      </c>
      <c r="F48" s="5">
        <v>655972.52399999998</v>
      </c>
      <c r="G48" s="4">
        <v>792282</v>
      </c>
      <c r="H48" s="5">
        <v>53926.46</v>
      </c>
      <c r="I48" s="5">
        <v>561874.10400000005</v>
      </c>
      <c r="J48" s="4">
        <v>106181</v>
      </c>
      <c r="K48" s="5">
        <v>23894.634999999998</v>
      </c>
      <c r="L48" s="5">
        <v>350238.364</v>
      </c>
      <c r="M48" s="4">
        <v>4321</v>
      </c>
      <c r="N48" s="5">
        <v>72.346000000000004</v>
      </c>
      <c r="O48" s="5">
        <v>801.81200000000001</v>
      </c>
      <c r="P48" s="4">
        <v>1</v>
      </c>
      <c r="Q48" s="5">
        <v>159561.97500000001</v>
      </c>
      <c r="R48" s="5">
        <v>1568886.804</v>
      </c>
      <c r="S48" s="4">
        <v>902785</v>
      </c>
    </row>
    <row r="49" spans="2:19" x14ac:dyDescent="0.3">
      <c r="B49" s="4">
        <v>2020</v>
      </c>
      <c r="C49" s="4">
        <v>9</v>
      </c>
      <c r="D49" s="3" t="s">
        <v>20</v>
      </c>
      <c r="E49" s="5">
        <v>69836.756999999998</v>
      </c>
      <c r="F49" s="5">
        <v>553718.13300000003</v>
      </c>
      <c r="G49" s="4">
        <v>792559</v>
      </c>
      <c r="H49" s="5">
        <v>47171.411</v>
      </c>
      <c r="I49" s="5">
        <v>498878.288</v>
      </c>
      <c r="J49" s="4">
        <v>106201</v>
      </c>
      <c r="K49" s="5">
        <v>20708.990000000002</v>
      </c>
      <c r="L49" s="5">
        <v>308729.46799999999</v>
      </c>
      <c r="M49" s="4">
        <v>4324</v>
      </c>
      <c r="N49" s="5">
        <v>75.569000000000003</v>
      </c>
      <c r="O49" s="5">
        <v>858.14400000000001</v>
      </c>
      <c r="P49" s="4">
        <v>1</v>
      </c>
      <c r="Q49" s="5">
        <v>137792.72700000001</v>
      </c>
      <c r="R49" s="5">
        <v>1362184.0330000001</v>
      </c>
      <c r="S49" s="4">
        <v>903085</v>
      </c>
    </row>
    <row r="50" spans="2:19" x14ac:dyDescent="0.3">
      <c r="B50" s="4">
        <v>2020</v>
      </c>
      <c r="C50" s="4">
        <v>10</v>
      </c>
      <c r="D50" s="3" t="s">
        <v>20</v>
      </c>
      <c r="E50" s="5">
        <v>73692.168999999994</v>
      </c>
      <c r="F50" s="5">
        <v>581351.06700000004</v>
      </c>
      <c r="G50" s="4">
        <v>794192</v>
      </c>
      <c r="H50" s="5">
        <v>49583.976999999999</v>
      </c>
      <c r="I50" s="5">
        <v>503174.11499999999</v>
      </c>
      <c r="J50" s="4">
        <v>106411</v>
      </c>
      <c r="K50" s="5">
        <v>20054.687000000002</v>
      </c>
      <c r="L50" s="5">
        <v>309149.11099999998</v>
      </c>
      <c r="M50" s="4">
        <v>4324</v>
      </c>
      <c r="N50" s="5">
        <v>65.634</v>
      </c>
      <c r="O50" s="5">
        <v>706.28800000000001</v>
      </c>
      <c r="P50" s="4">
        <v>1</v>
      </c>
      <c r="Q50" s="5">
        <v>143396.467</v>
      </c>
      <c r="R50" s="5">
        <v>1394380.581</v>
      </c>
      <c r="S50" s="4">
        <v>904928</v>
      </c>
    </row>
    <row r="51" spans="2:19" x14ac:dyDescent="0.3">
      <c r="B51" s="4">
        <v>2020</v>
      </c>
      <c r="C51" s="4">
        <v>11</v>
      </c>
      <c r="D51" s="3" t="s">
        <v>20</v>
      </c>
      <c r="E51" s="5">
        <v>89087.448999999993</v>
      </c>
      <c r="F51" s="5">
        <v>718405.05099999998</v>
      </c>
      <c r="G51" s="4">
        <v>794921</v>
      </c>
      <c r="H51" s="5">
        <v>48912.116000000002</v>
      </c>
      <c r="I51" s="5">
        <v>499105.04100000003</v>
      </c>
      <c r="J51" s="4">
        <v>106394</v>
      </c>
      <c r="K51" s="5">
        <v>18877.87</v>
      </c>
      <c r="L51" s="5">
        <v>291351.071</v>
      </c>
      <c r="M51" s="4">
        <v>4300</v>
      </c>
      <c r="N51" s="5">
        <v>65.376000000000005</v>
      </c>
      <c r="O51" s="5">
        <v>689.63300000000004</v>
      </c>
      <c r="P51" s="4">
        <v>1</v>
      </c>
      <c r="Q51" s="5">
        <v>156942.81099999999</v>
      </c>
      <c r="R51" s="5">
        <v>1509550.7960000001</v>
      </c>
      <c r="S51" s="4">
        <v>905616</v>
      </c>
    </row>
    <row r="52" spans="2:19" x14ac:dyDescent="0.3">
      <c r="B52" s="4">
        <v>2020</v>
      </c>
      <c r="C52" s="4">
        <v>12</v>
      </c>
      <c r="D52" s="3" t="s">
        <v>20</v>
      </c>
      <c r="E52" s="5">
        <v>102839.2</v>
      </c>
      <c r="F52" s="5">
        <v>835484.24</v>
      </c>
      <c r="G52" s="4">
        <v>796787</v>
      </c>
      <c r="H52" s="5">
        <v>51838.417999999998</v>
      </c>
      <c r="I52" s="5">
        <v>538739.39199999999</v>
      </c>
      <c r="J52" s="4">
        <v>106651</v>
      </c>
      <c r="K52" s="5">
        <v>18796.377</v>
      </c>
      <c r="L52" s="5">
        <v>299060.87699999998</v>
      </c>
      <c r="M52" s="4">
        <v>4320</v>
      </c>
      <c r="N52" s="5">
        <v>109.07</v>
      </c>
      <c r="O52" s="5">
        <v>1193.2190000000001</v>
      </c>
      <c r="P52" s="4">
        <v>1</v>
      </c>
      <c r="Q52" s="5">
        <v>173583.065</v>
      </c>
      <c r="R52" s="5">
        <v>1674477.7279999999</v>
      </c>
      <c r="S52" s="4">
        <v>907759</v>
      </c>
    </row>
    <row r="53" spans="2:19" x14ac:dyDescent="0.3">
      <c r="B53" s="4">
        <v>2021</v>
      </c>
      <c r="C53" s="4">
        <v>1</v>
      </c>
      <c r="D53" s="3" t="s">
        <v>20</v>
      </c>
      <c r="E53" s="5">
        <v>103036.027</v>
      </c>
      <c r="F53" s="5">
        <v>791579.321</v>
      </c>
      <c r="G53" s="4">
        <v>797535</v>
      </c>
      <c r="H53" s="5">
        <v>53686.43</v>
      </c>
      <c r="I53" s="5">
        <v>530439.59600000002</v>
      </c>
      <c r="J53" s="4">
        <v>106639</v>
      </c>
      <c r="K53" s="5">
        <v>19416.358</v>
      </c>
      <c r="L53" s="5">
        <v>297748.21799999999</v>
      </c>
      <c r="M53" s="4">
        <v>4301</v>
      </c>
      <c r="N53" s="5">
        <v>75.59</v>
      </c>
      <c r="O53" s="5">
        <v>781.19200000000001</v>
      </c>
      <c r="P53" s="4">
        <v>1</v>
      </c>
      <c r="Q53" s="5">
        <v>176214.405</v>
      </c>
      <c r="R53" s="5">
        <v>1620548.327</v>
      </c>
      <c r="S53" s="4">
        <v>908476</v>
      </c>
    </row>
    <row r="54" spans="2:19" x14ac:dyDescent="0.3">
      <c r="B54" s="4">
        <v>2021</v>
      </c>
      <c r="C54" s="4">
        <v>2</v>
      </c>
      <c r="D54" s="3" t="s">
        <v>20</v>
      </c>
      <c r="E54" s="5">
        <v>95071.710999999996</v>
      </c>
      <c r="F54" s="5">
        <v>728420.505</v>
      </c>
      <c r="G54" s="4">
        <v>797640</v>
      </c>
      <c r="H54" s="5">
        <v>50420.457000000002</v>
      </c>
      <c r="I54" s="5">
        <v>487985.636</v>
      </c>
      <c r="J54" s="4">
        <v>106646</v>
      </c>
      <c r="K54" s="5">
        <v>19739.084999999999</v>
      </c>
      <c r="L54" s="5">
        <v>282554.576</v>
      </c>
      <c r="M54" s="4">
        <v>4255</v>
      </c>
      <c r="N54" s="5">
        <v>76.885000000000005</v>
      </c>
      <c r="O54" s="5">
        <v>832.72400000000005</v>
      </c>
      <c r="P54" s="4">
        <v>1</v>
      </c>
      <c r="Q54" s="5">
        <v>165308.13800000001</v>
      </c>
      <c r="R54" s="5">
        <v>1499793.4410000001</v>
      </c>
      <c r="S54" s="4">
        <v>908542</v>
      </c>
    </row>
    <row r="55" spans="2:19" x14ac:dyDescent="0.3">
      <c r="B55" s="4">
        <v>2021</v>
      </c>
      <c r="C55" s="4">
        <v>3</v>
      </c>
      <c r="D55" s="3" t="s">
        <v>20</v>
      </c>
      <c r="E55" s="5">
        <v>94747.726999999999</v>
      </c>
      <c r="F55" s="5">
        <v>719300.65099999995</v>
      </c>
      <c r="G55" s="4">
        <v>797630</v>
      </c>
      <c r="H55" s="5">
        <v>56317.783000000003</v>
      </c>
      <c r="I55" s="5">
        <v>541490.94799999997</v>
      </c>
      <c r="J55" s="4">
        <v>106634</v>
      </c>
      <c r="K55" s="5">
        <v>21561.091</v>
      </c>
      <c r="L55" s="5">
        <v>318002.364</v>
      </c>
      <c r="M55" s="4">
        <v>4209</v>
      </c>
      <c r="N55" s="5">
        <v>70.165000000000006</v>
      </c>
      <c r="O55" s="5">
        <v>736.6</v>
      </c>
      <c r="P55" s="4">
        <v>1</v>
      </c>
      <c r="Q55" s="5">
        <v>172696.766</v>
      </c>
      <c r="R55" s="5">
        <v>1579530.5630000001</v>
      </c>
      <c r="S55" s="4">
        <v>908474</v>
      </c>
    </row>
    <row r="56" spans="2:19" x14ac:dyDescent="0.3">
      <c r="B56" s="4">
        <v>2021</v>
      </c>
      <c r="C56" s="4">
        <v>4</v>
      </c>
      <c r="D56" s="3" t="s">
        <v>20</v>
      </c>
      <c r="E56" s="5">
        <v>75641.820000000007</v>
      </c>
      <c r="F56" s="5">
        <v>562235.44499999995</v>
      </c>
      <c r="G56" s="4">
        <v>798625</v>
      </c>
      <c r="H56" s="5">
        <v>52672.762999999999</v>
      </c>
      <c r="I56" s="5">
        <v>501060.05099999998</v>
      </c>
      <c r="J56" s="4">
        <v>106625</v>
      </c>
      <c r="K56" s="5">
        <v>20015.47</v>
      </c>
      <c r="L56" s="5">
        <v>299188.41200000001</v>
      </c>
      <c r="M56" s="4">
        <v>4246</v>
      </c>
      <c r="N56" s="5">
        <v>65.536000000000001</v>
      </c>
      <c r="O56" s="5">
        <v>693.85400000000004</v>
      </c>
      <c r="P56" s="4">
        <v>1</v>
      </c>
      <c r="Q56" s="5">
        <v>148395.58900000001</v>
      </c>
      <c r="R56" s="5">
        <v>1363177.7620000001</v>
      </c>
      <c r="S56" s="4">
        <v>909497</v>
      </c>
    </row>
    <row r="57" spans="2:19" x14ac:dyDescent="0.3">
      <c r="B57" s="4">
        <v>2021</v>
      </c>
      <c r="C57" s="4">
        <v>5</v>
      </c>
      <c r="D57" s="3" t="s">
        <v>20</v>
      </c>
      <c r="E57" s="5">
        <v>72926.074999999997</v>
      </c>
      <c r="F57" s="5">
        <v>537256.65099999995</v>
      </c>
      <c r="G57" s="4">
        <v>797846</v>
      </c>
      <c r="H57" s="5">
        <v>54886.762000000002</v>
      </c>
      <c r="I57" s="5">
        <v>520324.64899999998</v>
      </c>
      <c r="J57" s="4">
        <v>106748</v>
      </c>
      <c r="K57" s="5">
        <v>23443.758000000002</v>
      </c>
      <c r="L57" s="5">
        <v>331530.10499999998</v>
      </c>
      <c r="M57" s="4">
        <v>4243</v>
      </c>
      <c r="N57" s="5">
        <v>62.106000000000002</v>
      </c>
      <c r="O57" s="5">
        <v>647.83799999999997</v>
      </c>
      <c r="P57" s="4">
        <v>1</v>
      </c>
      <c r="Q57" s="5">
        <v>151318.701</v>
      </c>
      <c r="R57" s="5">
        <v>1389759.243</v>
      </c>
      <c r="S57" s="4">
        <v>908838</v>
      </c>
    </row>
    <row r="58" spans="2:19" x14ac:dyDescent="0.3">
      <c r="B58" s="4">
        <v>2021</v>
      </c>
      <c r="C58" s="4">
        <v>6</v>
      </c>
      <c r="D58" s="3" t="s">
        <v>20</v>
      </c>
      <c r="E58" s="5">
        <v>87719.751999999993</v>
      </c>
      <c r="F58" s="5">
        <v>663811.09299999999</v>
      </c>
      <c r="G58" s="4">
        <v>799925</v>
      </c>
      <c r="H58" s="5">
        <v>56658.385999999999</v>
      </c>
      <c r="I58" s="5">
        <v>552454.853</v>
      </c>
      <c r="J58" s="4">
        <v>106974</v>
      </c>
      <c r="K58" s="5">
        <v>21995.098000000002</v>
      </c>
      <c r="L58" s="5">
        <v>311271.967</v>
      </c>
      <c r="M58" s="4">
        <v>4207</v>
      </c>
      <c r="N58" s="5">
        <v>67.549000000000007</v>
      </c>
      <c r="O58" s="5">
        <v>727.42700000000002</v>
      </c>
      <c r="P58" s="4">
        <v>1</v>
      </c>
      <c r="Q58" s="5">
        <v>166440.785</v>
      </c>
      <c r="R58" s="5">
        <v>1528265.34</v>
      </c>
      <c r="S58" s="4">
        <v>911107</v>
      </c>
    </row>
    <row r="59" spans="2:19" x14ac:dyDescent="0.3">
      <c r="B59" s="4">
        <v>2021</v>
      </c>
      <c r="C59" s="4">
        <v>7</v>
      </c>
      <c r="D59" s="3" t="s">
        <v>20</v>
      </c>
      <c r="E59" s="5">
        <v>89215.588000000003</v>
      </c>
      <c r="F59" s="5">
        <v>674949.95799999998</v>
      </c>
      <c r="G59" s="4">
        <v>800359</v>
      </c>
      <c r="H59" s="5">
        <v>61068.639000000003</v>
      </c>
      <c r="I59" s="5">
        <v>601348.63800000004</v>
      </c>
      <c r="J59" s="4">
        <v>106779</v>
      </c>
      <c r="K59" s="5">
        <v>25515.472000000002</v>
      </c>
      <c r="L59" s="5">
        <v>350341.39799999999</v>
      </c>
      <c r="M59" s="4">
        <v>4238</v>
      </c>
      <c r="N59" s="5">
        <v>66.206999999999994</v>
      </c>
      <c r="O59" s="5">
        <v>705.94399999999996</v>
      </c>
      <c r="P59" s="4">
        <v>1</v>
      </c>
      <c r="Q59" s="5">
        <v>175865.90599999999</v>
      </c>
      <c r="R59" s="5">
        <v>1627345.9380000001</v>
      </c>
      <c r="S59" s="4">
        <v>911377</v>
      </c>
    </row>
    <row r="60" spans="2:19" x14ac:dyDescent="0.3">
      <c r="B60" s="4">
        <v>2021</v>
      </c>
      <c r="C60" s="4">
        <v>8</v>
      </c>
      <c r="D60" s="3" t="s">
        <v>20</v>
      </c>
      <c r="E60" s="5">
        <v>89664.051000000007</v>
      </c>
      <c r="F60" s="5">
        <v>674297.674</v>
      </c>
      <c r="G60" s="4">
        <v>800747</v>
      </c>
      <c r="H60" s="5">
        <v>61202.953999999998</v>
      </c>
      <c r="I60" s="5">
        <v>595046.00600000005</v>
      </c>
      <c r="J60" s="4">
        <v>106924</v>
      </c>
      <c r="K60" s="5">
        <v>24486.001</v>
      </c>
      <c r="L60" s="5">
        <v>339118.348</v>
      </c>
      <c r="M60" s="4">
        <v>4320</v>
      </c>
      <c r="N60" s="5">
        <v>66.114999999999995</v>
      </c>
      <c r="O60" s="5">
        <v>699.88</v>
      </c>
      <c r="P60" s="4">
        <v>1</v>
      </c>
      <c r="Q60" s="5">
        <v>175419.12100000001</v>
      </c>
      <c r="R60" s="5">
        <v>1609161.9080000001</v>
      </c>
      <c r="S60" s="4">
        <v>911992</v>
      </c>
    </row>
    <row r="61" spans="2:19" x14ac:dyDescent="0.3">
      <c r="B61" s="4">
        <v>2021</v>
      </c>
      <c r="C61" s="4">
        <v>9</v>
      </c>
      <c r="D61" s="3" t="s">
        <v>20</v>
      </c>
      <c r="E61" s="5">
        <v>70776.463000000003</v>
      </c>
      <c r="F61" s="5">
        <v>523264.83199999999</v>
      </c>
      <c r="G61" s="4">
        <v>802334</v>
      </c>
      <c r="H61" s="5">
        <v>54045.142999999996</v>
      </c>
      <c r="I61" s="5">
        <v>528977.34499999997</v>
      </c>
      <c r="J61" s="4">
        <v>107159</v>
      </c>
      <c r="K61" s="5">
        <v>23140.048999999999</v>
      </c>
      <c r="L61" s="5">
        <v>320612.799</v>
      </c>
      <c r="M61" s="4">
        <v>4334</v>
      </c>
      <c r="N61" s="5">
        <v>66.977000000000004</v>
      </c>
      <c r="O61" s="5">
        <v>715.31100000000004</v>
      </c>
      <c r="P61" s="4">
        <v>1</v>
      </c>
      <c r="Q61" s="5">
        <v>148028.63200000001</v>
      </c>
      <c r="R61" s="5">
        <v>1373570.287</v>
      </c>
      <c r="S61" s="4">
        <v>913828</v>
      </c>
    </row>
    <row r="62" spans="2:19" x14ac:dyDescent="0.3">
      <c r="B62" s="4">
        <v>2021</v>
      </c>
      <c r="C62" s="4">
        <v>10</v>
      </c>
      <c r="D62" s="3" t="s">
        <v>20</v>
      </c>
      <c r="E62" s="5">
        <v>78392.284</v>
      </c>
      <c r="F62" s="5">
        <v>582745.37399999995</v>
      </c>
      <c r="G62" s="4">
        <v>802760</v>
      </c>
      <c r="H62" s="5">
        <v>53546.09</v>
      </c>
      <c r="I62" s="5">
        <v>508529.48200000002</v>
      </c>
      <c r="J62" s="4">
        <v>107382</v>
      </c>
      <c r="K62" s="5">
        <v>20561.357</v>
      </c>
      <c r="L62" s="5">
        <v>294885.10399999999</v>
      </c>
      <c r="M62" s="4">
        <v>4326</v>
      </c>
      <c r="N62" s="5">
        <v>59.945</v>
      </c>
      <c r="O62" s="5">
        <v>626.33600000000001</v>
      </c>
      <c r="P62" s="4">
        <v>1</v>
      </c>
      <c r="Q62" s="5">
        <v>152559.67600000001</v>
      </c>
      <c r="R62" s="5">
        <v>1386786.2960000001</v>
      </c>
      <c r="S62" s="4">
        <v>914469</v>
      </c>
    </row>
    <row r="63" spans="2:19" x14ac:dyDescent="0.3">
      <c r="B63" s="4">
        <v>2021</v>
      </c>
      <c r="C63" s="4">
        <v>11</v>
      </c>
      <c r="D63" s="3" t="s">
        <v>20</v>
      </c>
      <c r="E63" s="5">
        <v>82975.298999999999</v>
      </c>
      <c r="F63" s="5">
        <v>624373.424</v>
      </c>
      <c r="G63" s="4">
        <v>804835</v>
      </c>
      <c r="H63" s="5">
        <v>52984.478999999999</v>
      </c>
      <c r="I63" s="5">
        <v>515595.14600000001</v>
      </c>
      <c r="J63" s="4">
        <v>107923</v>
      </c>
      <c r="K63" s="5">
        <v>21165.834999999999</v>
      </c>
      <c r="L63" s="5">
        <v>309979.57199999999</v>
      </c>
      <c r="M63" s="4">
        <v>4130</v>
      </c>
      <c r="N63" s="5">
        <v>64.846000000000004</v>
      </c>
      <c r="O63" s="5">
        <v>683.90099999999995</v>
      </c>
      <c r="P63" s="4">
        <v>1</v>
      </c>
      <c r="Q63" s="5">
        <v>157190.459</v>
      </c>
      <c r="R63" s="5">
        <v>1450632.0430000001</v>
      </c>
      <c r="S63" s="4">
        <v>916889</v>
      </c>
    </row>
    <row r="64" spans="2:19" x14ac:dyDescent="0.3">
      <c r="B64" s="4">
        <v>2021</v>
      </c>
      <c r="C64" s="4">
        <v>12</v>
      </c>
      <c r="D64" s="3" t="s">
        <v>20</v>
      </c>
      <c r="E64" s="5">
        <v>116201.87699999999</v>
      </c>
      <c r="F64" s="5">
        <v>895863.95900000003</v>
      </c>
      <c r="G64" s="4">
        <v>804231</v>
      </c>
      <c r="H64" s="5">
        <v>63371.095999999998</v>
      </c>
      <c r="I64" s="5">
        <v>629796.84199999995</v>
      </c>
      <c r="J64" s="4">
        <v>107487</v>
      </c>
      <c r="K64" s="5">
        <v>23079.133000000002</v>
      </c>
      <c r="L64" s="5">
        <v>340991.28700000001</v>
      </c>
      <c r="M64" s="4">
        <v>4295</v>
      </c>
      <c r="N64" s="5">
        <v>75.715999999999994</v>
      </c>
      <c r="O64" s="5">
        <v>831.29700000000003</v>
      </c>
      <c r="P64" s="4">
        <v>1</v>
      </c>
      <c r="Q64" s="5">
        <v>202727.82199999999</v>
      </c>
      <c r="R64" s="5">
        <v>1867483.385</v>
      </c>
      <c r="S64" s="4">
        <v>916014</v>
      </c>
    </row>
    <row r="65" spans="2:19" x14ac:dyDescent="0.3">
      <c r="B65" s="4">
        <v>2022</v>
      </c>
      <c r="C65" s="4">
        <v>1</v>
      </c>
      <c r="D65" s="3" t="s">
        <v>20</v>
      </c>
      <c r="E65" s="5">
        <v>109888.196</v>
      </c>
      <c r="F65" s="5">
        <v>838822.95</v>
      </c>
      <c r="G65" s="4">
        <v>805456</v>
      </c>
      <c r="H65" s="5">
        <v>61694.758999999998</v>
      </c>
      <c r="I65" s="5">
        <v>587162.51699999999</v>
      </c>
      <c r="J65" s="4">
        <v>107524</v>
      </c>
      <c r="K65" s="5">
        <v>21519.008999999998</v>
      </c>
      <c r="L65" s="5">
        <v>313756.76899999997</v>
      </c>
      <c r="M65" s="4">
        <v>4250</v>
      </c>
      <c r="N65" s="5">
        <v>79.441000000000003</v>
      </c>
      <c r="O65" s="5">
        <v>811.572</v>
      </c>
      <c r="P65" s="4">
        <v>1</v>
      </c>
      <c r="Q65" s="5">
        <v>193181.405</v>
      </c>
      <c r="R65" s="5">
        <v>1740553.808</v>
      </c>
      <c r="S65" s="4">
        <v>917231</v>
      </c>
    </row>
    <row r="66" spans="2:19" x14ac:dyDescent="0.3">
      <c r="B66" s="4">
        <v>2022</v>
      </c>
      <c r="C66" s="4">
        <v>2</v>
      </c>
      <c r="D66" s="3" t="s">
        <v>20</v>
      </c>
      <c r="E66" s="5">
        <v>93844.089000000007</v>
      </c>
      <c r="F66" s="5">
        <v>710432.29799999995</v>
      </c>
      <c r="G66" s="4">
        <v>806280</v>
      </c>
      <c r="H66" s="5">
        <v>50629.777000000002</v>
      </c>
      <c r="I66" s="5">
        <v>446342.85399999999</v>
      </c>
      <c r="J66" s="4">
        <v>107463</v>
      </c>
      <c r="K66" s="5">
        <v>24765.467000000001</v>
      </c>
      <c r="L66" s="5">
        <v>363571.679</v>
      </c>
      <c r="M66" s="4">
        <v>4298</v>
      </c>
      <c r="N66" s="5">
        <v>75.006</v>
      </c>
      <c r="O66" s="5">
        <v>758.48199999999997</v>
      </c>
      <c r="P66" s="4">
        <v>1</v>
      </c>
      <c r="Q66" s="5">
        <v>169314.33900000001</v>
      </c>
      <c r="R66" s="5">
        <v>1521105.3130000001</v>
      </c>
      <c r="S66" s="4">
        <v>918042</v>
      </c>
    </row>
    <row r="67" spans="2:19" x14ac:dyDescent="0.3">
      <c r="B67" s="4">
        <v>2022</v>
      </c>
      <c r="C67" s="4">
        <v>3</v>
      </c>
      <c r="D67" s="3" t="s">
        <v>20</v>
      </c>
      <c r="E67" s="5">
        <v>89302.620999999999</v>
      </c>
      <c r="F67" s="5">
        <v>666536.95200000005</v>
      </c>
      <c r="G67" s="4">
        <v>807922</v>
      </c>
      <c r="H67" s="5">
        <v>58632.834999999999</v>
      </c>
      <c r="I67" s="5">
        <v>533899.25600000005</v>
      </c>
      <c r="J67" s="4">
        <v>107730</v>
      </c>
      <c r="K67" s="5">
        <v>27665.326000000001</v>
      </c>
      <c r="L67" s="5">
        <v>360816.83799999999</v>
      </c>
      <c r="M67" s="4">
        <v>4310</v>
      </c>
      <c r="N67" s="5">
        <v>65.277000000000001</v>
      </c>
      <c r="O67" s="5">
        <v>632.69399999999996</v>
      </c>
      <c r="P67" s="4">
        <v>1</v>
      </c>
      <c r="Q67" s="5">
        <v>175666.05900000001</v>
      </c>
      <c r="R67" s="5">
        <v>1561885.74</v>
      </c>
      <c r="S67" s="4">
        <v>919963</v>
      </c>
    </row>
    <row r="68" spans="2:19" x14ac:dyDescent="0.3">
      <c r="B68" s="4">
        <v>2022</v>
      </c>
      <c r="C68" s="4">
        <v>4</v>
      </c>
      <c r="D68" s="3" t="s">
        <v>20</v>
      </c>
      <c r="E68" s="5">
        <v>85553.812999999995</v>
      </c>
      <c r="F68" s="5">
        <v>636967.62</v>
      </c>
      <c r="G68" s="4">
        <v>808683</v>
      </c>
      <c r="H68" s="5">
        <v>56705.180999999997</v>
      </c>
      <c r="I68" s="5">
        <v>516844.886</v>
      </c>
      <c r="J68" s="4">
        <v>107870</v>
      </c>
      <c r="K68" s="5">
        <v>23278.862000000001</v>
      </c>
      <c r="L68" s="5">
        <v>326395.255</v>
      </c>
      <c r="M68" s="4">
        <v>4309</v>
      </c>
      <c r="N68" s="5">
        <v>67.591999999999999</v>
      </c>
      <c r="O68" s="5">
        <v>665.61400000000003</v>
      </c>
      <c r="P68" s="4">
        <v>1</v>
      </c>
      <c r="Q68" s="5">
        <v>165605.448</v>
      </c>
      <c r="R68" s="5">
        <v>1480873.375</v>
      </c>
      <c r="S68" s="4">
        <v>920863</v>
      </c>
    </row>
    <row r="69" spans="2:19" x14ac:dyDescent="0.3">
      <c r="B69" s="4">
        <v>2022</v>
      </c>
      <c r="C69" s="4">
        <v>5</v>
      </c>
      <c r="D69" s="3" t="s">
        <v>20</v>
      </c>
      <c r="E69" s="5">
        <v>78435.164000000004</v>
      </c>
      <c r="F69" s="5">
        <v>557741.28399999999</v>
      </c>
      <c r="G69" s="4">
        <v>808888</v>
      </c>
      <c r="H69" s="5">
        <v>57302.925000000003</v>
      </c>
      <c r="I69" s="5">
        <v>514898.37599999999</v>
      </c>
      <c r="J69" s="4">
        <v>107975</v>
      </c>
      <c r="K69" s="5">
        <v>24508.958999999999</v>
      </c>
      <c r="L69" s="5">
        <v>339937.39500000002</v>
      </c>
      <c r="M69" s="4">
        <v>4303</v>
      </c>
      <c r="N69" s="5">
        <v>61.64</v>
      </c>
      <c r="O69" s="5">
        <v>602.048</v>
      </c>
      <c r="P69" s="4">
        <v>1</v>
      </c>
      <c r="Q69" s="5">
        <v>160308.68799999999</v>
      </c>
      <c r="R69" s="5">
        <v>1413179.1029999999</v>
      </c>
      <c r="S69" s="4">
        <v>921167</v>
      </c>
    </row>
    <row r="70" spans="2:19" x14ac:dyDescent="0.3">
      <c r="B70" s="4">
        <v>2022</v>
      </c>
      <c r="C70" s="4">
        <v>6</v>
      </c>
      <c r="D70" s="3" t="s">
        <v>20</v>
      </c>
      <c r="E70" s="5">
        <v>75119.648000000001</v>
      </c>
      <c r="F70" s="5">
        <v>529918.94700000004</v>
      </c>
      <c r="G70" s="4">
        <v>809434</v>
      </c>
      <c r="H70" s="5">
        <v>56034.837</v>
      </c>
      <c r="I70" s="5">
        <v>514687.62</v>
      </c>
      <c r="J70" s="4">
        <v>108085</v>
      </c>
      <c r="K70" s="5">
        <v>22026.003000000001</v>
      </c>
      <c r="L70" s="5">
        <v>335393.63400000002</v>
      </c>
      <c r="M70" s="4">
        <v>4303</v>
      </c>
      <c r="N70" s="5">
        <v>64.082999999999998</v>
      </c>
      <c r="O70" s="5">
        <v>656.726</v>
      </c>
      <c r="P70" s="4">
        <v>1</v>
      </c>
      <c r="Q70" s="5">
        <v>153244.571</v>
      </c>
      <c r="R70" s="5">
        <v>1380656.9269999999</v>
      </c>
      <c r="S70" s="4">
        <v>921823</v>
      </c>
    </row>
    <row r="71" spans="2:19" x14ac:dyDescent="0.3">
      <c r="B71" s="4">
        <v>2022</v>
      </c>
      <c r="C71" s="4">
        <v>7</v>
      </c>
      <c r="D71" s="3" t="s">
        <v>20</v>
      </c>
      <c r="E71" s="5">
        <v>96452.054999999993</v>
      </c>
      <c r="F71" s="5">
        <v>696758.12199999997</v>
      </c>
      <c r="G71" s="4">
        <v>810256</v>
      </c>
      <c r="H71" s="5">
        <v>63403.633999999998</v>
      </c>
      <c r="I71" s="5">
        <v>590027.05299999996</v>
      </c>
      <c r="J71" s="4">
        <v>108135</v>
      </c>
      <c r="K71" s="5">
        <v>26148.195</v>
      </c>
      <c r="L71" s="5">
        <v>376614.07500000001</v>
      </c>
      <c r="M71" s="4">
        <v>4306</v>
      </c>
      <c r="N71" s="5">
        <v>64.183000000000007</v>
      </c>
      <c r="O71" s="5">
        <v>637.46</v>
      </c>
      <c r="P71" s="4">
        <v>1</v>
      </c>
      <c r="Q71" s="5">
        <v>186068.06700000001</v>
      </c>
      <c r="R71" s="5">
        <v>1664036.71</v>
      </c>
      <c r="S71" s="4">
        <v>922698</v>
      </c>
    </row>
    <row r="72" spans="2:19" x14ac:dyDescent="0.3">
      <c r="B72" s="4">
        <v>2022</v>
      </c>
      <c r="C72" s="4">
        <v>8</v>
      </c>
      <c r="D72" s="3" t="s">
        <v>20</v>
      </c>
      <c r="E72" s="5">
        <v>98006.028999999995</v>
      </c>
      <c r="F72" s="5">
        <v>708829.147</v>
      </c>
      <c r="G72" s="4">
        <v>810862</v>
      </c>
      <c r="H72" s="5">
        <v>65487.908000000003</v>
      </c>
      <c r="I72" s="5">
        <v>618425.45400000003</v>
      </c>
      <c r="J72" s="4">
        <v>108368</v>
      </c>
      <c r="K72" s="5">
        <v>29011.935000000001</v>
      </c>
      <c r="L72" s="5">
        <v>413694.19199999998</v>
      </c>
      <c r="M72" s="4">
        <v>4336</v>
      </c>
      <c r="N72" s="5">
        <v>67.197000000000003</v>
      </c>
      <c r="O72" s="5">
        <v>681.16899999999998</v>
      </c>
      <c r="P72" s="4">
        <v>1</v>
      </c>
      <c r="Q72" s="5">
        <v>192573.06899999999</v>
      </c>
      <c r="R72" s="5">
        <v>1741629.9620000001</v>
      </c>
      <c r="S72" s="4">
        <v>923567</v>
      </c>
    </row>
    <row r="73" spans="2:19" x14ac:dyDescent="0.3">
      <c r="B73" s="4">
        <v>2022</v>
      </c>
      <c r="C73" s="4">
        <v>9</v>
      </c>
      <c r="D73" s="3" t="s">
        <v>20</v>
      </c>
      <c r="E73" s="5">
        <v>74872.243000000002</v>
      </c>
      <c r="F73" s="5">
        <v>533700.26699999999</v>
      </c>
      <c r="G73" s="4">
        <v>810271</v>
      </c>
      <c r="H73" s="5">
        <v>57569.394999999997</v>
      </c>
      <c r="I73" s="5">
        <v>544298.06000000006</v>
      </c>
      <c r="J73" s="4">
        <v>108005</v>
      </c>
      <c r="K73" s="5">
        <v>25746.844000000001</v>
      </c>
      <c r="L73" s="5">
        <v>349846.32299999997</v>
      </c>
      <c r="M73" s="4">
        <v>4334</v>
      </c>
      <c r="N73" s="5">
        <v>66.992000000000004</v>
      </c>
      <c r="O73" s="5">
        <v>695.16099999999994</v>
      </c>
      <c r="P73" s="4">
        <v>1</v>
      </c>
      <c r="Q73" s="5">
        <v>158255.47399999999</v>
      </c>
      <c r="R73" s="5">
        <v>1428539.811</v>
      </c>
      <c r="S73" s="4">
        <v>922611</v>
      </c>
    </row>
    <row r="74" spans="2:19" x14ac:dyDescent="0.3">
      <c r="B74" s="4">
        <v>2022</v>
      </c>
      <c r="C74" s="4">
        <v>10</v>
      </c>
      <c r="D74" s="3" t="s">
        <v>20</v>
      </c>
      <c r="E74" s="5">
        <v>76808.380999999994</v>
      </c>
      <c r="F74" s="5">
        <v>545120.66299999994</v>
      </c>
      <c r="G74" s="4">
        <v>811934</v>
      </c>
      <c r="H74" s="5">
        <v>57492.468999999997</v>
      </c>
      <c r="I74" s="5">
        <v>528892.18200000003</v>
      </c>
      <c r="J74" s="4">
        <v>108375</v>
      </c>
      <c r="K74" s="5">
        <v>24850.447</v>
      </c>
      <c r="L74" s="5">
        <v>361614.44300000003</v>
      </c>
      <c r="M74" s="4">
        <v>4326</v>
      </c>
      <c r="N74" s="5">
        <v>63.701000000000001</v>
      </c>
      <c r="O74" s="5">
        <v>634.91899999999998</v>
      </c>
      <c r="P74" s="4">
        <v>1</v>
      </c>
      <c r="Q74" s="5">
        <v>159214.99799999999</v>
      </c>
      <c r="R74" s="5">
        <v>1436262.2069999999</v>
      </c>
      <c r="S74" s="4">
        <v>924636</v>
      </c>
    </row>
    <row r="75" spans="2:19" x14ac:dyDescent="0.3">
      <c r="B75" s="4">
        <v>2022</v>
      </c>
      <c r="C75" s="4">
        <v>11</v>
      </c>
      <c r="D75" s="3" t="s">
        <v>20</v>
      </c>
      <c r="E75" s="5">
        <v>103581.209</v>
      </c>
      <c r="F75" s="5">
        <v>761672.86499999999</v>
      </c>
      <c r="G75" s="4">
        <v>812171</v>
      </c>
      <c r="H75" s="5">
        <v>60226.516000000003</v>
      </c>
      <c r="I75" s="5">
        <v>564567.11399999994</v>
      </c>
      <c r="J75" s="4">
        <v>108269</v>
      </c>
      <c r="K75" s="5">
        <v>24513.758999999998</v>
      </c>
      <c r="L75" s="5">
        <v>366139.02100000001</v>
      </c>
      <c r="M75" s="4">
        <v>4302</v>
      </c>
      <c r="N75" s="5">
        <v>69.241</v>
      </c>
      <c r="O75" s="5">
        <v>691.44600000000003</v>
      </c>
      <c r="P75" s="4">
        <v>1</v>
      </c>
      <c r="Q75" s="5">
        <v>188390.72500000001</v>
      </c>
      <c r="R75" s="5">
        <v>1693070.446</v>
      </c>
      <c r="S75" s="4">
        <v>924743</v>
      </c>
    </row>
    <row r="76" spans="2:19" x14ac:dyDescent="0.3">
      <c r="B76" s="4">
        <v>2022</v>
      </c>
      <c r="C76" s="4">
        <v>12</v>
      </c>
      <c r="D76" s="3" t="s">
        <v>20</v>
      </c>
      <c r="E76" s="5">
        <v>121279.514</v>
      </c>
      <c r="F76" s="5">
        <v>901973.33</v>
      </c>
      <c r="G76" s="4">
        <v>813078</v>
      </c>
      <c r="H76" s="5">
        <v>62170.152000000002</v>
      </c>
      <c r="I76" s="5">
        <v>562005.35600000003</v>
      </c>
      <c r="J76" s="4">
        <v>108392</v>
      </c>
      <c r="K76" s="5">
        <v>25621.828000000001</v>
      </c>
      <c r="L76" s="5">
        <v>378403.90399999998</v>
      </c>
      <c r="M76" s="4">
        <v>4298</v>
      </c>
      <c r="N76" s="5">
        <v>89.716999999999999</v>
      </c>
      <c r="O76" s="5">
        <v>885.52200000000005</v>
      </c>
      <c r="P76" s="4">
        <v>1</v>
      </c>
      <c r="Q76" s="5">
        <v>209161.21100000001</v>
      </c>
      <c r="R76" s="5">
        <v>1843268.112</v>
      </c>
      <c r="S76" s="4">
        <v>925769</v>
      </c>
    </row>
    <row r="77" spans="2:19" x14ac:dyDescent="0.3">
      <c r="B77" s="4">
        <v>2023</v>
      </c>
      <c r="C77" s="4">
        <v>1</v>
      </c>
      <c r="D77" s="3" t="s">
        <v>20</v>
      </c>
      <c r="E77" s="5">
        <v>120042.526</v>
      </c>
      <c r="F77" s="5">
        <v>805085.33700000006</v>
      </c>
      <c r="G77" s="4">
        <v>813576</v>
      </c>
      <c r="H77" s="5">
        <v>65892.793999999994</v>
      </c>
      <c r="I77" s="5">
        <v>580479.18599999999</v>
      </c>
      <c r="J77" s="4">
        <v>108359</v>
      </c>
      <c r="K77" s="5">
        <v>25409.348000000002</v>
      </c>
      <c r="L77" s="5">
        <v>365460.66800000001</v>
      </c>
      <c r="M77" s="4">
        <v>4287</v>
      </c>
      <c r="N77" s="5">
        <v>85.569000000000003</v>
      </c>
      <c r="O77" s="5">
        <v>735.053</v>
      </c>
      <c r="P77" s="4">
        <v>1</v>
      </c>
      <c r="Q77" s="5">
        <v>211430.23699999999</v>
      </c>
      <c r="R77" s="5">
        <v>1751760.2439999999</v>
      </c>
      <c r="S77" s="4">
        <v>926223</v>
      </c>
    </row>
    <row r="78" spans="2:19" x14ac:dyDescent="0.3">
      <c r="B78" s="4">
        <v>2023</v>
      </c>
      <c r="C78" s="4">
        <v>2</v>
      </c>
      <c r="D78" s="3" t="s">
        <v>20</v>
      </c>
      <c r="E78" s="5">
        <v>112945.25</v>
      </c>
      <c r="F78" s="5">
        <v>760111.99699999997</v>
      </c>
      <c r="G78" s="4">
        <v>813954</v>
      </c>
      <c r="H78" s="5">
        <v>62017.279999999999</v>
      </c>
      <c r="I78" s="5">
        <v>517576.54300000001</v>
      </c>
      <c r="J78" s="4">
        <v>108361</v>
      </c>
      <c r="K78" s="5">
        <v>27858.706999999999</v>
      </c>
      <c r="L78" s="5">
        <v>337607.47700000001</v>
      </c>
      <c r="M78" s="4">
        <v>4240</v>
      </c>
      <c r="N78" s="5">
        <v>72.224999999999994</v>
      </c>
      <c r="O78" s="5">
        <v>631.80700000000002</v>
      </c>
      <c r="P78" s="4">
        <v>1</v>
      </c>
      <c r="Q78" s="5">
        <v>202893.462</v>
      </c>
      <c r="R78" s="5">
        <v>1615927.824</v>
      </c>
      <c r="S78" s="4">
        <v>926556</v>
      </c>
    </row>
    <row r="79" spans="2:19" x14ac:dyDescent="0.3">
      <c r="B79" s="4">
        <v>2023</v>
      </c>
      <c r="C79" s="4">
        <v>3</v>
      </c>
      <c r="D79" s="3" t="s">
        <v>20</v>
      </c>
      <c r="E79" s="5">
        <v>113841.29399999999</v>
      </c>
      <c r="F79" s="5">
        <v>761771.69799999997</v>
      </c>
      <c r="G79" s="4">
        <v>814335</v>
      </c>
      <c r="H79" s="5">
        <v>66561.66</v>
      </c>
      <c r="I79" s="5">
        <v>555773.96699999995</v>
      </c>
      <c r="J79" s="4">
        <v>108467</v>
      </c>
      <c r="K79" s="5">
        <v>28876.397000000001</v>
      </c>
      <c r="L79" s="5">
        <v>368745.78399999999</v>
      </c>
      <c r="M79" s="4">
        <v>4288</v>
      </c>
      <c r="N79" s="5">
        <v>106.611</v>
      </c>
      <c r="O79" s="5">
        <v>891.702</v>
      </c>
      <c r="P79" s="4">
        <v>1</v>
      </c>
      <c r="Q79" s="5">
        <v>209385.962</v>
      </c>
      <c r="R79" s="5">
        <v>1687183.1510000001</v>
      </c>
      <c r="S79" s="4">
        <v>927091</v>
      </c>
    </row>
    <row r="80" spans="2:19" x14ac:dyDescent="0.3">
      <c r="B80" s="4">
        <v>2023</v>
      </c>
      <c r="C80" s="4">
        <v>4</v>
      </c>
      <c r="D80" s="3" t="s">
        <v>20</v>
      </c>
      <c r="E80" s="5">
        <v>97100.679000000004</v>
      </c>
      <c r="F80" s="5">
        <v>636666.17700000003</v>
      </c>
      <c r="G80" s="4">
        <v>813772</v>
      </c>
      <c r="H80" s="5">
        <v>65060.514999999999</v>
      </c>
      <c r="I80" s="5">
        <v>513500.06800000003</v>
      </c>
      <c r="J80" s="4">
        <v>108362</v>
      </c>
      <c r="K80" s="5">
        <v>29466.73</v>
      </c>
      <c r="L80" s="5">
        <v>385280.6</v>
      </c>
      <c r="M80" s="4">
        <v>4224</v>
      </c>
      <c r="N80" s="5">
        <v>79.225999999999999</v>
      </c>
      <c r="O80" s="5">
        <v>659.88800000000003</v>
      </c>
      <c r="P80" s="4">
        <v>1</v>
      </c>
      <c r="Q80" s="5">
        <v>191707.15</v>
      </c>
      <c r="R80" s="5">
        <v>1536106.733</v>
      </c>
      <c r="S80" s="4">
        <v>926359</v>
      </c>
    </row>
    <row r="81" spans="2:19" x14ac:dyDescent="0.3">
      <c r="B81" s="4">
        <v>2023</v>
      </c>
      <c r="C81" s="4">
        <v>5</v>
      </c>
      <c r="D81" s="3" t="s">
        <v>20</v>
      </c>
      <c r="E81" s="5">
        <v>86828.035000000003</v>
      </c>
      <c r="F81" s="5">
        <v>560728.18099999998</v>
      </c>
      <c r="G81" s="4">
        <v>814528</v>
      </c>
      <c r="H81" s="5">
        <v>63900.561999999998</v>
      </c>
      <c r="I81" s="5">
        <v>535410.80200000003</v>
      </c>
      <c r="J81" s="4">
        <v>108053</v>
      </c>
      <c r="K81" s="5">
        <v>30106.634999999998</v>
      </c>
      <c r="L81" s="5">
        <v>383908.54700000002</v>
      </c>
      <c r="M81" s="4">
        <v>4144</v>
      </c>
      <c r="N81" s="5">
        <v>78.581000000000003</v>
      </c>
      <c r="O81" s="5">
        <v>653.11099999999999</v>
      </c>
      <c r="P81" s="4">
        <v>1</v>
      </c>
      <c r="Q81" s="5">
        <v>180913.81299999999</v>
      </c>
      <c r="R81" s="5">
        <v>1480700.6410000001</v>
      </c>
      <c r="S81" s="4">
        <v>926726</v>
      </c>
    </row>
    <row r="82" spans="2:19" x14ac:dyDescent="0.3">
      <c r="B82" s="4">
        <v>2023</v>
      </c>
      <c r="C82" s="4">
        <v>6</v>
      </c>
      <c r="D82" s="3" t="s">
        <v>20</v>
      </c>
      <c r="E82" s="5">
        <v>82366.971000000005</v>
      </c>
      <c r="F82" s="5">
        <v>533112.80500000005</v>
      </c>
      <c r="G82" s="4">
        <v>814958</v>
      </c>
      <c r="H82" s="5">
        <v>62527.112000000001</v>
      </c>
      <c r="I82" s="5">
        <v>521477.42200000002</v>
      </c>
      <c r="J82" s="4">
        <v>108197</v>
      </c>
      <c r="K82" s="5">
        <v>31758.68</v>
      </c>
      <c r="L82" s="5">
        <v>393085.11800000002</v>
      </c>
      <c r="M82" s="4">
        <v>4174</v>
      </c>
      <c r="N82" s="5">
        <v>80.680000000000007</v>
      </c>
      <c r="O82" s="5">
        <v>712.54600000000005</v>
      </c>
      <c r="P82" s="4">
        <v>1</v>
      </c>
      <c r="Q82" s="5">
        <v>176733.443</v>
      </c>
      <c r="R82" s="5">
        <v>1448387.8910000001</v>
      </c>
      <c r="S82" s="4">
        <v>927330</v>
      </c>
    </row>
    <row r="83" spans="2:19" x14ac:dyDescent="0.3">
      <c r="B83" s="4">
        <v>2023</v>
      </c>
      <c r="C83" s="4">
        <v>7</v>
      </c>
      <c r="D83" s="3" t="s">
        <v>20</v>
      </c>
      <c r="E83" s="5">
        <v>103649.98299999999</v>
      </c>
      <c r="F83" s="5">
        <v>682766.60499999998</v>
      </c>
      <c r="G83" s="4">
        <v>814996</v>
      </c>
      <c r="H83" s="5">
        <v>68972.221000000005</v>
      </c>
      <c r="I83" s="5">
        <v>579821.09100000001</v>
      </c>
      <c r="J83" s="4">
        <v>107883</v>
      </c>
      <c r="K83" s="5">
        <v>32266.36</v>
      </c>
      <c r="L83" s="5">
        <v>405074.73700000002</v>
      </c>
      <c r="M83" s="4">
        <v>4147</v>
      </c>
      <c r="N83" s="5">
        <v>80.161000000000001</v>
      </c>
      <c r="O83" s="5">
        <v>723.553</v>
      </c>
      <c r="P83" s="4">
        <v>1</v>
      </c>
      <c r="Q83" s="5">
        <v>204968.72500000001</v>
      </c>
      <c r="R83" s="5">
        <v>1668385.986</v>
      </c>
      <c r="S83" s="4">
        <v>927027</v>
      </c>
    </row>
    <row r="84" spans="2:19" x14ac:dyDescent="0.3">
      <c r="B84" s="4">
        <v>2023</v>
      </c>
      <c r="C84" s="4">
        <v>8</v>
      </c>
      <c r="D84" s="3" t="s">
        <v>20</v>
      </c>
      <c r="E84" s="5">
        <v>106267.43399999999</v>
      </c>
      <c r="F84" s="5">
        <v>704646.56700000004</v>
      </c>
      <c r="G84" s="4">
        <v>816133</v>
      </c>
      <c r="H84" s="5">
        <v>70966.104000000007</v>
      </c>
      <c r="I84" s="5">
        <v>609405.57900000003</v>
      </c>
      <c r="J84" s="4">
        <v>108037</v>
      </c>
      <c r="K84" s="5">
        <v>33701.578000000001</v>
      </c>
      <c r="L84" s="5">
        <v>417132.22899999999</v>
      </c>
      <c r="M84" s="4">
        <v>4248</v>
      </c>
      <c r="N84" s="5">
        <v>83.697000000000003</v>
      </c>
      <c r="O84" s="5">
        <v>750.18299999999999</v>
      </c>
      <c r="P84" s="4">
        <v>1</v>
      </c>
      <c r="Q84" s="5">
        <v>211018.81299999999</v>
      </c>
      <c r="R84" s="5">
        <v>1731934.558</v>
      </c>
      <c r="S84" s="4">
        <v>928419</v>
      </c>
    </row>
    <row r="85" spans="2:19" x14ac:dyDescent="0.3">
      <c r="B85" s="4">
        <v>2023</v>
      </c>
      <c r="C85" s="4">
        <v>9</v>
      </c>
      <c r="D85" s="3" t="s">
        <v>20</v>
      </c>
      <c r="E85" s="5">
        <v>78925.411999999997</v>
      </c>
      <c r="F85" s="5">
        <v>503904.12599999999</v>
      </c>
      <c r="G85" s="4">
        <v>816703</v>
      </c>
      <c r="H85" s="5">
        <v>62569.572</v>
      </c>
      <c r="I85" s="5">
        <v>502664.95500000002</v>
      </c>
      <c r="J85" s="4">
        <v>107947</v>
      </c>
      <c r="K85" s="5">
        <v>31865.861000000001</v>
      </c>
      <c r="L85" s="5">
        <v>395435.16</v>
      </c>
      <c r="M85" s="4">
        <v>4211</v>
      </c>
      <c r="N85" s="5">
        <v>82.474999999999994</v>
      </c>
      <c r="O85" s="5">
        <v>766.76900000000001</v>
      </c>
      <c r="P85" s="4">
        <v>1</v>
      </c>
      <c r="Q85" s="5">
        <v>173443.32</v>
      </c>
      <c r="R85" s="5">
        <v>1402771.01</v>
      </c>
      <c r="S85" s="4">
        <v>928862</v>
      </c>
    </row>
    <row r="86" spans="2:19" x14ac:dyDescent="0.3">
      <c r="B86" s="4">
        <v>2023</v>
      </c>
      <c r="C86" s="4">
        <v>10</v>
      </c>
      <c r="D86" s="3" t="s">
        <v>20</v>
      </c>
      <c r="E86" s="5">
        <v>84986.721999999994</v>
      </c>
      <c r="F86" s="5">
        <v>551035.93500000006</v>
      </c>
      <c r="G86" s="4">
        <v>817937</v>
      </c>
      <c r="H86" s="5">
        <v>62665.101000000002</v>
      </c>
      <c r="I86" s="5">
        <v>533768.92700000003</v>
      </c>
      <c r="J86" s="4">
        <v>108005</v>
      </c>
      <c r="K86" s="5">
        <v>32259.876</v>
      </c>
      <c r="L86" s="5">
        <v>411552.41</v>
      </c>
      <c r="M86" s="4">
        <v>4193</v>
      </c>
      <c r="N86" s="5">
        <v>78.703999999999994</v>
      </c>
      <c r="O86" s="5">
        <v>686.59100000000001</v>
      </c>
      <c r="P86" s="4">
        <v>1</v>
      </c>
      <c r="Q86" s="5">
        <v>179990.40299999999</v>
      </c>
      <c r="R86" s="5">
        <v>1497043.8629999999</v>
      </c>
      <c r="S86" s="4">
        <v>930136</v>
      </c>
    </row>
    <row r="87" spans="2:19" x14ac:dyDescent="0.3">
      <c r="B87" s="4">
        <v>2023</v>
      </c>
      <c r="C87" s="4">
        <v>11</v>
      </c>
      <c r="D87" s="3" t="s">
        <v>20</v>
      </c>
      <c r="E87" s="5">
        <v>103427.739</v>
      </c>
      <c r="F87" s="5">
        <v>674023.96200000006</v>
      </c>
      <c r="G87" s="4">
        <v>819522</v>
      </c>
      <c r="H87" s="5">
        <v>64945.209000000003</v>
      </c>
      <c r="I87" s="5">
        <v>510030.33100000001</v>
      </c>
      <c r="J87" s="4">
        <v>108421</v>
      </c>
      <c r="K87" s="5">
        <v>30856.002</v>
      </c>
      <c r="L87" s="5">
        <v>404362.09700000001</v>
      </c>
      <c r="M87" s="4">
        <v>4187</v>
      </c>
      <c r="N87" s="5">
        <v>89.277000000000001</v>
      </c>
      <c r="O87" s="5">
        <v>808.70600000000002</v>
      </c>
      <c r="P87" s="4">
        <v>1</v>
      </c>
      <c r="Q87" s="5">
        <v>199318.22700000001</v>
      </c>
      <c r="R87" s="5">
        <v>1589225.0959999999</v>
      </c>
      <c r="S87" s="4">
        <v>932131</v>
      </c>
    </row>
    <row r="88" spans="2:19" x14ac:dyDescent="0.3">
      <c r="B88" s="4">
        <v>2023</v>
      </c>
      <c r="C88" s="4">
        <v>12</v>
      </c>
      <c r="D88" s="3" t="s">
        <v>20</v>
      </c>
      <c r="E88" s="5">
        <v>118019.363</v>
      </c>
      <c r="F88" s="5">
        <v>778459.31400000001</v>
      </c>
      <c r="G88" s="4">
        <v>820631</v>
      </c>
      <c r="H88" s="5">
        <v>64009.366999999998</v>
      </c>
      <c r="I88" s="5">
        <v>554377.74699999997</v>
      </c>
      <c r="J88" s="4">
        <v>108194</v>
      </c>
      <c r="K88" s="5">
        <v>29910.138999999999</v>
      </c>
      <c r="L88" s="5">
        <v>388711.63799999998</v>
      </c>
      <c r="M88" s="4">
        <v>4161</v>
      </c>
      <c r="N88" s="5">
        <v>87.301000000000002</v>
      </c>
      <c r="O88" s="5">
        <v>752.80499999999995</v>
      </c>
      <c r="P88" s="4">
        <v>1</v>
      </c>
      <c r="Q88" s="5">
        <v>212026.17</v>
      </c>
      <c r="R88" s="5">
        <v>1722301.504</v>
      </c>
      <c r="S88" s="4">
        <v>932987</v>
      </c>
    </row>
    <row r="89" spans="2:19" x14ac:dyDescent="0.3">
      <c r="B89" s="4">
        <v>2024</v>
      </c>
      <c r="C89" s="4">
        <v>1</v>
      </c>
      <c r="D89" s="3" t="s">
        <v>20</v>
      </c>
      <c r="E89" s="5">
        <v>153305.174</v>
      </c>
      <c r="F89" s="5">
        <v>868701.66500000004</v>
      </c>
      <c r="G89" s="4">
        <v>822345</v>
      </c>
      <c r="H89" s="5">
        <v>77082.653000000006</v>
      </c>
      <c r="I89" s="5">
        <v>567758.39899999998</v>
      </c>
      <c r="J89" s="4">
        <v>108187</v>
      </c>
      <c r="K89" s="5">
        <v>34235.877999999997</v>
      </c>
      <c r="L89" s="5">
        <v>432442.66100000002</v>
      </c>
      <c r="M89" s="4">
        <v>4157</v>
      </c>
      <c r="N89" s="5">
        <v>119.84</v>
      </c>
      <c r="O89" s="5">
        <v>964.68499999999995</v>
      </c>
      <c r="P89" s="4">
        <v>1</v>
      </c>
      <c r="Q89" s="5">
        <v>264743.54499999998</v>
      </c>
      <c r="R89" s="5">
        <v>1869867.41</v>
      </c>
      <c r="S89" s="4">
        <v>934690</v>
      </c>
    </row>
    <row r="90" spans="2:19" x14ac:dyDescent="0.3">
      <c r="B90" s="4">
        <v>2024</v>
      </c>
      <c r="C90" s="4">
        <v>2</v>
      </c>
      <c r="D90" s="3" t="s">
        <v>20</v>
      </c>
      <c r="E90" s="5">
        <v>125209.208</v>
      </c>
      <c r="F90" s="5">
        <v>695805.99800000002</v>
      </c>
      <c r="G90" s="4">
        <v>824585</v>
      </c>
      <c r="H90" s="5">
        <v>72736.028999999995</v>
      </c>
      <c r="I90" s="5">
        <v>522044.55499999999</v>
      </c>
      <c r="J90" s="4">
        <v>109037</v>
      </c>
      <c r="K90" s="5">
        <v>32947.326000000001</v>
      </c>
      <c r="L90" s="5">
        <v>347630.92700000003</v>
      </c>
      <c r="M90" s="4">
        <v>4236</v>
      </c>
      <c r="N90" s="5">
        <v>91.296000000000006</v>
      </c>
      <c r="O90" s="5">
        <v>695.18499999999995</v>
      </c>
      <c r="P90" s="4">
        <v>1</v>
      </c>
      <c r="Q90" s="5">
        <v>230983.859</v>
      </c>
      <c r="R90" s="5">
        <v>1566176.665</v>
      </c>
      <c r="S90" s="4">
        <v>937859</v>
      </c>
    </row>
    <row r="91" spans="2:19" x14ac:dyDescent="0.3">
      <c r="B91" s="4">
        <v>2024</v>
      </c>
      <c r="C91" s="4">
        <v>3</v>
      </c>
      <c r="D91" s="3" t="s">
        <v>20</v>
      </c>
      <c r="E91" s="5">
        <v>122081.16</v>
      </c>
      <c r="F91" s="5">
        <v>678038.97</v>
      </c>
      <c r="G91" s="4">
        <v>825786</v>
      </c>
      <c r="H91" s="5">
        <v>74509.585000000006</v>
      </c>
      <c r="I91" s="5">
        <v>533628.549</v>
      </c>
      <c r="J91" s="4">
        <v>109327</v>
      </c>
      <c r="K91" s="5">
        <v>35795.485000000001</v>
      </c>
      <c r="L91" s="5">
        <v>407830.02899999998</v>
      </c>
      <c r="M91" s="4">
        <v>4272</v>
      </c>
      <c r="N91" s="5">
        <v>93.168999999999997</v>
      </c>
      <c r="O91" s="5">
        <v>724.40800000000002</v>
      </c>
      <c r="P91" s="4">
        <v>1</v>
      </c>
      <c r="Q91" s="5">
        <v>232479.399</v>
      </c>
      <c r="R91" s="5">
        <v>1620221.956</v>
      </c>
      <c r="S91" s="4">
        <v>939386</v>
      </c>
    </row>
    <row r="92" spans="2:19" x14ac:dyDescent="0.3">
      <c r="B92" s="4">
        <v>2024</v>
      </c>
      <c r="C92" s="4">
        <v>4</v>
      </c>
      <c r="D92" s="3" t="s">
        <v>20</v>
      </c>
      <c r="E92" s="5">
        <v>101095.234</v>
      </c>
      <c r="F92" s="5">
        <v>549876.31599999999</v>
      </c>
      <c r="G92" s="4">
        <v>826711</v>
      </c>
      <c r="H92" s="5">
        <v>71516.865999999995</v>
      </c>
      <c r="I92" s="5">
        <v>509260.58399999997</v>
      </c>
      <c r="J92" s="4">
        <v>109381</v>
      </c>
      <c r="K92" s="5">
        <v>32705.13</v>
      </c>
      <c r="L92" s="5">
        <v>386434.54599999997</v>
      </c>
      <c r="M92" s="4">
        <v>4281</v>
      </c>
      <c r="N92" s="5">
        <v>93.575999999999993</v>
      </c>
      <c r="O92" s="5">
        <v>754.09100000000001</v>
      </c>
      <c r="P92" s="4">
        <v>1</v>
      </c>
      <c r="Q92" s="5">
        <v>205410.80600000001</v>
      </c>
      <c r="R92" s="5">
        <v>1446325.537</v>
      </c>
      <c r="S92" s="4">
        <v>940374</v>
      </c>
    </row>
    <row r="93" spans="2:19" x14ac:dyDescent="0.3">
      <c r="B93" s="4">
        <v>2024</v>
      </c>
      <c r="C93" s="4">
        <v>5</v>
      </c>
      <c r="D93" s="3" t="s">
        <v>20</v>
      </c>
      <c r="E93" s="5">
        <v>99047.767999999996</v>
      </c>
      <c r="F93" s="5">
        <v>535391.58799999999</v>
      </c>
      <c r="G93" s="4">
        <v>828581</v>
      </c>
      <c r="H93" s="5">
        <v>72303.055999999997</v>
      </c>
      <c r="I93" s="5">
        <v>509885.185</v>
      </c>
      <c r="J93" s="4">
        <v>109497</v>
      </c>
      <c r="K93" s="5">
        <v>37363.728000000003</v>
      </c>
      <c r="L93" s="5">
        <v>420301.587</v>
      </c>
      <c r="M93" s="4">
        <v>4269</v>
      </c>
      <c r="N93" s="5">
        <v>98.358999999999995</v>
      </c>
      <c r="O93" s="5">
        <v>807.32600000000002</v>
      </c>
      <c r="P93" s="4">
        <v>1</v>
      </c>
      <c r="Q93" s="5">
        <v>208812.91099999999</v>
      </c>
      <c r="R93" s="5">
        <v>1466385.686</v>
      </c>
      <c r="S93" s="4">
        <v>942348</v>
      </c>
    </row>
    <row r="94" spans="2:19" x14ac:dyDescent="0.3">
      <c r="B94" s="4">
        <v>2024</v>
      </c>
      <c r="C94" s="4">
        <v>6</v>
      </c>
      <c r="D94" s="3" t="s">
        <v>20</v>
      </c>
      <c r="E94" s="5">
        <v>96737.399000000005</v>
      </c>
      <c r="F94" s="5">
        <v>523135.429</v>
      </c>
      <c r="G94" s="4">
        <v>829774</v>
      </c>
      <c r="H94" s="5">
        <v>71394.176999999996</v>
      </c>
      <c r="I94" s="5">
        <v>514870.07699999999</v>
      </c>
      <c r="J94" s="4">
        <v>109636</v>
      </c>
      <c r="K94" s="5">
        <v>36596.883000000002</v>
      </c>
      <c r="L94" s="5">
        <v>409448.745</v>
      </c>
      <c r="M94" s="4">
        <v>4289</v>
      </c>
      <c r="N94" s="5">
        <v>103.97799999999999</v>
      </c>
      <c r="O94" s="5">
        <v>886.73699999999997</v>
      </c>
      <c r="P94" s="4">
        <v>1</v>
      </c>
      <c r="Q94" s="5">
        <v>204832.43700000001</v>
      </c>
      <c r="R94" s="5">
        <v>1448340.9879999999</v>
      </c>
      <c r="S94" s="4">
        <v>943700</v>
      </c>
    </row>
    <row r="95" spans="2:19" x14ac:dyDescent="0.3">
      <c r="B95" s="4">
        <v>2024</v>
      </c>
      <c r="C95" s="4">
        <v>7</v>
      </c>
      <c r="D95" s="3" t="s">
        <v>20</v>
      </c>
      <c r="E95" s="5">
        <v>128774.52</v>
      </c>
      <c r="F95" s="5">
        <v>715486.24199999997</v>
      </c>
      <c r="G95" s="4">
        <v>830947</v>
      </c>
      <c r="H95" s="5">
        <v>81436.366999999998</v>
      </c>
      <c r="I95" s="5">
        <v>598624.69299999997</v>
      </c>
      <c r="J95" s="4">
        <v>109694</v>
      </c>
      <c r="K95" s="5">
        <v>41292.178</v>
      </c>
      <c r="L95" s="5">
        <v>449991.11499999999</v>
      </c>
      <c r="M95" s="4">
        <v>4308</v>
      </c>
      <c r="N95" s="5">
        <v>106.675</v>
      </c>
      <c r="O95" s="5">
        <v>918.84799999999996</v>
      </c>
      <c r="P95" s="4">
        <v>1</v>
      </c>
      <c r="Q95" s="5">
        <v>251609.74</v>
      </c>
      <c r="R95" s="5">
        <v>1765020.898</v>
      </c>
      <c r="S95" s="4">
        <v>944950</v>
      </c>
    </row>
    <row r="96" spans="2:19" x14ac:dyDescent="0.3">
      <c r="B96" s="4">
        <v>2024</v>
      </c>
      <c r="C96" s="4">
        <v>8</v>
      </c>
      <c r="D96" s="3" t="s">
        <v>20</v>
      </c>
      <c r="E96" s="5">
        <v>114403.55899999999</v>
      </c>
      <c r="F96" s="5">
        <v>617985.04500000004</v>
      </c>
      <c r="G96" s="4">
        <v>832291</v>
      </c>
      <c r="H96" s="5">
        <v>77837.98</v>
      </c>
      <c r="I96" s="5">
        <v>571186.42799999996</v>
      </c>
      <c r="J96" s="4">
        <v>109505</v>
      </c>
      <c r="K96" s="5">
        <v>43334.665000000001</v>
      </c>
      <c r="L96" s="5">
        <v>475516.35499999998</v>
      </c>
      <c r="M96" s="4">
        <v>4308</v>
      </c>
      <c r="N96" s="5">
        <v>107.20099999999999</v>
      </c>
      <c r="O96" s="5">
        <v>939.69100000000003</v>
      </c>
      <c r="P96" s="4">
        <v>1</v>
      </c>
      <c r="Q96" s="5">
        <v>235683.405</v>
      </c>
      <c r="R96" s="5">
        <v>1665627.5190000001</v>
      </c>
      <c r="S96" s="4">
        <v>946105</v>
      </c>
    </row>
    <row r="97" spans="2:19" x14ac:dyDescent="0.3">
      <c r="B97" s="4">
        <v>2024</v>
      </c>
      <c r="C97" s="4">
        <v>9</v>
      </c>
      <c r="D97" s="3" t="s">
        <v>20</v>
      </c>
      <c r="E97" s="5">
        <v>100305.272</v>
      </c>
      <c r="F97" s="5">
        <v>535347.53700000001</v>
      </c>
      <c r="G97" s="4">
        <v>831582</v>
      </c>
      <c r="H97" s="5">
        <v>73160.016000000003</v>
      </c>
      <c r="I97" s="5">
        <v>524187.902</v>
      </c>
      <c r="J97" s="4">
        <v>109181</v>
      </c>
      <c r="K97" s="5">
        <v>40278.029000000002</v>
      </c>
      <c r="L97" s="5">
        <v>443244.96899999998</v>
      </c>
      <c r="M97" s="4">
        <v>4254</v>
      </c>
      <c r="N97" s="5">
        <v>100.825</v>
      </c>
      <c r="O97" s="5">
        <v>853.82299999999998</v>
      </c>
      <c r="P97" s="4">
        <v>1</v>
      </c>
      <c r="Q97" s="5">
        <v>213844.14199999999</v>
      </c>
      <c r="R97" s="5">
        <v>1503634.2309999999</v>
      </c>
      <c r="S97" s="4">
        <v>945018</v>
      </c>
    </row>
    <row r="98" spans="2:19" x14ac:dyDescent="0.3">
      <c r="B98" s="4">
        <v>2024</v>
      </c>
      <c r="C98" s="4">
        <v>10</v>
      </c>
      <c r="D98" s="3" t="s">
        <v>20</v>
      </c>
      <c r="E98" s="5">
        <v>100000.61199999999</v>
      </c>
      <c r="F98" s="5">
        <v>534985.01899999997</v>
      </c>
      <c r="G98" s="4">
        <v>833100</v>
      </c>
      <c r="H98" s="5">
        <v>72771.317999999999</v>
      </c>
      <c r="I98" s="5">
        <v>518285.36200000002</v>
      </c>
      <c r="J98" s="4">
        <v>109571</v>
      </c>
      <c r="K98" s="5">
        <v>39826.171999999999</v>
      </c>
      <c r="L98" s="5">
        <v>444589.478</v>
      </c>
      <c r="M98" s="4">
        <v>4306</v>
      </c>
      <c r="N98" s="5">
        <v>98.23</v>
      </c>
      <c r="O98" s="5">
        <v>806.596</v>
      </c>
      <c r="P98" s="4">
        <v>1</v>
      </c>
      <c r="Q98" s="5">
        <v>212696.33199999999</v>
      </c>
      <c r="R98" s="5">
        <v>1498666.4550000001</v>
      </c>
      <c r="S98" s="4">
        <v>946978</v>
      </c>
    </row>
    <row r="99" spans="2:19" x14ac:dyDescent="0.3">
      <c r="B99" s="4">
        <v>2024</v>
      </c>
      <c r="C99" s="4">
        <v>11</v>
      </c>
      <c r="D99" s="3" t="s">
        <v>20</v>
      </c>
      <c r="E99" s="5">
        <v>122291.02099999999</v>
      </c>
      <c r="F99" s="5">
        <v>675359.25100000005</v>
      </c>
      <c r="G99" s="4">
        <v>825523</v>
      </c>
      <c r="H99" s="5">
        <v>72035.846999999994</v>
      </c>
      <c r="I99" s="5">
        <v>514055.87699999998</v>
      </c>
      <c r="J99" s="4">
        <v>108057</v>
      </c>
      <c r="K99" s="5">
        <v>37739.46</v>
      </c>
      <c r="L99" s="5">
        <v>431193.61800000002</v>
      </c>
      <c r="M99" s="4">
        <v>4206</v>
      </c>
      <c r="N99" s="5">
        <v>99.269000000000005</v>
      </c>
      <c r="O99" s="5">
        <v>807.28200000000004</v>
      </c>
      <c r="P99" s="4">
        <v>1</v>
      </c>
      <c r="Q99" s="5">
        <v>232165.59700000001</v>
      </c>
      <c r="R99" s="5">
        <v>1621416.0279999999</v>
      </c>
      <c r="S99" s="4">
        <v>937787</v>
      </c>
    </row>
    <row r="100" spans="2:19" x14ac:dyDescent="0.3">
      <c r="B100" s="4">
        <v>2024</v>
      </c>
      <c r="C100" s="4">
        <v>12</v>
      </c>
      <c r="D100" s="3" t="s">
        <v>20</v>
      </c>
      <c r="E100" s="5">
        <v>143119.71</v>
      </c>
      <c r="F100" s="5">
        <v>801480.63199999998</v>
      </c>
      <c r="G100" s="4">
        <v>835058</v>
      </c>
      <c r="H100" s="5">
        <v>75598.391000000003</v>
      </c>
      <c r="I100" s="5">
        <v>549603.43299999996</v>
      </c>
      <c r="J100" s="4">
        <v>110145</v>
      </c>
      <c r="K100" s="5">
        <v>38983.574999999997</v>
      </c>
      <c r="L100" s="5">
        <v>448811.19900000002</v>
      </c>
      <c r="M100" s="4">
        <v>4196</v>
      </c>
      <c r="N100" s="5">
        <v>118.053</v>
      </c>
      <c r="O100" s="5">
        <v>1042.808</v>
      </c>
      <c r="P100" s="4">
        <v>1</v>
      </c>
      <c r="Q100" s="5">
        <v>257819.72899999999</v>
      </c>
      <c r="R100" s="5">
        <v>1800938.0719999999</v>
      </c>
      <c r="S100" s="4">
        <v>949400</v>
      </c>
    </row>
    <row r="101" spans="2:19" x14ac:dyDescent="0.3">
      <c r="B101" s="4">
        <v>2025</v>
      </c>
      <c r="C101" s="4">
        <v>1</v>
      </c>
      <c r="D101" s="3" t="s">
        <v>21</v>
      </c>
      <c r="E101" s="5">
        <v>151764.88200000001</v>
      </c>
      <c r="F101" s="5">
        <v>832830.44099999999</v>
      </c>
      <c r="G101" s="4">
        <v>835265</v>
      </c>
      <c r="H101" s="5">
        <v>83544.983999999997</v>
      </c>
      <c r="I101" s="5">
        <v>597525.11499999999</v>
      </c>
      <c r="J101" s="4">
        <v>110074</v>
      </c>
      <c r="K101" s="5">
        <v>45011.595999999998</v>
      </c>
      <c r="L101" s="5">
        <v>504724.804</v>
      </c>
      <c r="M101" s="4">
        <v>4240</v>
      </c>
      <c r="N101" s="5">
        <v>140.25899999999999</v>
      </c>
      <c r="O101" s="5">
        <v>1085.8520000000001</v>
      </c>
      <c r="P101" s="4">
        <v>1</v>
      </c>
      <c r="Q101" s="5">
        <v>280461.72100000002</v>
      </c>
      <c r="R101" s="5">
        <v>1936166.2120000001</v>
      </c>
      <c r="S101" s="4">
        <v>949580</v>
      </c>
    </row>
    <row r="102" spans="2:19" x14ac:dyDescent="0.3">
      <c r="B102" s="4">
        <v>2025</v>
      </c>
      <c r="C102" s="4">
        <v>2</v>
      </c>
      <c r="D102" s="3" t="s">
        <v>21</v>
      </c>
      <c r="E102" s="5">
        <v>137043.18299999999</v>
      </c>
      <c r="F102" s="5">
        <v>738078.33499999996</v>
      </c>
      <c r="G102" s="4">
        <v>837706</v>
      </c>
      <c r="H102" s="5">
        <v>75810.145999999993</v>
      </c>
      <c r="I102" s="5">
        <v>492706.15500000003</v>
      </c>
      <c r="J102" s="4">
        <v>110207</v>
      </c>
      <c r="K102" s="5">
        <v>39294.548999999999</v>
      </c>
      <c r="L102" s="5">
        <v>427157.304</v>
      </c>
      <c r="M102" s="4">
        <v>4233</v>
      </c>
      <c r="N102" s="5">
        <v>140.417</v>
      </c>
      <c r="O102" s="5">
        <v>1073.6790000000001</v>
      </c>
      <c r="P102" s="4">
        <v>1</v>
      </c>
      <c r="Q102" s="5">
        <v>252288.29500000001</v>
      </c>
      <c r="R102" s="5">
        <v>1659015.473</v>
      </c>
      <c r="S102" s="4">
        <v>952147</v>
      </c>
    </row>
    <row r="103" spans="2:19" x14ac:dyDescent="0.3">
      <c r="B103" s="4">
        <v>2025</v>
      </c>
      <c r="C103" s="4">
        <v>3</v>
      </c>
      <c r="D103" s="3" t="s">
        <v>21</v>
      </c>
      <c r="E103" s="5">
        <v>124082.406</v>
      </c>
      <c r="F103" s="5">
        <v>654765.29299999995</v>
      </c>
      <c r="G103" s="4">
        <v>838355</v>
      </c>
      <c r="H103" s="5">
        <v>80388.994000000006</v>
      </c>
      <c r="I103" s="5">
        <v>538147.40800000005</v>
      </c>
      <c r="J103" s="4">
        <v>110151</v>
      </c>
      <c r="K103" s="5">
        <v>43010.792999999998</v>
      </c>
      <c r="L103" s="5">
        <v>467056.06099999999</v>
      </c>
      <c r="M103" s="4">
        <v>4311</v>
      </c>
      <c r="N103" s="5">
        <v>120.20399999999999</v>
      </c>
      <c r="O103" s="5">
        <v>920.23800000000006</v>
      </c>
      <c r="P103" s="4">
        <v>1</v>
      </c>
      <c r="Q103" s="5">
        <v>247602.397</v>
      </c>
      <c r="R103" s="5">
        <v>1660889</v>
      </c>
      <c r="S103" s="4">
        <v>952818</v>
      </c>
    </row>
    <row r="104" spans="2:19" x14ac:dyDescent="0.3">
      <c r="B104" s="4">
        <v>2025</v>
      </c>
      <c r="C104" s="4">
        <v>4</v>
      </c>
      <c r="D104" s="3" t="s">
        <v>21</v>
      </c>
      <c r="E104" s="5">
        <v>99542.54</v>
      </c>
      <c r="F104" s="5">
        <v>524837.79200000002</v>
      </c>
      <c r="G104" s="4">
        <v>839466</v>
      </c>
      <c r="H104" s="5">
        <v>75807.73</v>
      </c>
      <c r="I104" s="5">
        <v>493733.36200000002</v>
      </c>
      <c r="J104" s="4">
        <v>110221</v>
      </c>
      <c r="K104" s="5">
        <v>42180.690999999999</v>
      </c>
      <c r="L104" s="5">
        <v>462130.18199999997</v>
      </c>
      <c r="M104" s="4">
        <v>4203</v>
      </c>
      <c r="N104" s="5">
        <v>106.881</v>
      </c>
      <c r="O104" s="5">
        <v>839.41700000000003</v>
      </c>
      <c r="P104" s="4">
        <v>1</v>
      </c>
      <c r="Q104" s="5">
        <v>217637.842</v>
      </c>
      <c r="R104" s="5">
        <v>1481540.753</v>
      </c>
      <c r="S104" s="4">
        <v>953891</v>
      </c>
    </row>
    <row r="105" spans="2:19" x14ac:dyDescent="0.3">
      <c r="B105" s="4">
        <v>2025</v>
      </c>
      <c r="C105" s="4">
        <v>5</v>
      </c>
      <c r="D105" s="3" t="s">
        <v>21</v>
      </c>
      <c r="E105" s="5">
        <v>96334.062000000005</v>
      </c>
      <c r="F105" s="5">
        <v>500630.43199999997</v>
      </c>
      <c r="G105" s="4">
        <v>839880</v>
      </c>
      <c r="H105" s="5">
        <v>74784.043000000005</v>
      </c>
      <c r="I105" s="5">
        <v>501079.17</v>
      </c>
      <c r="J105" s="4">
        <v>110221</v>
      </c>
      <c r="K105" s="5">
        <v>45063.44</v>
      </c>
      <c r="L105" s="5">
        <v>482142.6</v>
      </c>
      <c r="M105" s="4">
        <v>4273</v>
      </c>
      <c r="N105" s="5">
        <v>108.986</v>
      </c>
      <c r="O105" s="5">
        <v>896.44399999999996</v>
      </c>
      <c r="P105" s="4">
        <v>1</v>
      </c>
      <c r="Q105" s="5">
        <v>216290.53099999999</v>
      </c>
      <c r="R105" s="5">
        <v>1484748.6459999999</v>
      </c>
      <c r="S105" s="4">
        <v>954375</v>
      </c>
    </row>
    <row r="106" spans="2:19" x14ac:dyDescent="0.3">
      <c r="B106" s="4">
        <v>2025</v>
      </c>
      <c r="C106" s="4">
        <v>6</v>
      </c>
      <c r="D106" s="3" t="s">
        <v>21</v>
      </c>
      <c r="E106" s="5">
        <v>103526.371</v>
      </c>
      <c r="F106" s="5">
        <v>546110.19400000002</v>
      </c>
      <c r="G106" s="4">
        <v>840422</v>
      </c>
      <c r="H106" s="5">
        <v>78212.959000000003</v>
      </c>
      <c r="I106" s="5">
        <v>529999.25699999998</v>
      </c>
      <c r="J106" s="4">
        <v>110061</v>
      </c>
      <c r="K106" s="5">
        <v>46233.313000000002</v>
      </c>
      <c r="L106" s="5">
        <v>489686.391</v>
      </c>
      <c r="M106" s="4">
        <v>4362</v>
      </c>
      <c r="N106" s="5">
        <v>111.185</v>
      </c>
      <c r="O106" s="5">
        <v>858.12099999999998</v>
      </c>
      <c r="P106" s="4">
        <v>1</v>
      </c>
      <c r="Q106" s="5">
        <v>228083.82800000001</v>
      </c>
      <c r="R106" s="5">
        <v>1566653.963</v>
      </c>
      <c r="S106" s="4">
        <v>954846</v>
      </c>
    </row>
    <row r="107" spans="2:19" x14ac:dyDescent="0.3">
      <c r="B107" s="4">
        <v>2025</v>
      </c>
      <c r="C107" s="4">
        <v>7</v>
      </c>
      <c r="D107" s="3" t="s">
        <v>21</v>
      </c>
      <c r="E107" s="5">
        <v>127019.141</v>
      </c>
      <c r="F107" s="5">
        <v>682845.05</v>
      </c>
      <c r="G107" s="4">
        <v>840707</v>
      </c>
      <c r="H107" s="5">
        <v>83054.343999999997</v>
      </c>
      <c r="I107" s="5">
        <v>577118.44099999999</v>
      </c>
      <c r="J107" s="4">
        <v>110213</v>
      </c>
      <c r="K107" s="5">
        <v>50047.942000000003</v>
      </c>
      <c r="L107" s="5">
        <v>528241.18200000003</v>
      </c>
      <c r="M107" s="4">
        <v>4300</v>
      </c>
      <c r="N107" s="5">
        <v>112.10299999999999</v>
      </c>
      <c r="O107" s="5">
        <v>905.19899999999996</v>
      </c>
      <c r="P107" s="4">
        <v>1</v>
      </c>
      <c r="Q107" s="5">
        <v>260233.53</v>
      </c>
      <c r="R107" s="5">
        <v>1789109.872</v>
      </c>
      <c r="S107" s="4">
        <v>955221</v>
      </c>
    </row>
    <row r="108" spans="2:19" x14ac:dyDescent="0.3">
      <c r="B108" s="4">
        <v>2025</v>
      </c>
      <c r="C108" s="4">
        <v>8</v>
      </c>
      <c r="D108" s="3" t="s">
        <v>21</v>
      </c>
      <c r="E108" s="5">
        <v>130481.433</v>
      </c>
      <c r="F108" s="5">
        <v>697226.34499999997</v>
      </c>
      <c r="G108" s="4">
        <v>841194</v>
      </c>
      <c r="H108" s="5">
        <v>86482.629000000001</v>
      </c>
      <c r="I108" s="5">
        <v>594591.95299999998</v>
      </c>
      <c r="J108" s="4">
        <v>109967</v>
      </c>
      <c r="K108" s="5">
        <v>51193.17</v>
      </c>
      <c r="L108" s="5">
        <v>547856.83499999996</v>
      </c>
      <c r="M108" s="4">
        <v>4291</v>
      </c>
      <c r="N108" s="5">
        <v>117.146</v>
      </c>
      <c r="O108" s="5">
        <v>919.88599999999997</v>
      </c>
      <c r="P108" s="4">
        <v>1</v>
      </c>
      <c r="Q108" s="5">
        <v>268274.37800000003</v>
      </c>
      <c r="R108" s="5">
        <v>1840595.0190000001</v>
      </c>
      <c r="S108" s="4">
        <v>955453</v>
      </c>
    </row>
    <row r="109" spans="2:19" x14ac:dyDescent="0.3">
      <c r="B109" s="4">
        <v>2025</v>
      </c>
      <c r="C109" s="4">
        <v>9</v>
      </c>
      <c r="D109" s="3" t="s">
        <v>21</v>
      </c>
      <c r="E109" s="5">
        <v>101796.416</v>
      </c>
      <c r="F109" s="5">
        <v>530607.103</v>
      </c>
      <c r="G109" s="4">
        <v>841869</v>
      </c>
      <c r="H109" s="5">
        <v>78171.157999999996</v>
      </c>
      <c r="I109" s="5">
        <v>531767.97199999995</v>
      </c>
      <c r="J109" s="4">
        <v>110327</v>
      </c>
      <c r="K109" s="5">
        <v>50319.355000000003</v>
      </c>
      <c r="L109" s="5">
        <v>530916.80599999998</v>
      </c>
      <c r="M109" s="4">
        <v>4326</v>
      </c>
      <c r="N109" s="5">
        <v>95.626000000000005</v>
      </c>
      <c r="O109" s="5">
        <v>768.59900000000005</v>
      </c>
      <c r="P109" s="4">
        <v>1</v>
      </c>
      <c r="Q109" s="5">
        <v>230382.55499999999</v>
      </c>
      <c r="R109" s="5">
        <v>1594060.48</v>
      </c>
      <c r="S109" s="4">
        <v>956523</v>
      </c>
    </row>
    <row r="110" spans="2:19" x14ac:dyDescent="0.3">
      <c r="B110" s="4">
        <v>2025</v>
      </c>
      <c r="C110" s="4">
        <v>10</v>
      </c>
      <c r="D110" s="3" t="s">
        <v>21</v>
      </c>
      <c r="E110" s="5">
        <v>103907.764</v>
      </c>
      <c r="F110" s="5">
        <v>543903.08200000005</v>
      </c>
      <c r="G110" s="4">
        <v>842935</v>
      </c>
      <c r="H110" s="5">
        <v>74575.642000000007</v>
      </c>
      <c r="I110" s="5">
        <v>499458.109</v>
      </c>
      <c r="J110" s="4">
        <v>110441</v>
      </c>
      <c r="K110" s="5">
        <v>47781.063000000002</v>
      </c>
      <c r="L110" s="5">
        <v>518810.34299999999</v>
      </c>
      <c r="M110" s="4">
        <v>4296</v>
      </c>
      <c r="N110" s="5">
        <v>125.809</v>
      </c>
      <c r="O110" s="5">
        <v>923.78200000000004</v>
      </c>
      <c r="P110" s="4">
        <v>1</v>
      </c>
      <c r="Q110" s="5">
        <v>226390.27799999999</v>
      </c>
      <c r="R110" s="5">
        <v>1563095.3160000001</v>
      </c>
      <c r="S110" s="4">
        <v>957673</v>
      </c>
    </row>
    <row r="111" spans="2:19" x14ac:dyDescent="0.3">
      <c r="B111" s="4">
        <v>2025</v>
      </c>
      <c r="C111" s="4">
        <v>11</v>
      </c>
      <c r="D111" s="3" t="s">
        <v>21</v>
      </c>
      <c r="E111" s="5">
        <v>117598.894</v>
      </c>
      <c r="F111" s="5">
        <v>620915.02</v>
      </c>
      <c r="G111" s="4">
        <v>843373</v>
      </c>
      <c r="H111" s="5">
        <v>73568.203999999998</v>
      </c>
      <c r="I111" s="5">
        <v>481930.85100000002</v>
      </c>
      <c r="J111" s="4">
        <v>110421</v>
      </c>
      <c r="K111" s="5">
        <v>45171.427000000003</v>
      </c>
      <c r="L111" s="5">
        <v>491293.96299999999</v>
      </c>
      <c r="M111" s="4">
        <v>4256</v>
      </c>
      <c r="N111" s="5">
        <v>105.494</v>
      </c>
      <c r="O111" s="5">
        <v>798.53800000000001</v>
      </c>
      <c r="P111" s="4">
        <v>1</v>
      </c>
      <c r="Q111" s="5">
        <v>236444.019</v>
      </c>
      <c r="R111" s="5">
        <v>1594938.372</v>
      </c>
      <c r="S111" s="4">
        <v>958051</v>
      </c>
    </row>
    <row r="112" spans="2:19" x14ac:dyDescent="0.3">
      <c r="B112" s="4">
        <v>2025</v>
      </c>
      <c r="C112" s="4">
        <v>12</v>
      </c>
      <c r="D112" s="3" t="s">
        <v>21</v>
      </c>
      <c r="E112" s="5">
        <v>134587.87599999999</v>
      </c>
      <c r="F112" s="5">
        <v>723548.52099999995</v>
      </c>
      <c r="G112" s="4">
        <v>844308</v>
      </c>
      <c r="H112" s="5">
        <v>80773.77</v>
      </c>
      <c r="I112" s="5">
        <v>547031.70900000003</v>
      </c>
      <c r="J112" s="4">
        <v>110212</v>
      </c>
      <c r="K112" s="5">
        <v>48612.533000000003</v>
      </c>
      <c r="L112" s="5">
        <v>525975.04299999995</v>
      </c>
      <c r="M112" s="4">
        <v>4312</v>
      </c>
      <c r="N112" s="5">
        <v>116.39700000000001</v>
      </c>
      <c r="O112" s="5">
        <v>927.03399999999999</v>
      </c>
      <c r="P112" s="4">
        <v>1</v>
      </c>
      <c r="Q112" s="5">
        <v>264090.576</v>
      </c>
      <c r="R112" s="5">
        <v>1797482.307</v>
      </c>
      <c r="S112" s="4">
        <v>958833</v>
      </c>
    </row>
    <row r="113" spans="2:19" x14ac:dyDescent="0.3">
      <c r="B113" s="4">
        <v>2026</v>
      </c>
      <c r="C113" s="4">
        <v>1</v>
      </c>
      <c r="D113" s="3" t="s">
        <v>21</v>
      </c>
      <c r="E113" s="5">
        <v>144314.45000000001</v>
      </c>
      <c r="F113" s="5">
        <v>801286.41200000001</v>
      </c>
      <c r="G113" s="4">
        <v>845079</v>
      </c>
      <c r="H113" s="5">
        <v>80414.048999999999</v>
      </c>
      <c r="I113" s="5">
        <v>559401.35100000002</v>
      </c>
      <c r="J113" s="4">
        <v>110273</v>
      </c>
      <c r="K113" s="5">
        <v>46629.218000000001</v>
      </c>
      <c r="L113" s="5">
        <v>519616.38</v>
      </c>
      <c r="M113" s="4">
        <v>4310</v>
      </c>
      <c r="N113" s="5">
        <v>137.71299999999999</v>
      </c>
      <c r="O113" s="5">
        <v>1125.6659999999999</v>
      </c>
      <c r="P113" s="4">
        <v>1</v>
      </c>
      <c r="Q113" s="5">
        <v>271495.43</v>
      </c>
      <c r="R113" s="5">
        <v>1881429.8089999999</v>
      </c>
      <c r="S113" s="4">
        <v>959663</v>
      </c>
    </row>
    <row r="114" spans="2:19" x14ac:dyDescent="0.3">
      <c r="B114" s="4">
        <v>2026</v>
      </c>
      <c r="C114" s="4">
        <v>2</v>
      </c>
      <c r="D114" s="3" t="s">
        <v>21</v>
      </c>
      <c r="E114" s="5">
        <v>119434.821</v>
      </c>
      <c r="F114" s="5">
        <v>658313.46400000004</v>
      </c>
      <c r="G114" s="4">
        <v>845421</v>
      </c>
      <c r="H114" s="5">
        <v>72983.817999999999</v>
      </c>
      <c r="I114" s="5">
        <v>500050.10600000003</v>
      </c>
      <c r="J114" s="4">
        <v>110510</v>
      </c>
      <c r="K114" s="5">
        <v>43913.196000000004</v>
      </c>
      <c r="L114" s="5">
        <v>481164.26500000001</v>
      </c>
      <c r="M114" s="4">
        <v>4303</v>
      </c>
      <c r="N114" s="5">
        <v>115.084</v>
      </c>
      <c r="O114" s="5">
        <v>875.90599999999995</v>
      </c>
      <c r="P114" s="4">
        <v>1</v>
      </c>
      <c r="Q114" s="5">
        <v>236446.91899999999</v>
      </c>
      <c r="R114" s="5">
        <v>1640403.7409999999</v>
      </c>
      <c r="S114" s="4">
        <v>960235</v>
      </c>
    </row>
    <row r="115" spans="2:19" x14ac:dyDescent="0.3">
      <c r="B115" s="4">
        <v>2026</v>
      </c>
      <c r="C115" s="4">
        <v>3</v>
      </c>
      <c r="D115" s="3" t="s">
        <v>21</v>
      </c>
      <c r="E115" s="5">
        <v>113584.64599999999</v>
      </c>
      <c r="F115" s="5">
        <v>626969.57900000003</v>
      </c>
      <c r="G115" s="4">
        <v>845954</v>
      </c>
      <c r="H115" s="5">
        <v>79333.281000000003</v>
      </c>
      <c r="I115" s="5">
        <v>530717.63</v>
      </c>
      <c r="J115" s="4">
        <v>110584</v>
      </c>
      <c r="K115" s="5">
        <v>48486.37</v>
      </c>
      <c r="L115" s="5">
        <v>527868.44499999995</v>
      </c>
      <c r="M115" s="4">
        <v>4303</v>
      </c>
      <c r="N115" s="5">
        <v>112.52800000000001</v>
      </c>
      <c r="O115" s="5">
        <v>809.50900000000001</v>
      </c>
      <c r="P115" s="4">
        <v>1</v>
      </c>
      <c r="Q115" s="5">
        <v>241516.82500000001</v>
      </c>
      <c r="R115" s="5">
        <v>1686365.1629999999</v>
      </c>
      <c r="S115" s="4">
        <v>960842</v>
      </c>
    </row>
    <row r="116" spans="2:19" x14ac:dyDescent="0.3">
      <c r="B116" s="4">
        <v>2026</v>
      </c>
      <c r="C116" s="4">
        <v>4</v>
      </c>
      <c r="D116" s="3" t="s">
        <v>21</v>
      </c>
      <c r="E116" s="5">
        <v>105039.094</v>
      </c>
      <c r="F116" s="5">
        <v>529952.37800000003</v>
      </c>
      <c r="G116" s="4">
        <v>846300</v>
      </c>
      <c r="H116" s="5">
        <v>76388.62</v>
      </c>
      <c r="I116" s="5">
        <v>471399.614</v>
      </c>
      <c r="J116" s="4">
        <v>110424</v>
      </c>
      <c r="K116" s="5">
        <v>52052.561999999998</v>
      </c>
      <c r="L116" s="5">
        <v>569165.73899999994</v>
      </c>
      <c r="M116" s="4">
        <v>4304</v>
      </c>
      <c r="N116" s="5">
        <v>104.87</v>
      </c>
      <c r="O116" s="5">
        <v>771.29300000000001</v>
      </c>
      <c r="P116" s="4">
        <v>1</v>
      </c>
      <c r="Q116" s="5">
        <v>233585.14600000001</v>
      </c>
      <c r="R116" s="5">
        <v>1571289.024</v>
      </c>
      <c r="S116" s="4">
        <v>961029</v>
      </c>
    </row>
    <row r="117" spans="2:19" x14ac:dyDescent="0.3">
      <c r="B117" s="4">
        <v>2026</v>
      </c>
      <c r="C117" s="4">
        <v>5</v>
      </c>
      <c r="D117" s="3" t="s">
        <v>21</v>
      </c>
      <c r="E117" s="5">
        <v>101981.458</v>
      </c>
      <c r="F117" s="5">
        <v>504999.75099999999</v>
      </c>
      <c r="G117" s="4">
        <v>846323</v>
      </c>
      <c r="H117" s="5">
        <v>82570.085999999996</v>
      </c>
      <c r="I117" s="5">
        <v>514098.663</v>
      </c>
      <c r="J117" s="4">
        <v>110377</v>
      </c>
      <c r="K117" s="5">
        <v>54607.057999999997</v>
      </c>
      <c r="L117" s="5">
        <v>549752.59199999995</v>
      </c>
      <c r="M117" s="4">
        <v>4318</v>
      </c>
      <c r="N117" s="5">
        <v>112.55200000000001</v>
      </c>
      <c r="O117" s="5">
        <v>852.08199999999999</v>
      </c>
      <c r="P117" s="4">
        <v>1</v>
      </c>
      <c r="Q117" s="5">
        <v>239271.15400000001</v>
      </c>
      <c r="R117" s="5">
        <v>1569703.088</v>
      </c>
      <c r="S117" s="4">
        <v>961019</v>
      </c>
    </row>
    <row r="118" spans="2:19" x14ac:dyDescent="0.3">
      <c r="B118" s="4">
        <v>2026</v>
      </c>
      <c r="C118" s="4">
        <v>6</v>
      </c>
      <c r="D118" s="3" t="s">
        <v>21</v>
      </c>
      <c r="E118" s="5">
        <v>110790.29300000001</v>
      </c>
      <c r="F118" s="5">
        <v>556176.63399999996</v>
      </c>
      <c r="G118" s="4">
        <v>846477</v>
      </c>
      <c r="H118" s="5">
        <v>82615.251999999993</v>
      </c>
      <c r="I118" s="5">
        <v>524863.12</v>
      </c>
      <c r="J118" s="4">
        <v>110492</v>
      </c>
      <c r="K118" s="5">
        <v>54132.387999999999</v>
      </c>
      <c r="L118" s="5">
        <v>529905.67200000002</v>
      </c>
      <c r="M118" s="4">
        <v>4318</v>
      </c>
      <c r="N118" s="5">
        <v>108.748</v>
      </c>
      <c r="O118" s="5">
        <v>806.32</v>
      </c>
      <c r="P118" s="4">
        <v>1</v>
      </c>
      <c r="Q118" s="5">
        <v>247646.68100000001</v>
      </c>
      <c r="R118" s="5">
        <v>1611751.746</v>
      </c>
      <c r="S118" s="4">
        <v>961288</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B4A75-8940-4794-8509-11F897EAFAC3}">
  <sheetPr>
    <tabColor rgb="FF98A2B3"/>
  </sheetPr>
  <dimension ref="B1:B44"/>
  <sheetViews>
    <sheetView zoomScale="90" zoomScaleNormal="90" workbookViewId="0">
      <pane ySplit="4" topLeftCell="A5" activePane="bottomLeft" state="frozen"/>
      <selection pane="bottomLeft"/>
    </sheetView>
  </sheetViews>
  <sheetFormatPr defaultRowHeight="13" x14ac:dyDescent="0.3"/>
  <cols>
    <col min="1" max="1" width="2.69921875" customWidth="1"/>
    <col min="2" max="2" width="96.69921875" customWidth="1"/>
  </cols>
  <sheetData>
    <row r="1" spans="2:2" ht="30" customHeight="1" x14ac:dyDescent="0.55000000000000004">
      <c r="B1" s="1" t="s">
        <v>102</v>
      </c>
    </row>
    <row r="2" spans="2:2" x14ac:dyDescent="0.3">
      <c r="B2" s="2" t="s">
        <v>103</v>
      </c>
    </row>
    <row r="4" spans="2:2" x14ac:dyDescent="0.3">
      <c r="B4" t="s">
        <v>104</v>
      </c>
    </row>
    <row r="5" spans="2:2" x14ac:dyDescent="0.3">
      <c r="B5" s="6" t="s">
        <v>105</v>
      </c>
    </row>
    <row r="6" spans="2:2" x14ac:dyDescent="0.3">
      <c r="B6" s="6" t="s">
        <v>106</v>
      </c>
    </row>
    <row r="7" spans="2:2" x14ac:dyDescent="0.3">
      <c r="B7" s="6" t="s">
        <v>107</v>
      </c>
    </row>
    <row r="8" spans="2:2" x14ac:dyDescent="0.3">
      <c r="B8" s="6" t="s">
        <v>108</v>
      </c>
    </row>
    <row r="9" spans="2:2" x14ac:dyDescent="0.3">
      <c r="B9" s="6" t="s">
        <v>109</v>
      </c>
    </row>
    <row r="10" spans="2:2" x14ac:dyDescent="0.3">
      <c r="B10" s="6" t="s">
        <v>110</v>
      </c>
    </row>
    <row r="11" spans="2:2" x14ac:dyDescent="0.3">
      <c r="B11" s="6" t="s">
        <v>111</v>
      </c>
    </row>
    <row r="12" spans="2:2" x14ac:dyDescent="0.3">
      <c r="B12" s="6" t="s">
        <v>112</v>
      </c>
    </row>
    <row r="13" spans="2:2" x14ac:dyDescent="0.3">
      <c r="B13" s="6" t="s">
        <v>113</v>
      </c>
    </row>
    <row r="14" spans="2:2" x14ac:dyDescent="0.3">
      <c r="B14" s="6" t="s">
        <v>114</v>
      </c>
    </row>
    <row r="15" spans="2:2" x14ac:dyDescent="0.3">
      <c r="B15" s="6" t="s">
        <v>115</v>
      </c>
    </row>
    <row r="16" spans="2:2" x14ac:dyDescent="0.3">
      <c r="B16" s="6" t="s">
        <v>116</v>
      </c>
    </row>
    <row r="17" spans="2:2" x14ac:dyDescent="0.3">
      <c r="B17" s="6" t="s">
        <v>117</v>
      </c>
    </row>
    <row r="18" spans="2:2" x14ac:dyDescent="0.3">
      <c r="B18" s="6" t="s">
        <v>118</v>
      </c>
    </row>
    <row r="19" spans="2:2" x14ac:dyDescent="0.3">
      <c r="B19" s="6" t="s">
        <v>119</v>
      </c>
    </row>
    <row r="20" spans="2:2" x14ac:dyDescent="0.3">
      <c r="B20" s="6" t="s">
        <v>120</v>
      </c>
    </row>
    <row r="21" spans="2:2" x14ac:dyDescent="0.3">
      <c r="B21" s="6" t="s">
        <v>121</v>
      </c>
    </row>
    <row r="22" spans="2:2" x14ac:dyDescent="0.3">
      <c r="B22" s="6" t="s">
        <v>122</v>
      </c>
    </row>
    <row r="23" spans="2:2" x14ac:dyDescent="0.3">
      <c r="B23" s="6" t="s">
        <v>123</v>
      </c>
    </row>
    <row r="24" spans="2:2" x14ac:dyDescent="0.3">
      <c r="B24" s="6" t="s">
        <v>124</v>
      </c>
    </row>
    <row r="25" spans="2:2" x14ac:dyDescent="0.3">
      <c r="B25" s="6" t="s">
        <v>125</v>
      </c>
    </row>
    <row r="26" spans="2:2" x14ac:dyDescent="0.3">
      <c r="B26" s="6" t="s">
        <v>126</v>
      </c>
    </row>
    <row r="27" spans="2:2" x14ac:dyDescent="0.3">
      <c r="B27" s="6" t="s">
        <v>127</v>
      </c>
    </row>
    <row r="28" spans="2:2" x14ac:dyDescent="0.3">
      <c r="B28" s="6" t="s">
        <v>128</v>
      </c>
    </row>
    <row r="29" spans="2:2" x14ac:dyDescent="0.3">
      <c r="B29" s="6" t="s">
        <v>129</v>
      </c>
    </row>
    <row r="30" spans="2:2" x14ac:dyDescent="0.3">
      <c r="B30" s="6" t="s">
        <v>130</v>
      </c>
    </row>
    <row r="31" spans="2:2" x14ac:dyDescent="0.3">
      <c r="B31" s="6" t="s">
        <v>131</v>
      </c>
    </row>
    <row r="32" spans="2:2" x14ac:dyDescent="0.3">
      <c r="B32" s="6" t="s">
        <v>132</v>
      </c>
    </row>
    <row r="33" spans="2:2" x14ac:dyDescent="0.3">
      <c r="B33" s="6" t="s">
        <v>133</v>
      </c>
    </row>
    <row r="34" spans="2:2" x14ac:dyDescent="0.3">
      <c r="B34" s="6" t="s">
        <v>134</v>
      </c>
    </row>
    <row r="35" spans="2:2" x14ac:dyDescent="0.3">
      <c r="B35" s="6" t="s">
        <v>135</v>
      </c>
    </row>
    <row r="36" spans="2:2" x14ac:dyDescent="0.3">
      <c r="B36" s="6" t="s">
        <v>136</v>
      </c>
    </row>
    <row r="37" spans="2:2" x14ac:dyDescent="0.3">
      <c r="B37" s="6" t="s">
        <v>137</v>
      </c>
    </row>
    <row r="38" spans="2:2" x14ac:dyDescent="0.3">
      <c r="B38" s="6" t="s">
        <v>138</v>
      </c>
    </row>
    <row r="39" spans="2:2" x14ac:dyDescent="0.3">
      <c r="B39" s="6" t="s">
        <v>139</v>
      </c>
    </row>
    <row r="40" spans="2:2" x14ac:dyDescent="0.3">
      <c r="B40" s="6" t="s">
        <v>140</v>
      </c>
    </row>
    <row r="41" spans="2:2" x14ac:dyDescent="0.3">
      <c r="B41" s="6" t="s">
        <v>141</v>
      </c>
    </row>
    <row r="42" spans="2:2" x14ac:dyDescent="0.3">
      <c r="B42" s="6" t="s">
        <v>142</v>
      </c>
    </row>
    <row r="43" spans="2:2" x14ac:dyDescent="0.3">
      <c r="B43" s="6" t="s">
        <v>143</v>
      </c>
    </row>
    <row r="44" spans="2:2" x14ac:dyDescent="0.3">
      <c r="B44" s="6" t="s">
        <v>144</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5B13D-4EEA-4BCC-883D-11709A9628D0}">
  <sheetPr>
    <tabColor rgb="FF98A2B3"/>
  </sheetPr>
  <dimension ref="B1:S655"/>
  <sheetViews>
    <sheetView zoomScale="90" zoomScaleNormal="90" workbookViewId="0">
      <pane ySplit="4" topLeftCell="A5" activePane="bottomLeft" state="frozen"/>
      <selection pane="bottomLeft"/>
    </sheetView>
  </sheetViews>
  <sheetFormatPr defaultRowHeight="13" x14ac:dyDescent="0.3"/>
  <cols>
    <col min="1" max="1" width="2.69921875" customWidth="1"/>
    <col min="2" max="2" width="158.09765625" bestFit="1" customWidth="1"/>
    <col min="3" max="3" width="15.69921875" bestFit="1" customWidth="1"/>
    <col min="4" max="4" width="32.296875" bestFit="1" customWidth="1"/>
    <col min="5" max="5" width="16" bestFit="1" customWidth="1"/>
    <col min="6" max="6" width="13.5" bestFit="1" customWidth="1"/>
    <col min="7" max="7" width="25.8984375" bestFit="1" customWidth="1"/>
    <col min="10" max="10" width="12.8984375" bestFit="1" customWidth="1"/>
    <col min="11" max="11" width="15.69921875" bestFit="1" customWidth="1"/>
    <col min="12" max="12" width="40.59765625" bestFit="1" customWidth="1"/>
    <col min="13" max="13" width="16" bestFit="1" customWidth="1"/>
    <col min="16" max="16" width="12.8984375" bestFit="1" customWidth="1"/>
    <col min="17" max="17" width="15.69921875" bestFit="1" customWidth="1"/>
    <col min="18" max="18" width="47.59765625" bestFit="1" customWidth="1"/>
    <col min="19" max="19" width="16" bestFit="1" customWidth="1"/>
  </cols>
  <sheetData>
    <row r="1" spans="2:19" ht="30" customHeight="1" x14ac:dyDescent="0.55000000000000004">
      <c r="B1" s="1" t="s">
        <v>22</v>
      </c>
    </row>
    <row r="2" spans="2:19" x14ac:dyDescent="0.3">
      <c r="B2" s="2" t="s">
        <v>23</v>
      </c>
    </row>
    <row r="4" spans="2:19" x14ac:dyDescent="0.3">
      <c r="B4" s="3" t="s">
        <v>24</v>
      </c>
      <c r="C4" s="3" t="s">
        <v>25</v>
      </c>
      <c r="D4" s="3" t="s">
        <v>26</v>
      </c>
      <c r="E4" s="3" t="s">
        <v>27</v>
      </c>
      <c r="F4" s="3" t="s">
        <v>28</v>
      </c>
      <c r="G4" s="3" t="s">
        <v>29</v>
      </c>
      <c r="J4" s="3" t="s">
        <v>24</v>
      </c>
      <c r="K4" s="3" t="s">
        <v>25</v>
      </c>
      <c r="L4" s="3" t="s">
        <v>42</v>
      </c>
      <c r="M4" s="3" t="s">
        <v>27</v>
      </c>
      <c r="P4" s="3" t="s">
        <v>24</v>
      </c>
      <c r="Q4" s="3" t="s">
        <v>25</v>
      </c>
      <c r="R4" s="3" t="s">
        <v>58</v>
      </c>
      <c r="S4" s="3" t="s">
        <v>27</v>
      </c>
    </row>
    <row r="5" spans="2:19" x14ac:dyDescent="0.3">
      <c r="B5" s="4">
        <v>2014</v>
      </c>
      <c r="C5" s="4">
        <v>162</v>
      </c>
      <c r="D5" s="3" t="s">
        <v>30</v>
      </c>
      <c r="E5" s="5">
        <v>2184947113</v>
      </c>
      <c r="F5" s="5">
        <v>21968767</v>
      </c>
      <c r="G5" s="5">
        <v>1091517</v>
      </c>
      <c r="J5" s="4">
        <v>2014</v>
      </c>
      <c r="K5" s="4">
        <v>162</v>
      </c>
      <c r="L5" s="3" t="s">
        <v>43</v>
      </c>
      <c r="M5" s="5">
        <v>108863442</v>
      </c>
      <c r="P5" s="4">
        <v>2014</v>
      </c>
      <c r="Q5" s="4">
        <v>162</v>
      </c>
      <c r="R5" s="3" t="s">
        <v>59</v>
      </c>
      <c r="S5" s="5">
        <v>30391040</v>
      </c>
    </row>
    <row r="6" spans="2:19" x14ac:dyDescent="0.3">
      <c r="B6" s="4">
        <v>2014</v>
      </c>
      <c r="C6" s="4">
        <v>162</v>
      </c>
      <c r="D6" s="3" t="s">
        <v>31</v>
      </c>
      <c r="E6" s="5">
        <v>110582583</v>
      </c>
      <c r="F6" s="5">
        <v>1226588</v>
      </c>
      <c r="G6" s="5">
        <v>3452</v>
      </c>
      <c r="J6" s="4">
        <v>2014</v>
      </c>
      <c r="K6" s="4">
        <v>162</v>
      </c>
      <c r="L6" s="3" t="s">
        <v>44</v>
      </c>
      <c r="M6" s="5">
        <v>59105837</v>
      </c>
      <c r="P6" s="4">
        <v>2014</v>
      </c>
      <c r="Q6" s="4">
        <v>162</v>
      </c>
      <c r="R6" s="3" t="s">
        <v>60</v>
      </c>
      <c r="S6" s="5">
        <v>257633788</v>
      </c>
    </row>
    <row r="7" spans="2:19" x14ac:dyDescent="0.3">
      <c r="B7" s="4">
        <v>2014</v>
      </c>
      <c r="C7" s="4">
        <v>162</v>
      </c>
      <c r="D7" s="3" t="s">
        <v>32</v>
      </c>
      <c r="E7" s="5">
        <v>119141455</v>
      </c>
      <c r="F7" s="5"/>
      <c r="G7" s="5"/>
      <c r="J7" s="4">
        <v>2014</v>
      </c>
      <c r="K7" s="4">
        <v>162</v>
      </c>
      <c r="L7" s="3" t="s">
        <v>45</v>
      </c>
      <c r="M7" s="5">
        <v>113232006</v>
      </c>
      <c r="P7" s="4">
        <v>2014</v>
      </c>
      <c r="Q7" s="4">
        <v>162</v>
      </c>
      <c r="R7" s="3" t="s">
        <v>61</v>
      </c>
      <c r="S7" s="5">
        <v>992961</v>
      </c>
    </row>
    <row r="8" spans="2:19" x14ac:dyDescent="0.3">
      <c r="B8" s="4">
        <v>2014</v>
      </c>
      <c r="C8" s="4">
        <v>162</v>
      </c>
      <c r="D8" s="3" t="s">
        <v>33</v>
      </c>
      <c r="E8" s="5">
        <v>19369715</v>
      </c>
      <c r="F8" s="5">
        <v>91570</v>
      </c>
      <c r="G8" s="5">
        <v>6015</v>
      </c>
      <c r="J8" s="4">
        <v>2014</v>
      </c>
      <c r="K8" s="4">
        <v>162</v>
      </c>
      <c r="L8" s="3" t="s">
        <v>46</v>
      </c>
      <c r="M8" s="5">
        <v>84585142</v>
      </c>
      <c r="P8" s="4">
        <v>2014</v>
      </c>
      <c r="Q8" s="4">
        <v>162</v>
      </c>
      <c r="R8" s="3" t="s">
        <v>62</v>
      </c>
      <c r="S8" s="5">
        <v>145988003</v>
      </c>
    </row>
    <row r="9" spans="2:19" x14ac:dyDescent="0.3">
      <c r="B9" s="4">
        <v>2014</v>
      </c>
      <c r="C9" s="4">
        <v>162</v>
      </c>
      <c r="D9" s="3" t="s">
        <v>34</v>
      </c>
      <c r="E9" s="5">
        <v>1003205239</v>
      </c>
      <c r="F9" s="5">
        <v>10349928</v>
      </c>
      <c r="G9" s="5">
        <v>960708</v>
      </c>
      <c r="J9" s="4">
        <v>2014</v>
      </c>
      <c r="K9" s="4">
        <v>162</v>
      </c>
      <c r="L9" s="3" t="s">
        <v>47</v>
      </c>
      <c r="M9" s="5">
        <v>181574417</v>
      </c>
      <c r="P9" s="4">
        <v>2014</v>
      </c>
      <c r="Q9" s="4">
        <v>162</v>
      </c>
      <c r="R9" s="3" t="s">
        <v>63</v>
      </c>
      <c r="S9" s="5">
        <v>2184947113</v>
      </c>
    </row>
    <row r="10" spans="2:19" x14ac:dyDescent="0.3">
      <c r="B10" s="4">
        <v>2014</v>
      </c>
      <c r="C10" s="4">
        <v>162</v>
      </c>
      <c r="D10" s="3" t="s">
        <v>35</v>
      </c>
      <c r="E10" s="5">
        <v>2065805658</v>
      </c>
      <c r="F10" s="5">
        <v>21968767</v>
      </c>
      <c r="G10" s="5">
        <v>1091517</v>
      </c>
      <c r="J10" s="4">
        <v>2014</v>
      </c>
      <c r="K10" s="4">
        <v>162</v>
      </c>
      <c r="L10" s="3" t="s">
        <v>48</v>
      </c>
      <c r="M10" s="5">
        <v>81919012</v>
      </c>
      <c r="P10" s="4">
        <v>2014</v>
      </c>
      <c r="Q10" s="4">
        <v>162</v>
      </c>
      <c r="R10" s="3" t="s">
        <v>64</v>
      </c>
      <c r="S10" s="5">
        <v>1067747139</v>
      </c>
    </row>
    <row r="11" spans="2:19" x14ac:dyDescent="0.3">
      <c r="B11" s="4">
        <v>2014</v>
      </c>
      <c r="C11" s="4">
        <v>162</v>
      </c>
      <c r="D11" s="3" t="s">
        <v>36</v>
      </c>
      <c r="E11" s="5">
        <v>107556910</v>
      </c>
      <c r="F11" s="5">
        <v>1399818</v>
      </c>
      <c r="G11" s="5">
        <v>8</v>
      </c>
      <c r="J11" s="4">
        <v>2014</v>
      </c>
      <c r="K11" s="4">
        <v>162</v>
      </c>
      <c r="L11" s="3" t="s">
        <v>49</v>
      </c>
      <c r="M11" s="5">
        <v>1213735142</v>
      </c>
      <c r="P11" s="4">
        <v>2014</v>
      </c>
      <c r="Q11" s="4">
        <v>162</v>
      </c>
      <c r="R11" s="3" t="s">
        <v>65</v>
      </c>
      <c r="S11" s="5">
        <v>207444301</v>
      </c>
    </row>
    <row r="12" spans="2:19" x14ac:dyDescent="0.3">
      <c r="B12" s="4">
        <v>2014</v>
      </c>
      <c r="C12" s="4">
        <v>162</v>
      </c>
      <c r="D12" s="3" t="s">
        <v>37</v>
      </c>
      <c r="E12" s="5">
        <v>2065805658</v>
      </c>
      <c r="F12" s="5">
        <v>21968767</v>
      </c>
      <c r="G12" s="5">
        <v>1091517</v>
      </c>
      <c r="J12" s="4">
        <v>2014</v>
      </c>
      <c r="K12" s="4">
        <v>162</v>
      </c>
      <c r="L12" s="3" t="s">
        <v>50</v>
      </c>
      <c r="M12" s="5">
        <v>717420852</v>
      </c>
      <c r="P12" s="4">
        <v>2015</v>
      </c>
      <c r="Q12" s="4">
        <v>162</v>
      </c>
      <c r="R12" s="3" t="s">
        <v>59</v>
      </c>
      <c r="S12" s="5">
        <v>29162204</v>
      </c>
    </row>
    <row r="13" spans="2:19" x14ac:dyDescent="0.3">
      <c r="B13" s="4">
        <v>2014</v>
      </c>
      <c r="C13" s="4">
        <v>162</v>
      </c>
      <c r="D13" s="3" t="s">
        <v>38</v>
      </c>
      <c r="E13" s="5">
        <v>1958248748</v>
      </c>
      <c r="F13" s="5">
        <v>20568949</v>
      </c>
      <c r="G13" s="5">
        <v>1091509</v>
      </c>
      <c r="J13" s="4">
        <v>2014</v>
      </c>
      <c r="K13" s="4">
        <v>162</v>
      </c>
      <c r="L13" s="3" t="s">
        <v>51</v>
      </c>
      <c r="M13" s="5">
        <v>341468493</v>
      </c>
      <c r="P13" s="4">
        <v>2015</v>
      </c>
      <c r="Q13" s="4">
        <v>162</v>
      </c>
      <c r="R13" s="3" t="s">
        <v>60</v>
      </c>
      <c r="S13" s="5">
        <v>260052552</v>
      </c>
    </row>
    <row r="14" spans="2:19" x14ac:dyDescent="0.3">
      <c r="B14" s="4">
        <v>2014</v>
      </c>
      <c r="C14" s="4">
        <v>162</v>
      </c>
      <c r="D14" s="3" t="s">
        <v>39</v>
      </c>
      <c r="E14" s="5">
        <v>825091211</v>
      </c>
      <c r="F14" s="5">
        <v>8900863</v>
      </c>
      <c r="G14" s="5">
        <v>121334</v>
      </c>
      <c r="J14" s="4">
        <v>2014</v>
      </c>
      <c r="K14" s="4">
        <v>162</v>
      </c>
      <c r="L14" s="3" t="s">
        <v>52</v>
      </c>
      <c r="M14" s="5">
        <v>526019</v>
      </c>
      <c r="P14" s="4">
        <v>2015</v>
      </c>
      <c r="Q14" s="4">
        <v>162</v>
      </c>
      <c r="R14" s="3" t="s">
        <v>61</v>
      </c>
      <c r="S14" s="5">
        <v>1170837</v>
      </c>
    </row>
    <row r="15" spans="2:19" x14ac:dyDescent="0.3">
      <c r="B15" s="4">
        <v>2015</v>
      </c>
      <c r="C15" s="4">
        <v>162</v>
      </c>
      <c r="D15" s="3" t="s">
        <v>30</v>
      </c>
      <c r="E15" s="5">
        <v>2305084095</v>
      </c>
      <c r="F15" s="5">
        <v>28183148</v>
      </c>
      <c r="G15" s="5">
        <v>1103635</v>
      </c>
      <c r="J15" s="4">
        <v>2014</v>
      </c>
      <c r="K15" s="4">
        <v>162</v>
      </c>
      <c r="L15" s="3" t="s">
        <v>53</v>
      </c>
      <c r="M15" s="5">
        <v>130001844</v>
      </c>
      <c r="P15" s="4">
        <v>2015</v>
      </c>
      <c r="Q15" s="4">
        <v>162</v>
      </c>
      <c r="R15" s="3" t="s">
        <v>62</v>
      </c>
      <c r="S15" s="5">
        <v>143572687</v>
      </c>
    </row>
    <row r="16" spans="2:19" x14ac:dyDescent="0.3">
      <c r="B16" s="4">
        <v>2015</v>
      </c>
      <c r="C16" s="4">
        <v>162</v>
      </c>
      <c r="D16" s="3" t="s">
        <v>31</v>
      </c>
      <c r="E16" s="5">
        <v>117310875</v>
      </c>
      <c r="F16" s="5">
        <v>1257958</v>
      </c>
      <c r="G16" s="5">
        <v>3449</v>
      </c>
      <c r="J16" s="4">
        <v>2015</v>
      </c>
      <c r="K16" s="4">
        <v>162</v>
      </c>
      <c r="L16" s="3" t="s">
        <v>43</v>
      </c>
      <c r="M16" s="5">
        <v>110378058</v>
      </c>
      <c r="P16" s="4">
        <v>2015</v>
      </c>
      <c r="Q16" s="4">
        <v>162</v>
      </c>
      <c r="R16" s="3" t="s">
        <v>63</v>
      </c>
      <c r="S16" s="5">
        <v>2305084095</v>
      </c>
    </row>
    <row r="17" spans="2:19" x14ac:dyDescent="0.3">
      <c r="B17" s="4">
        <v>2015</v>
      </c>
      <c r="C17" s="4">
        <v>162</v>
      </c>
      <c r="D17" s="3" t="s">
        <v>32</v>
      </c>
      <c r="E17" s="5">
        <v>45018170</v>
      </c>
      <c r="F17" s="5"/>
      <c r="G17" s="5"/>
      <c r="J17" s="4">
        <v>2015</v>
      </c>
      <c r="K17" s="4">
        <v>162</v>
      </c>
      <c r="L17" s="3" t="s">
        <v>44</v>
      </c>
      <c r="M17" s="5">
        <v>49096544</v>
      </c>
      <c r="P17" s="4">
        <v>2015</v>
      </c>
      <c r="Q17" s="4">
        <v>162</v>
      </c>
      <c r="R17" s="3" t="s">
        <v>64</v>
      </c>
      <c r="S17" s="5">
        <v>1136679314</v>
      </c>
    </row>
    <row r="18" spans="2:19" x14ac:dyDescent="0.3">
      <c r="B18" s="4">
        <v>2015</v>
      </c>
      <c r="C18" s="4">
        <v>162</v>
      </c>
      <c r="D18" s="3" t="s">
        <v>33</v>
      </c>
      <c r="E18" s="5">
        <v>19890411</v>
      </c>
      <c r="F18" s="5">
        <v>88035</v>
      </c>
      <c r="G18" s="5">
        <v>6275</v>
      </c>
      <c r="J18" s="4">
        <v>2015</v>
      </c>
      <c r="K18" s="4">
        <v>162</v>
      </c>
      <c r="L18" s="3" t="s">
        <v>45</v>
      </c>
      <c r="M18" s="5">
        <v>118437812</v>
      </c>
      <c r="P18" s="4">
        <v>2015</v>
      </c>
      <c r="Q18" s="4">
        <v>162</v>
      </c>
      <c r="R18" s="3" t="s">
        <v>65</v>
      </c>
      <c r="S18" s="5">
        <v>220337559</v>
      </c>
    </row>
    <row r="19" spans="2:19" x14ac:dyDescent="0.3">
      <c r="B19" s="4">
        <v>2015</v>
      </c>
      <c r="C19" s="4">
        <v>162</v>
      </c>
      <c r="D19" s="3" t="s">
        <v>34</v>
      </c>
      <c r="E19" s="5">
        <v>1061117006</v>
      </c>
      <c r="F19" s="5">
        <v>10164703</v>
      </c>
      <c r="G19" s="5">
        <v>970830</v>
      </c>
      <c r="J19" s="4">
        <v>2015</v>
      </c>
      <c r="K19" s="4">
        <v>162</v>
      </c>
      <c r="L19" s="3" t="s">
        <v>46</v>
      </c>
      <c r="M19" s="5">
        <v>82427091</v>
      </c>
      <c r="P19" s="4">
        <v>2016</v>
      </c>
      <c r="Q19" s="4">
        <v>162</v>
      </c>
      <c r="R19" s="3" t="s">
        <v>59</v>
      </c>
      <c r="S19" s="5">
        <v>31952656</v>
      </c>
    </row>
    <row r="20" spans="2:19" x14ac:dyDescent="0.3">
      <c r="B20" s="4">
        <v>2015</v>
      </c>
      <c r="C20" s="4">
        <v>162</v>
      </c>
      <c r="D20" s="3" t="s">
        <v>35</v>
      </c>
      <c r="E20" s="5">
        <v>2260065925</v>
      </c>
      <c r="F20" s="5">
        <v>28183148</v>
      </c>
      <c r="G20" s="5">
        <v>1103635</v>
      </c>
      <c r="J20" s="4">
        <v>2015</v>
      </c>
      <c r="K20" s="4">
        <v>162</v>
      </c>
      <c r="L20" s="3" t="s">
        <v>47</v>
      </c>
      <c r="M20" s="5">
        <v>169917384</v>
      </c>
      <c r="P20" s="4">
        <v>2016</v>
      </c>
      <c r="Q20" s="4">
        <v>162</v>
      </c>
      <c r="R20" s="3" t="s">
        <v>60</v>
      </c>
      <c r="S20" s="5">
        <v>267741506</v>
      </c>
    </row>
    <row r="21" spans="2:19" x14ac:dyDescent="0.3">
      <c r="B21" s="4">
        <v>2015</v>
      </c>
      <c r="C21" s="4">
        <v>162</v>
      </c>
      <c r="D21" s="3" t="s">
        <v>36</v>
      </c>
      <c r="E21" s="5">
        <v>193653719</v>
      </c>
      <c r="F21" s="5">
        <v>7673384</v>
      </c>
      <c r="G21" s="5">
        <v>8</v>
      </c>
      <c r="J21" s="4">
        <v>2015</v>
      </c>
      <c r="K21" s="4">
        <v>162</v>
      </c>
      <c r="L21" s="3" t="s">
        <v>48</v>
      </c>
      <c r="M21" s="5">
        <v>79989980</v>
      </c>
      <c r="P21" s="4">
        <v>2016</v>
      </c>
      <c r="Q21" s="4">
        <v>162</v>
      </c>
      <c r="R21" s="3" t="s">
        <v>61</v>
      </c>
      <c r="S21" s="5">
        <v>3370352</v>
      </c>
    </row>
    <row r="22" spans="2:19" x14ac:dyDescent="0.3">
      <c r="B22" s="4">
        <v>2015</v>
      </c>
      <c r="C22" s="4">
        <v>162</v>
      </c>
      <c r="D22" s="3" t="s">
        <v>37</v>
      </c>
      <c r="E22" s="5">
        <v>2260065925</v>
      </c>
      <c r="F22" s="5">
        <v>28183148</v>
      </c>
      <c r="G22" s="5">
        <v>1103635</v>
      </c>
      <c r="J22" s="4">
        <v>2015</v>
      </c>
      <c r="K22" s="4">
        <v>162</v>
      </c>
      <c r="L22" s="3" t="s">
        <v>49</v>
      </c>
      <c r="M22" s="5">
        <v>1280252001</v>
      </c>
      <c r="P22" s="4">
        <v>2016</v>
      </c>
      <c r="Q22" s="4">
        <v>162</v>
      </c>
      <c r="R22" s="3" t="s">
        <v>62</v>
      </c>
      <c r="S22" s="5">
        <v>155528129</v>
      </c>
    </row>
    <row r="23" spans="2:19" x14ac:dyDescent="0.3">
      <c r="B23" s="4">
        <v>2015</v>
      </c>
      <c r="C23" s="4">
        <v>162</v>
      </c>
      <c r="D23" s="3" t="s">
        <v>38</v>
      </c>
      <c r="E23" s="5">
        <v>2066412206</v>
      </c>
      <c r="F23" s="5">
        <v>20509764</v>
      </c>
      <c r="G23" s="5">
        <v>1103627</v>
      </c>
      <c r="J23" s="4">
        <v>2015</v>
      </c>
      <c r="K23" s="4">
        <v>162</v>
      </c>
      <c r="L23" s="3" t="s">
        <v>50</v>
      </c>
      <c r="M23" s="5">
        <v>789063779</v>
      </c>
      <c r="P23" s="4">
        <v>2016</v>
      </c>
      <c r="Q23" s="4">
        <v>162</v>
      </c>
      <c r="R23" s="3" t="s">
        <v>63</v>
      </c>
      <c r="S23" s="5">
        <v>2388935751</v>
      </c>
    </row>
    <row r="24" spans="2:19" x14ac:dyDescent="0.3">
      <c r="B24" s="4">
        <v>2015</v>
      </c>
      <c r="C24" s="4">
        <v>162</v>
      </c>
      <c r="D24" s="3" t="s">
        <v>39</v>
      </c>
      <c r="E24" s="5">
        <v>868093914</v>
      </c>
      <c r="F24" s="5">
        <v>8999068</v>
      </c>
      <c r="G24" s="5">
        <v>123073</v>
      </c>
      <c r="J24" s="4">
        <v>2015</v>
      </c>
      <c r="K24" s="4">
        <v>162</v>
      </c>
      <c r="L24" s="3" t="s">
        <v>51</v>
      </c>
      <c r="M24" s="5">
        <v>411550632</v>
      </c>
      <c r="P24" s="4">
        <v>2016</v>
      </c>
      <c r="Q24" s="4">
        <v>162</v>
      </c>
      <c r="R24" s="3" t="s">
        <v>64</v>
      </c>
      <c r="S24" s="5">
        <v>1167418989</v>
      </c>
    </row>
    <row r="25" spans="2:19" x14ac:dyDescent="0.3">
      <c r="B25" s="4">
        <v>2016</v>
      </c>
      <c r="C25" s="4">
        <v>162</v>
      </c>
      <c r="D25" s="3" t="s">
        <v>30</v>
      </c>
      <c r="E25" s="5">
        <v>2388935751</v>
      </c>
      <c r="F25" s="5">
        <v>29143765</v>
      </c>
      <c r="G25" s="5">
        <v>1119719</v>
      </c>
      <c r="J25" s="4">
        <v>2015</v>
      </c>
      <c r="K25" s="4">
        <v>162</v>
      </c>
      <c r="L25" s="3" t="s">
        <v>52</v>
      </c>
      <c r="M25" s="5">
        <v>389058</v>
      </c>
      <c r="P25" s="4">
        <v>2016</v>
      </c>
      <c r="Q25" s="4">
        <v>162</v>
      </c>
      <c r="R25" s="3" t="s">
        <v>65</v>
      </c>
      <c r="S25" s="5">
        <v>232099320</v>
      </c>
    </row>
    <row r="26" spans="2:19" x14ac:dyDescent="0.3">
      <c r="B26" s="4">
        <v>2016</v>
      </c>
      <c r="C26" s="4">
        <v>162</v>
      </c>
      <c r="D26" s="3" t="s">
        <v>31</v>
      </c>
      <c r="E26" s="5">
        <v>116730701</v>
      </c>
      <c r="F26" s="5">
        <v>1223214</v>
      </c>
      <c r="G26" s="5">
        <v>3440</v>
      </c>
      <c r="J26" s="4">
        <v>2015</v>
      </c>
      <c r="K26" s="4">
        <v>162</v>
      </c>
      <c r="L26" s="3" t="s">
        <v>53</v>
      </c>
      <c r="M26" s="5">
        <v>130459659</v>
      </c>
      <c r="P26" s="4">
        <v>2017</v>
      </c>
      <c r="Q26" s="4">
        <v>162</v>
      </c>
      <c r="R26" s="3" t="s">
        <v>59</v>
      </c>
      <c r="S26" s="5">
        <v>42090325</v>
      </c>
    </row>
    <row r="27" spans="2:19" x14ac:dyDescent="0.3">
      <c r="B27" s="4">
        <v>2016</v>
      </c>
      <c r="C27" s="4">
        <v>162</v>
      </c>
      <c r="D27" s="3" t="s">
        <v>32</v>
      </c>
      <c r="E27" s="5">
        <v>60271453</v>
      </c>
      <c r="F27" s="5"/>
      <c r="G27" s="5"/>
      <c r="J27" s="4">
        <v>2016</v>
      </c>
      <c r="K27" s="4">
        <v>162</v>
      </c>
      <c r="L27" s="3" t="s">
        <v>43</v>
      </c>
      <c r="M27" s="5">
        <v>120326304</v>
      </c>
      <c r="P27" s="4">
        <v>2017</v>
      </c>
      <c r="Q27" s="4">
        <v>162</v>
      </c>
      <c r="R27" s="3" t="s">
        <v>60</v>
      </c>
      <c r="S27" s="5">
        <v>276018010</v>
      </c>
    </row>
    <row r="28" spans="2:19" x14ac:dyDescent="0.3">
      <c r="B28" s="4">
        <v>2016</v>
      </c>
      <c r="C28" s="4">
        <v>162</v>
      </c>
      <c r="D28" s="3" t="s">
        <v>33</v>
      </c>
      <c r="E28" s="5">
        <v>19719937</v>
      </c>
      <c r="F28" s="5">
        <v>83933</v>
      </c>
      <c r="G28" s="5">
        <v>6464</v>
      </c>
      <c r="J28" s="4">
        <v>2016</v>
      </c>
      <c r="K28" s="4">
        <v>162</v>
      </c>
      <c r="L28" s="3" t="s">
        <v>44</v>
      </c>
      <c r="M28" s="5">
        <v>48803259</v>
      </c>
      <c r="P28" s="4">
        <v>2017</v>
      </c>
      <c r="Q28" s="4">
        <v>162</v>
      </c>
      <c r="R28" s="3" t="s">
        <v>61</v>
      </c>
      <c r="S28" s="5">
        <v>7379824</v>
      </c>
    </row>
    <row r="29" spans="2:19" x14ac:dyDescent="0.3">
      <c r="B29" s="4">
        <v>2016</v>
      </c>
      <c r="C29" s="4">
        <v>162</v>
      </c>
      <c r="D29" s="3" t="s">
        <v>34</v>
      </c>
      <c r="E29" s="5">
        <v>1138870551</v>
      </c>
      <c r="F29" s="5">
        <v>10245326</v>
      </c>
      <c r="G29" s="5">
        <v>984739</v>
      </c>
      <c r="J29" s="4">
        <v>2016</v>
      </c>
      <c r="K29" s="4">
        <v>162</v>
      </c>
      <c r="L29" s="3" t="s">
        <v>45</v>
      </c>
      <c r="M29" s="5">
        <v>114317712</v>
      </c>
      <c r="P29" s="4">
        <v>2017</v>
      </c>
      <c r="Q29" s="4">
        <v>162</v>
      </c>
      <c r="R29" s="3" t="s">
        <v>62</v>
      </c>
      <c r="S29" s="5">
        <v>152131238</v>
      </c>
    </row>
    <row r="30" spans="2:19" x14ac:dyDescent="0.3">
      <c r="B30" s="4">
        <v>2016</v>
      </c>
      <c r="C30" s="4">
        <v>162</v>
      </c>
      <c r="D30" s="3" t="s">
        <v>35</v>
      </c>
      <c r="E30" s="5">
        <v>2328664298</v>
      </c>
      <c r="F30" s="5">
        <v>29143765</v>
      </c>
      <c r="G30" s="5">
        <v>1119719</v>
      </c>
      <c r="J30" s="4">
        <v>2016</v>
      </c>
      <c r="K30" s="4">
        <v>162</v>
      </c>
      <c r="L30" s="3" t="s">
        <v>46</v>
      </c>
      <c r="M30" s="5">
        <v>86297607</v>
      </c>
      <c r="P30" s="4">
        <v>2017</v>
      </c>
      <c r="Q30" s="4">
        <v>162</v>
      </c>
      <c r="R30" s="3" t="s">
        <v>63</v>
      </c>
      <c r="S30" s="5">
        <v>2437612690</v>
      </c>
    </row>
    <row r="31" spans="2:19" x14ac:dyDescent="0.3">
      <c r="B31" s="4">
        <v>2016</v>
      </c>
      <c r="C31" s="4">
        <v>162</v>
      </c>
      <c r="D31" s="3" t="s">
        <v>36</v>
      </c>
      <c r="E31" s="5">
        <v>181008731</v>
      </c>
      <c r="F31" s="5">
        <v>8695342</v>
      </c>
      <c r="G31" s="5">
        <v>8</v>
      </c>
      <c r="J31" s="4">
        <v>2016</v>
      </c>
      <c r="K31" s="4">
        <v>162</v>
      </c>
      <c r="L31" s="3" t="s">
        <v>47</v>
      </c>
      <c r="M31" s="5">
        <v>126910967</v>
      </c>
      <c r="P31" s="4">
        <v>2017</v>
      </c>
      <c r="Q31" s="4">
        <v>162</v>
      </c>
      <c r="R31" s="3" t="s">
        <v>64</v>
      </c>
      <c r="S31" s="5">
        <v>1163650904</v>
      </c>
    </row>
    <row r="32" spans="2:19" x14ac:dyDescent="0.3">
      <c r="B32" s="4">
        <v>2016</v>
      </c>
      <c r="C32" s="4">
        <v>162</v>
      </c>
      <c r="D32" s="3" t="s">
        <v>37</v>
      </c>
      <c r="E32" s="5">
        <v>2328664298</v>
      </c>
      <c r="F32" s="5">
        <v>29143765</v>
      </c>
      <c r="G32" s="5">
        <v>1119719</v>
      </c>
      <c r="J32" s="4">
        <v>2016</v>
      </c>
      <c r="K32" s="4">
        <v>162</v>
      </c>
      <c r="L32" s="3" t="s">
        <v>48</v>
      </c>
      <c r="M32" s="5">
        <v>88420319</v>
      </c>
      <c r="P32" s="4">
        <v>2017</v>
      </c>
      <c r="Q32" s="4">
        <v>162</v>
      </c>
      <c r="R32" s="3" t="s">
        <v>65</v>
      </c>
      <c r="S32" s="5">
        <v>245625339</v>
      </c>
    </row>
    <row r="33" spans="2:19" x14ac:dyDescent="0.3">
      <c r="B33" s="4">
        <v>2016</v>
      </c>
      <c r="C33" s="4">
        <v>162</v>
      </c>
      <c r="D33" s="3" t="s">
        <v>38</v>
      </c>
      <c r="E33" s="5">
        <v>2147655567</v>
      </c>
      <c r="F33" s="5">
        <v>20448423</v>
      </c>
      <c r="G33" s="5">
        <v>1119711</v>
      </c>
      <c r="J33" s="4">
        <v>2016</v>
      </c>
      <c r="K33" s="4">
        <v>162</v>
      </c>
      <c r="L33" s="3" t="s">
        <v>49</v>
      </c>
      <c r="M33" s="5">
        <v>1322947118</v>
      </c>
      <c r="P33" s="4">
        <v>2018</v>
      </c>
      <c r="Q33" s="4">
        <v>162</v>
      </c>
      <c r="R33" s="3" t="s">
        <v>59</v>
      </c>
      <c r="S33" s="5">
        <v>59676651</v>
      </c>
    </row>
    <row r="34" spans="2:19" x14ac:dyDescent="0.3">
      <c r="B34" s="4">
        <v>2016</v>
      </c>
      <c r="C34" s="4">
        <v>162</v>
      </c>
      <c r="D34" s="3" t="s">
        <v>39</v>
      </c>
      <c r="E34" s="5">
        <v>872334378</v>
      </c>
      <c r="F34" s="5">
        <v>8895950</v>
      </c>
      <c r="G34" s="5">
        <v>125068</v>
      </c>
      <c r="J34" s="4">
        <v>2016</v>
      </c>
      <c r="K34" s="4">
        <v>162</v>
      </c>
      <c r="L34" s="3" t="s">
        <v>50</v>
      </c>
      <c r="M34" s="5">
        <v>818359710</v>
      </c>
      <c r="P34" s="4">
        <v>2018</v>
      </c>
      <c r="Q34" s="4">
        <v>162</v>
      </c>
      <c r="R34" s="3" t="s">
        <v>60</v>
      </c>
      <c r="S34" s="5">
        <v>333758359</v>
      </c>
    </row>
    <row r="35" spans="2:19" x14ac:dyDescent="0.3">
      <c r="B35" s="4">
        <v>2017</v>
      </c>
      <c r="C35" s="4">
        <v>162</v>
      </c>
      <c r="D35" s="3" t="s">
        <v>30</v>
      </c>
      <c r="E35" s="5">
        <v>2437612690</v>
      </c>
      <c r="F35" s="5">
        <v>27227367</v>
      </c>
      <c r="G35" s="5">
        <v>1135044</v>
      </c>
      <c r="J35" s="4">
        <v>2016</v>
      </c>
      <c r="K35" s="4">
        <v>162</v>
      </c>
      <c r="L35" s="3" t="s">
        <v>51</v>
      </c>
      <c r="M35" s="5">
        <v>466766501</v>
      </c>
      <c r="P35" s="4">
        <v>2018</v>
      </c>
      <c r="Q35" s="4">
        <v>162</v>
      </c>
      <c r="R35" s="3" t="s">
        <v>61</v>
      </c>
      <c r="S35" s="5">
        <v>7708442</v>
      </c>
    </row>
    <row r="36" spans="2:19" x14ac:dyDescent="0.3">
      <c r="B36" s="4">
        <v>2017</v>
      </c>
      <c r="C36" s="4">
        <v>162</v>
      </c>
      <c r="D36" s="3" t="s">
        <v>31</v>
      </c>
      <c r="E36" s="5">
        <v>116098287</v>
      </c>
      <c r="F36" s="5">
        <v>1214818</v>
      </c>
      <c r="G36" s="5">
        <v>3414</v>
      </c>
      <c r="J36" s="4">
        <v>2016</v>
      </c>
      <c r="K36" s="4">
        <v>162</v>
      </c>
      <c r="L36" s="3" t="s">
        <v>52</v>
      </c>
      <c r="M36" s="5">
        <v>384443</v>
      </c>
      <c r="P36" s="4">
        <v>2018</v>
      </c>
      <c r="Q36" s="4">
        <v>162</v>
      </c>
      <c r="R36" s="3" t="s">
        <v>62</v>
      </c>
      <c r="S36" s="5">
        <v>146329474</v>
      </c>
    </row>
    <row r="37" spans="2:19" x14ac:dyDescent="0.3">
      <c r="B37" s="4">
        <v>2017</v>
      </c>
      <c r="C37" s="4">
        <v>162</v>
      </c>
      <c r="D37" s="3" t="s">
        <v>32</v>
      </c>
      <c r="E37" s="5">
        <v>48085655</v>
      </c>
      <c r="F37" s="5"/>
      <c r="G37" s="5"/>
      <c r="J37" s="4">
        <v>2016</v>
      </c>
      <c r="K37" s="4">
        <v>162</v>
      </c>
      <c r="L37" s="3" t="s">
        <v>53</v>
      </c>
      <c r="M37" s="5">
        <v>134458083</v>
      </c>
      <c r="P37" s="4">
        <v>2018</v>
      </c>
      <c r="Q37" s="4">
        <v>162</v>
      </c>
      <c r="R37" s="3" t="s">
        <v>63</v>
      </c>
      <c r="S37" s="5">
        <v>2443083188</v>
      </c>
    </row>
    <row r="38" spans="2:19" x14ac:dyDescent="0.3">
      <c r="B38" s="4">
        <v>2017</v>
      </c>
      <c r="C38" s="4">
        <v>162</v>
      </c>
      <c r="D38" s="3" t="s">
        <v>33</v>
      </c>
      <c r="E38" s="5">
        <v>19375607</v>
      </c>
      <c r="F38" s="5">
        <v>79738</v>
      </c>
      <c r="G38" s="5">
        <v>6714</v>
      </c>
      <c r="J38" s="4">
        <v>2017</v>
      </c>
      <c r="K38" s="4">
        <v>162</v>
      </c>
      <c r="L38" s="3" t="s">
        <v>43</v>
      </c>
      <c r="M38" s="5">
        <v>128642621</v>
      </c>
      <c r="P38" s="4">
        <v>2018</v>
      </c>
      <c r="Q38" s="4">
        <v>162</v>
      </c>
      <c r="R38" s="3" t="s">
        <v>64</v>
      </c>
      <c r="S38" s="5">
        <v>1218665540</v>
      </c>
    </row>
    <row r="39" spans="2:19" x14ac:dyDescent="0.3">
      <c r="B39" s="4">
        <v>2017</v>
      </c>
      <c r="C39" s="4">
        <v>162</v>
      </c>
      <c r="D39" s="3" t="s">
        <v>34</v>
      </c>
      <c r="E39" s="5">
        <v>1232074695</v>
      </c>
      <c r="F39" s="5">
        <v>10931999</v>
      </c>
      <c r="G39" s="5">
        <v>998078</v>
      </c>
      <c r="J39" s="4">
        <v>2017</v>
      </c>
      <c r="K39" s="4">
        <v>162</v>
      </c>
      <c r="L39" s="3" t="s">
        <v>44</v>
      </c>
      <c r="M39" s="5">
        <v>49274357</v>
      </c>
      <c r="P39" s="4">
        <v>2018</v>
      </c>
      <c r="Q39" s="4">
        <v>162</v>
      </c>
      <c r="R39" s="3" t="s">
        <v>65</v>
      </c>
      <c r="S39" s="5">
        <v>234352537</v>
      </c>
    </row>
    <row r="40" spans="2:19" x14ac:dyDescent="0.3">
      <c r="B40" s="4">
        <v>2017</v>
      </c>
      <c r="C40" s="4">
        <v>162</v>
      </c>
      <c r="D40" s="3" t="s">
        <v>35</v>
      </c>
      <c r="E40" s="5">
        <v>2389527035</v>
      </c>
      <c r="F40" s="5">
        <v>27227367</v>
      </c>
      <c r="G40" s="5">
        <v>1135044</v>
      </c>
      <c r="J40" s="4">
        <v>2017</v>
      </c>
      <c r="K40" s="4">
        <v>162</v>
      </c>
      <c r="L40" s="3" t="s">
        <v>45</v>
      </c>
      <c r="M40" s="5">
        <v>126051378</v>
      </c>
      <c r="P40" s="4">
        <v>2019</v>
      </c>
      <c r="Q40" s="4">
        <v>162</v>
      </c>
      <c r="R40" s="3" t="s">
        <v>59</v>
      </c>
      <c r="S40" s="5">
        <v>83314999</v>
      </c>
    </row>
    <row r="41" spans="2:19" x14ac:dyDescent="0.3">
      <c r="B41" s="4">
        <v>2017</v>
      </c>
      <c r="C41" s="4">
        <v>162</v>
      </c>
      <c r="D41" s="3" t="s">
        <v>36</v>
      </c>
      <c r="E41" s="5">
        <v>129393849</v>
      </c>
      <c r="F41" s="5">
        <v>5910970</v>
      </c>
      <c r="G41" s="5">
        <v>8</v>
      </c>
      <c r="J41" s="4">
        <v>2017</v>
      </c>
      <c r="K41" s="4">
        <v>162</v>
      </c>
      <c r="L41" s="3" t="s">
        <v>46</v>
      </c>
      <c r="M41" s="5">
        <v>76281991</v>
      </c>
      <c r="P41" s="4">
        <v>2019</v>
      </c>
      <c r="Q41" s="4">
        <v>162</v>
      </c>
      <c r="R41" s="3" t="s">
        <v>60</v>
      </c>
      <c r="S41" s="5">
        <v>345727153</v>
      </c>
    </row>
    <row r="42" spans="2:19" x14ac:dyDescent="0.3">
      <c r="B42" s="4">
        <v>2017</v>
      </c>
      <c r="C42" s="4">
        <v>162</v>
      </c>
      <c r="D42" s="3" t="s">
        <v>37</v>
      </c>
      <c r="E42" s="5">
        <v>2389527035</v>
      </c>
      <c r="F42" s="5">
        <v>27227367</v>
      </c>
      <c r="G42" s="5">
        <v>1135044</v>
      </c>
      <c r="J42" s="4">
        <v>2017</v>
      </c>
      <c r="K42" s="4">
        <v>162</v>
      </c>
      <c r="L42" s="3" t="s">
        <v>47</v>
      </c>
      <c r="M42" s="5">
        <v>124161366</v>
      </c>
      <c r="P42" s="4">
        <v>2019</v>
      </c>
      <c r="Q42" s="4">
        <v>162</v>
      </c>
      <c r="R42" s="3" t="s">
        <v>61</v>
      </c>
      <c r="S42" s="5">
        <v>7533981</v>
      </c>
    </row>
    <row r="43" spans="2:19" x14ac:dyDescent="0.3">
      <c r="B43" s="4">
        <v>2017</v>
      </c>
      <c r="C43" s="4">
        <v>162</v>
      </c>
      <c r="D43" s="3" t="s">
        <v>38</v>
      </c>
      <c r="E43" s="5">
        <v>2260133186</v>
      </c>
      <c r="F43" s="5">
        <v>21316397</v>
      </c>
      <c r="G43" s="5">
        <v>1135036</v>
      </c>
      <c r="J43" s="4">
        <v>2017</v>
      </c>
      <c r="K43" s="4">
        <v>162</v>
      </c>
      <c r="L43" s="3" t="s">
        <v>48</v>
      </c>
      <c r="M43" s="5">
        <v>82114041</v>
      </c>
      <c r="P43" s="4">
        <v>2019</v>
      </c>
      <c r="Q43" s="4">
        <v>162</v>
      </c>
      <c r="R43" s="3" t="s">
        <v>62</v>
      </c>
      <c r="S43" s="5">
        <v>141849803</v>
      </c>
    </row>
    <row r="44" spans="2:19" x14ac:dyDescent="0.3">
      <c r="B44" s="4">
        <v>2017</v>
      </c>
      <c r="C44" s="4">
        <v>162</v>
      </c>
      <c r="D44" s="3" t="s">
        <v>39</v>
      </c>
      <c r="E44" s="5">
        <v>892584597</v>
      </c>
      <c r="F44" s="5">
        <v>9089842</v>
      </c>
      <c r="G44" s="5">
        <v>126830</v>
      </c>
      <c r="J44" s="4">
        <v>2017</v>
      </c>
      <c r="K44" s="4">
        <v>162</v>
      </c>
      <c r="L44" s="3" t="s">
        <v>49</v>
      </c>
      <c r="M44" s="5">
        <v>1315782142</v>
      </c>
      <c r="P44" s="4">
        <v>2019</v>
      </c>
      <c r="Q44" s="4">
        <v>162</v>
      </c>
      <c r="R44" s="3" t="s">
        <v>63</v>
      </c>
      <c r="S44" s="5">
        <v>2516261884</v>
      </c>
    </row>
    <row r="45" spans="2:19" x14ac:dyDescent="0.3">
      <c r="B45" s="4">
        <v>2018</v>
      </c>
      <c r="C45" s="4">
        <v>162</v>
      </c>
      <c r="D45" s="3" t="s">
        <v>30</v>
      </c>
      <c r="E45" s="5">
        <v>2443083188</v>
      </c>
      <c r="F45" s="5">
        <v>26081826</v>
      </c>
      <c r="G45" s="5">
        <v>1149789</v>
      </c>
      <c r="J45" s="4">
        <v>2017</v>
      </c>
      <c r="K45" s="4">
        <v>162</v>
      </c>
      <c r="L45" s="3" t="s">
        <v>50</v>
      </c>
      <c r="M45" s="5">
        <v>796269771</v>
      </c>
      <c r="P45" s="4">
        <v>2019</v>
      </c>
      <c r="Q45" s="4">
        <v>162</v>
      </c>
      <c r="R45" s="3" t="s">
        <v>64</v>
      </c>
      <c r="S45" s="5">
        <v>1313659877</v>
      </c>
    </row>
    <row r="46" spans="2:19" x14ac:dyDescent="0.3">
      <c r="B46" s="4">
        <v>2018</v>
      </c>
      <c r="C46" s="4">
        <v>162</v>
      </c>
      <c r="D46" s="3" t="s">
        <v>31</v>
      </c>
      <c r="E46" s="5">
        <v>114058620</v>
      </c>
      <c r="F46" s="5">
        <v>1189828</v>
      </c>
      <c r="G46" s="5">
        <v>3378</v>
      </c>
      <c r="J46" s="4">
        <v>2017</v>
      </c>
      <c r="K46" s="4">
        <v>162</v>
      </c>
      <c r="L46" s="3" t="s">
        <v>51</v>
      </c>
      <c r="M46" s="5">
        <v>457449402</v>
      </c>
      <c r="P46" s="4">
        <v>2019</v>
      </c>
      <c r="Q46" s="4">
        <v>162</v>
      </c>
      <c r="R46" s="3" t="s">
        <v>65</v>
      </c>
      <c r="S46" s="5">
        <v>232335156</v>
      </c>
    </row>
    <row r="47" spans="2:19" x14ac:dyDescent="0.3">
      <c r="B47" s="4">
        <v>2018</v>
      </c>
      <c r="C47" s="4">
        <v>162</v>
      </c>
      <c r="D47" s="3" t="s">
        <v>32</v>
      </c>
      <c r="E47" s="5">
        <v>146230436</v>
      </c>
      <c r="F47" s="5"/>
      <c r="G47" s="5"/>
      <c r="J47" s="4">
        <v>2017</v>
      </c>
      <c r="K47" s="4">
        <v>162</v>
      </c>
      <c r="L47" s="3" t="s">
        <v>52</v>
      </c>
      <c r="M47" s="5">
        <v>769312</v>
      </c>
      <c r="P47" s="4">
        <v>2020</v>
      </c>
      <c r="Q47" s="4">
        <v>162</v>
      </c>
      <c r="R47" s="3" t="s">
        <v>59</v>
      </c>
      <c r="S47" s="5">
        <v>87050694</v>
      </c>
    </row>
    <row r="48" spans="2:19" x14ac:dyDescent="0.3">
      <c r="B48" s="4">
        <v>2018</v>
      </c>
      <c r="C48" s="4">
        <v>162</v>
      </c>
      <c r="D48" s="3" t="s">
        <v>40</v>
      </c>
      <c r="E48" s="5">
        <v>24054569</v>
      </c>
      <c r="F48" s="5"/>
      <c r="G48" s="5"/>
      <c r="J48" s="4">
        <v>2017</v>
      </c>
      <c r="K48" s="4">
        <v>162</v>
      </c>
      <c r="L48" s="3" t="s">
        <v>53</v>
      </c>
      <c r="M48" s="5">
        <v>138492712</v>
      </c>
      <c r="P48" s="4">
        <v>2020</v>
      </c>
      <c r="Q48" s="4">
        <v>162</v>
      </c>
      <c r="R48" s="3" t="s">
        <v>60</v>
      </c>
      <c r="S48" s="5">
        <v>355593325</v>
      </c>
    </row>
    <row r="49" spans="2:19" x14ac:dyDescent="0.3">
      <c r="B49" s="4">
        <v>2018</v>
      </c>
      <c r="C49" s="4">
        <v>162</v>
      </c>
      <c r="D49" s="3" t="s">
        <v>33</v>
      </c>
      <c r="E49" s="5">
        <v>18378087</v>
      </c>
      <c r="F49" s="5">
        <v>77297</v>
      </c>
      <c r="G49" s="5">
        <v>6984</v>
      </c>
      <c r="J49" s="4">
        <v>2018</v>
      </c>
      <c r="K49" s="4">
        <v>162</v>
      </c>
      <c r="L49" s="3" t="s">
        <v>43</v>
      </c>
      <c r="M49" s="5">
        <v>123318696</v>
      </c>
      <c r="P49" s="4">
        <v>2020</v>
      </c>
      <c r="Q49" s="4">
        <v>162</v>
      </c>
      <c r="R49" s="3" t="s">
        <v>61</v>
      </c>
      <c r="S49" s="5">
        <v>8184802</v>
      </c>
    </row>
    <row r="50" spans="2:19" x14ac:dyDescent="0.3">
      <c r="B50" s="4">
        <v>2018</v>
      </c>
      <c r="C50" s="4">
        <v>162</v>
      </c>
      <c r="D50" s="3" t="s">
        <v>34</v>
      </c>
      <c r="E50" s="5">
        <v>1147259983</v>
      </c>
      <c r="F50" s="5">
        <v>10497389</v>
      </c>
      <c r="G50" s="5">
        <v>1010574</v>
      </c>
      <c r="J50" s="4">
        <v>2018</v>
      </c>
      <c r="K50" s="4">
        <v>162</v>
      </c>
      <c r="L50" s="3" t="s">
        <v>44</v>
      </c>
      <c r="M50" s="5">
        <v>53216886</v>
      </c>
      <c r="P50" s="4">
        <v>2020</v>
      </c>
      <c r="Q50" s="4">
        <v>162</v>
      </c>
      <c r="R50" s="3" t="s">
        <v>62</v>
      </c>
      <c r="S50" s="5">
        <v>138373309</v>
      </c>
    </row>
    <row r="51" spans="2:19" x14ac:dyDescent="0.3">
      <c r="B51" s="4">
        <v>2018</v>
      </c>
      <c r="C51" s="4">
        <v>162</v>
      </c>
      <c r="D51" s="3" t="s">
        <v>35</v>
      </c>
      <c r="E51" s="5">
        <v>2296852752</v>
      </c>
      <c r="F51" s="5">
        <v>26081826</v>
      </c>
      <c r="G51" s="5">
        <v>1149789</v>
      </c>
      <c r="J51" s="4">
        <v>2018</v>
      </c>
      <c r="K51" s="4">
        <v>162</v>
      </c>
      <c r="L51" s="3" t="s">
        <v>45</v>
      </c>
      <c r="M51" s="5">
        <v>118424232</v>
      </c>
      <c r="P51" s="4">
        <v>2020</v>
      </c>
      <c r="Q51" s="4">
        <v>162</v>
      </c>
      <c r="R51" s="3" t="s">
        <v>63</v>
      </c>
      <c r="S51" s="5">
        <v>2359221575</v>
      </c>
    </row>
    <row r="52" spans="2:19" x14ac:dyDescent="0.3">
      <c r="B52" s="4">
        <v>2018</v>
      </c>
      <c r="C52" s="4">
        <v>162</v>
      </c>
      <c r="D52" s="3" t="s">
        <v>36</v>
      </c>
      <c r="E52" s="5">
        <v>155673554</v>
      </c>
      <c r="F52" s="5">
        <v>5384631</v>
      </c>
      <c r="G52" s="5">
        <v>8</v>
      </c>
      <c r="J52" s="4">
        <v>2018</v>
      </c>
      <c r="K52" s="4">
        <v>162</v>
      </c>
      <c r="L52" s="3" t="s">
        <v>46</v>
      </c>
      <c r="M52" s="5">
        <v>83251240</v>
      </c>
      <c r="P52" s="4">
        <v>2020</v>
      </c>
      <c r="Q52" s="4">
        <v>162</v>
      </c>
      <c r="R52" s="3" t="s">
        <v>64</v>
      </c>
      <c r="S52" s="5">
        <v>1166721795</v>
      </c>
    </row>
    <row r="53" spans="2:19" x14ac:dyDescent="0.3">
      <c r="B53" s="4">
        <v>2018</v>
      </c>
      <c r="C53" s="4">
        <v>162</v>
      </c>
      <c r="D53" s="3" t="s">
        <v>37</v>
      </c>
      <c r="E53" s="5">
        <v>2320907321</v>
      </c>
      <c r="F53" s="5">
        <v>26081826</v>
      </c>
      <c r="G53" s="5">
        <v>1149789</v>
      </c>
      <c r="J53" s="4">
        <v>2018</v>
      </c>
      <c r="K53" s="4">
        <v>162</v>
      </c>
      <c r="L53" s="3" t="s">
        <v>47</v>
      </c>
      <c r="M53" s="5">
        <v>124839938</v>
      </c>
      <c r="P53" s="4">
        <v>2020</v>
      </c>
      <c r="Q53" s="4">
        <v>162</v>
      </c>
      <c r="R53" s="3" t="s">
        <v>65</v>
      </c>
      <c r="S53" s="5">
        <v>225851703</v>
      </c>
    </row>
    <row r="54" spans="2:19" x14ac:dyDescent="0.3">
      <c r="B54" s="4">
        <v>2018</v>
      </c>
      <c r="C54" s="4">
        <v>162</v>
      </c>
      <c r="D54" s="3" t="s">
        <v>38</v>
      </c>
      <c r="E54" s="5">
        <v>2165233767</v>
      </c>
      <c r="F54" s="5">
        <v>20697195</v>
      </c>
      <c r="G54" s="5">
        <v>1149781</v>
      </c>
      <c r="J54" s="4">
        <v>2018</v>
      </c>
      <c r="K54" s="4">
        <v>162</v>
      </c>
      <c r="L54" s="3" t="s">
        <v>48</v>
      </c>
      <c r="M54" s="5">
        <v>79334192</v>
      </c>
      <c r="P54" s="4">
        <v>2021</v>
      </c>
      <c r="Q54" s="4">
        <v>162</v>
      </c>
      <c r="R54" s="3" t="s">
        <v>59</v>
      </c>
      <c r="S54" s="5">
        <v>84047727</v>
      </c>
    </row>
    <row r="55" spans="2:19" x14ac:dyDescent="0.3">
      <c r="B55" s="4">
        <v>2018</v>
      </c>
      <c r="C55" s="4">
        <v>162</v>
      </c>
      <c r="D55" s="3" t="s">
        <v>39</v>
      </c>
      <c r="E55" s="5">
        <v>885537077</v>
      </c>
      <c r="F55" s="5">
        <v>8932681</v>
      </c>
      <c r="G55" s="5">
        <v>128845</v>
      </c>
      <c r="J55" s="4">
        <v>2018</v>
      </c>
      <c r="K55" s="4">
        <v>162</v>
      </c>
      <c r="L55" s="3" t="s">
        <v>49</v>
      </c>
      <c r="M55" s="5">
        <v>1364995013</v>
      </c>
      <c r="P55" s="4">
        <v>2021</v>
      </c>
      <c r="Q55" s="4">
        <v>162</v>
      </c>
      <c r="R55" s="3" t="s">
        <v>60</v>
      </c>
      <c r="S55" s="5">
        <v>361930254</v>
      </c>
    </row>
    <row r="56" spans="2:19" x14ac:dyDescent="0.3">
      <c r="B56" s="4">
        <v>2019</v>
      </c>
      <c r="C56" s="4">
        <v>162</v>
      </c>
      <c r="D56" s="3" t="s">
        <v>30</v>
      </c>
      <c r="E56" s="5">
        <v>2516261884</v>
      </c>
      <c r="F56" s="5">
        <v>27486304</v>
      </c>
      <c r="G56" s="5">
        <v>1165699</v>
      </c>
      <c r="J56" s="4">
        <v>2018</v>
      </c>
      <c r="K56" s="4">
        <v>162</v>
      </c>
      <c r="L56" s="3" t="s">
        <v>50</v>
      </c>
      <c r="M56" s="5">
        <v>845731264</v>
      </c>
      <c r="P56" s="4">
        <v>2021</v>
      </c>
      <c r="Q56" s="4">
        <v>162</v>
      </c>
      <c r="R56" s="3" t="s">
        <v>61</v>
      </c>
      <c r="S56" s="5">
        <v>9599069</v>
      </c>
    </row>
    <row r="57" spans="2:19" x14ac:dyDescent="0.3">
      <c r="B57" s="4">
        <v>2019</v>
      </c>
      <c r="C57" s="4">
        <v>162</v>
      </c>
      <c r="D57" s="3" t="s">
        <v>31</v>
      </c>
      <c r="E57" s="5">
        <v>107951534</v>
      </c>
      <c r="F57" s="5">
        <v>1161149</v>
      </c>
      <c r="G57" s="5">
        <v>3343</v>
      </c>
      <c r="J57" s="4">
        <v>2018</v>
      </c>
      <c r="K57" s="4">
        <v>162</v>
      </c>
      <c r="L57" s="3" t="s">
        <v>51</v>
      </c>
      <c r="M57" s="5">
        <v>496710087</v>
      </c>
      <c r="P57" s="4">
        <v>2021</v>
      </c>
      <c r="Q57" s="4">
        <v>162</v>
      </c>
      <c r="R57" s="3" t="s">
        <v>62</v>
      </c>
      <c r="S57" s="5">
        <v>143511276</v>
      </c>
    </row>
    <row r="58" spans="2:19" x14ac:dyDescent="0.3">
      <c r="B58" s="4">
        <v>2019</v>
      </c>
      <c r="C58" s="4">
        <v>162</v>
      </c>
      <c r="D58" s="3" t="s">
        <v>32</v>
      </c>
      <c r="E58" s="5">
        <v>177083246</v>
      </c>
      <c r="F58" s="5"/>
      <c r="G58" s="5"/>
      <c r="J58" s="4">
        <v>2018</v>
      </c>
      <c r="K58" s="4">
        <v>162</v>
      </c>
      <c r="L58" s="3" t="s">
        <v>52</v>
      </c>
      <c r="M58" s="5">
        <v>805415</v>
      </c>
      <c r="P58" s="4">
        <v>2021</v>
      </c>
      <c r="Q58" s="4">
        <v>162</v>
      </c>
      <c r="R58" s="3" t="s">
        <v>63</v>
      </c>
      <c r="S58" s="5">
        <v>2764186180</v>
      </c>
    </row>
    <row r="59" spans="2:19" x14ac:dyDescent="0.3">
      <c r="B59" s="4">
        <v>2019</v>
      </c>
      <c r="C59" s="4">
        <v>162</v>
      </c>
      <c r="D59" s="3" t="s">
        <v>40</v>
      </c>
      <c r="E59" s="5">
        <v>-14827619</v>
      </c>
      <c r="F59" s="5"/>
      <c r="G59" s="5"/>
      <c r="J59" s="4">
        <v>2018</v>
      </c>
      <c r="K59" s="4">
        <v>162</v>
      </c>
      <c r="L59" s="3" t="s">
        <v>53</v>
      </c>
      <c r="M59" s="5">
        <v>140247280</v>
      </c>
      <c r="P59" s="4">
        <v>2021</v>
      </c>
      <c r="Q59" s="4">
        <v>162</v>
      </c>
      <c r="R59" s="3" t="s">
        <v>64</v>
      </c>
      <c r="S59" s="5">
        <v>1525854659</v>
      </c>
    </row>
    <row r="60" spans="2:19" x14ac:dyDescent="0.3">
      <c r="B60" s="4">
        <v>2019</v>
      </c>
      <c r="C60" s="4">
        <v>162</v>
      </c>
      <c r="D60" s="3" t="s">
        <v>33</v>
      </c>
      <c r="E60" s="5">
        <v>18056669</v>
      </c>
      <c r="F60" s="5">
        <v>77996</v>
      </c>
      <c r="G60" s="5">
        <v>7315</v>
      </c>
      <c r="J60" s="4">
        <v>2019</v>
      </c>
      <c r="K60" s="4">
        <v>162</v>
      </c>
      <c r="L60" s="3" t="s">
        <v>43</v>
      </c>
      <c r="M60" s="5">
        <v>130223465</v>
      </c>
      <c r="P60" s="4">
        <v>2021</v>
      </c>
      <c r="Q60" s="4">
        <v>162</v>
      </c>
      <c r="R60" s="3" t="s">
        <v>65</v>
      </c>
      <c r="S60" s="5">
        <v>250040104</v>
      </c>
    </row>
    <row r="61" spans="2:19" x14ac:dyDescent="0.3">
      <c r="B61" s="4">
        <v>2019</v>
      </c>
      <c r="C61" s="4">
        <v>162</v>
      </c>
      <c r="D61" s="3" t="s">
        <v>34</v>
      </c>
      <c r="E61" s="5">
        <v>1139356243</v>
      </c>
      <c r="F61" s="5">
        <v>10756628</v>
      </c>
      <c r="G61" s="5">
        <v>1025024</v>
      </c>
      <c r="J61" s="4">
        <v>2019</v>
      </c>
      <c r="K61" s="4">
        <v>162</v>
      </c>
      <c r="L61" s="3" t="s">
        <v>44</v>
      </c>
      <c r="M61" s="5">
        <v>50603681</v>
      </c>
      <c r="P61" s="4">
        <v>2022</v>
      </c>
      <c r="Q61" s="4">
        <v>162</v>
      </c>
      <c r="R61" s="3" t="s">
        <v>59</v>
      </c>
      <c r="S61" s="5">
        <v>69876938</v>
      </c>
    </row>
    <row r="62" spans="2:19" x14ac:dyDescent="0.3">
      <c r="B62" s="4">
        <v>2019</v>
      </c>
      <c r="C62" s="4">
        <v>162</v>
      </c>
      <c r="D62" s="3" t="s">
        <v>35</v>
      </c>
      <c r="E62" s="5">
        <v>2339178638</v>
      </c>
      <c r="F62" s="5">
        <v>27486304</v>
      </c>
      <c r="G62" s="5">
        <v>1165699</v>
      </c>
      <c r="J62" s="4">
        <v>2019</v>
      </c>
      <c r="K62" s="4">
        <v>162</v>
      </c>
      <c r="L62" s="3" t="s">
        <v>45</v>
      </c>
      <c r="M62" s="5">
        <v>102210435</v>
      </c>
      <c r="P62" s="4">
        <v>2022</v>
      </c>
      <c r="Q62" s="4">
        <v>162</v>
      </c>
      <c r="R62" s="3" t="s">
        <v>60</v>
      </c>
      <c r="S62" s="5">
        <v>374468383</v>
      </c>
    </row>
    <row r="63" spans="2:19" x14ac:dyDescent="0.3">
      <c r="B63" s="4">
        <v>2019</v>
      </c>
      <c r="C63" s="4">
        <v>162</v>
      </c>
      <c r="D63" s="3" t="s">
        <v>36</v>
      </c>
      <c r="E63" s="5">
        <v>197298066</v>
      </c>
      <c r="F63" s="5">
        <v>6653074</v>
      </c>
      <c r="G63" s="5">
        <v>8</v>
      </c>
      <c r="J63" s="4">
        <v>2019</v>
      </c>
      <c r="K63" s="4">
        <v>162</v>
      </c>
      <c r="L63" s="3" t="s">
        <v>46</v>
      </c>
      <c r="M63" s="5">
        <v>80879040</v>
      </c>
      <c r="P63" s="4">
        <v>2022</v>
      </c>
      <c r="Q63" s="4">
        <v>162</v>
      </c>
      <c r="R63" s="3" t="s">
        <v>61</v>
      </c>
      <c r="S63" s="5">
        <v>8902654</v>
      </c>
    </row>
    <row r="64" spans="2:19" x14ac:dyDescent="0.3">
      <c r="B64" s="4">
        <v>2019</v>
      </c>
      <c r="C64" s="4">
        <v>162</v>
      </c>
      <c r="D64" s="3" t="s">
        <v>37</v>
      </c>
      <c r="E64" s="5">
        <v>2324351019</v>
      </c>
      <c r="F64" s="5">
        <v>27486304</v>
      </c>
      <c r="G64" s="5">
        <v>1165699</v>
      </c>
      <c r="J64" s="4">
        <v>2019</v>
      </c>
      <c r="K64" s="4">
        <v>162</v>
      </c>
      <c r="L64" s="3" t="s">
        <v>47</v>
      </c>
      <c r="M64" s="5">
        <v>187880093</v>
      </c>
      <c r="P64" s="4">
        <v>2022</v>
      </c>
      <c r="Q64" s="4">
        <v>162</v>
      </c>
      <c r="R64" s="3" t="s">
        <v>62</v>
      </c>
      <c r="S64" s="5">
        <v>147385918</v>
      </c>
    </row>
    <row r="65" spans="2:19" x14ac:dyDescent="0.3">
      <c r="B65" s="4">
        <v>2019</v>
      </c>
      <c r="C65" s="4">
        <v>162</v>
      </c>
      <c r="D65" s="3" t="s">
        <v>38</v>
      </c>
      <c r="E65" s="5">
        <v>2127052953</v>
      </c>
      <c r="F65" s="5">
        <v>20833230</v>
      </c>
      <c r="G65" s="5">
        <v>1165691</v>
      </c>
      <c r="J65" s="4">
        <v>2019</v>
      </c>
      <c r="K65" s="4">
        <v>162</v>
      </c>
      <c r="L65" s="3" t="s">
        <v>48</v>
      </c>
      <c r="M65" s="5">
        <v>94983743</v>
      </c>
      <c r="P65" s="4">
        <v>2022</v>
      </c>
      <c r="Q65" s="4">
        <v>162</v>
      </c>
      <c r="R65" s="3" t="s">
        <v>63</v>
      </c>
      <c r="S65" s="5">
        <v>3178485486</v>
      </c>
    </row>
    <row r="66" spans="2:19" x14ac:dyDescent="0.3">
      <c r="B66" s="4">
        <v>2019</v>
      </c>
      <c r="C66" s="4">
        <v>162</v>
      </c>
      <c r="D66" s="3" t="s">
        <v>39</v>
      </c>
      <c r="E66" s="5">
        <v>861688507</v>
      </c>
      <c r="F66" s="5">
        <v>8837457</v>
      </c>
      <c r="G66" s="5">
        <v>130009</v>
      </c>
      <c r="J66" s="4">
        <v>2019</v>
      </c>
      <c r="K66" s="4">
        <v>162</v>
      </c>
      <c r="L66" s="3" t="s">
        <v>49</v>
      </c>
      <c r="M66" s="5">
        <v>1455509680</v>
      </c>
      <c r="P66" s="4">
        <v>2022</v>
      </c>
      <c r="Q66" s="4">
        <v>162</v>
      </c>
      <c r="R66" s="3" t="s">
        <v>64</v>
      </c>
      <c r="S66" s="5">
        <v>1970839868</v>
      </c>
    </row>
    <row r="67" spans="2:19" x14ac:dyDescent="0.3">
      <c r="B67" s="4">
        <v>2020</v>
      </c>
      <c r="C67" s="4">
        <v>162</v>
      </c>
      <c r="D67" s="3" t="s">
        <v>30</v>
      </c>
      <c r="E67" s="5">
        <v>2359221575</v>
      </c>
      <c r="F67" s="5">
        <v>26963760</v>
      </c>
      <c r="G67" s="5">
        <v>1181577</v>
      </c>
      <c r="J67" s="4">
        <v>2019</v>
      </c>
      <c r="K67" s="4">
        <v>162</v>
      </c>
      <c r="L67" s="3" t="s">
        <v>50</v>
      </c>
      <c r="M67" s="5">
        <v>945147726</v>
      </c>
      <c r="P67" s="4">
        <v>2022</v>
      </c>
      <c r="Q67" s="4">
        <v>162</v>
      </c>
      <c r="R67" s="3" t="s">
        <v>65</v>
      </c>
      <c r="S67" s="5">
        <v>259360685</v>
      </c>
    </row>
    <row r="68" spans="2:19" x14ac:dyDescent="0.3">
      <c r="B68" s="4">
        <v>2020</v>
      </c>
      <c r="C68" s="4">
        <v>162</v>
      </c>
      <c r="D68" s="3" t="s">
        <v>31</v>
      </c>
      <c r="E68" s="5">
        <v>103961314</v>
      </c>
      <c r="F68" s="5">
        <v>1095916</v>
      </c>
      <c r="G68" s="5">
        <v>3304</v>
      </c>
      <c r="J68" s="4">
        <v>2019</v>
      </c>
      <c r="K68" s="4">
        <v>162</v>
      </c>
      <c r="L68" s="3" t="s">
        <v>51</v>
      </c>
      <c r="M68" s="5">
        <v>559286807</v>
      </c>
      <c r="P68" s="4">
        <v>2023</v>
      </c>
      <c r="Q68" s="4">
        <v>162</v>
      </c>
      <c r="R68" s="3" t="s">
        <v>59</v>
      </c>
      <c r="S68" s="5">
        <v>56875003</v>
      </c>
    </row>
    <row r="69" spans="2:19" x14ac:dyDescent="0.3">
      <c r="B69" s="4">
        <v>2020</v>
      </c>
      <c r="C69" s="4">
        <v>162</v>
      </c>
      <c r="D69" s="3" t="s">
        <v>32</v>
      </c>
      <c r="E69" s="5">
        <v>94262018</v>
      </c>
      <c r="F69" s="5"/>
      <c r="G69" s="5"/>
      <c r="J69" s="4">
        <v>2019</v>
      </c>
      <c r="K69" s="4">
        <v>162</v>
      </c>
      <c r="L69" s="3" t="s">
        <v>52</v>
      </c>
      <c r="M69" s="5">
        <v>649824</v>
      </c>
      <c r="P69" s="4">
        <v>2023</v>
      </c>
      <c r="Q69" s="4">
        <v>162</v>
      </c>
      <c r="R69" s="3" t="s">
        <v>60</v>
      </c>
      <c r="S69" s="5">
        <v>393750409</v>
      </c>
    </row>
    <row r="70" spans="2:19" x14ac:dyDescent="0.3">
      <c r="B70" s="4">
        <v>2020</v>
      </c>
      <c r="C70" s="4">
        <v>162</v>
      </c>
      <c r="D70" s="3" t="s">
        <v>40</v>
      </c>
      <c r="E70" s="5">
        <v>-8462662</v>
      </c>
      <c r="F70" s="5"/>
      <c r="G70" s="5"/>
      <c r="J70" s="4">
        <v>2019</v>
      </c>
      <c r="K70" s="4">
        <v>162</v>
      </c>
      <c r="L70" s="3" t="s">
        <v>53</v>
      </c>
      <c r="M70" s="5">
        <v>145795509</v>
      </c>
      <c r="P70" s="4">
        <v>2023</v>
      </c>
      <c r="Q70" s="4">
        <v>162</v>
      </c>
      <c r="R70" s="3" t="s">
        <v>61</v>
      </c>
      <c r="S70" s="5">
        <v>3764421</v>
      </c>
    </row>
    <row r="71" spans="2:19" x14ac:dyDescent="0.3">
      <c r="B71" s="4">
        <v>2020</v>
      </c>
      <c r="C71" s="4">
        <v>162</v>
      </c>
      <c r="D71" s="3" t="s">
        <v>33</v>
      </c>
      <c r="E71" s="5">
        <v>17831939</v>
      </c>
      <c r="F71" s="5">
        <v>73947</v>
      </c>
      <c r="G71" s="5">
        <v>7660</v>
      </c>
      <c r="J71" s="4">
        <v>2020</v>
      </c>
      <c r="K71" s="4">
        <v>162</v>
      </c>
      <c r="L71" s="3" t="s">
        <v>43</v>
      </c>
      <c r="M71" s="5">
        <v>131447846</v>
      </c>
      <c r="P71" s="4">
        <v>2023</v>
      </c>
      <c r="Q71" s="4">
        <v>162</v>
      </c>
      <c r="R71" s="3" t="s">
        <v>62</v>
      </c>
      <c r="S71" s="5">
        <v>152225910</v>
      </c>
    </row>
    <row r="72" spans="2:19" x14ac:dyDescent="0.3">
      <c r="B72" s="4">
        <v>2020</v>
      </c>
      <c r="C72" s="4">
        <v>162</v>
      </c>
      <c r="D72" s="3" t="s">
        <v>34</v>
      </c>
      <c r="E72" s="5">
        <v>1186013491</v>
      </c>
      <c r="F72" s="5">
        <v>10976067</v>
      </c>
      <c r="G72" s="5">
        <v>1039596</v>
      </c>
      <c r="J72" s="4">
        <v>2020</v>
      </c>
      <c r="K72" s="4">
        <v>162</v>
      </c>
      <c r="L72" s="3" t="s">
        <v>44</v>
      </c>
      <c r="M72" s="5">
        <v>52323116</v>
      </c>
      <c r="P72" s="4">
        <v>2023</v>
      </c>
      <c r="Q72" s="4">
        <v>162</v>
      </c>
      <c r="R72" s="3" t="s">
        <v>63</v>
      </c>
      <c r="S72" s="5">
        <v>3483981859</v>
      </c>
    </row>
    <row r="73" spans="2:19" x14ac:dyDescent="0.3">
      <c r="B73" s="4">
        <v>2020</v>
      </c>
      <c r="C73" s="4">
        <v>162</v>
      </c>
      <c r="D73" s="3" t="s">
        <v>35</v>
      </c>
      <c r="E73" s="5">
        <v>2264959557</v>
      </c>
      <c r="F73" s="5">
        <v>26963760</v>
      </c>
      <c r="G73" s="5">
        <v>1181577</v>
      </c>
      <c r="J73" s="4">
        <v>2020</v>
      </c>
      <c r="K73" s="4">
        <v>162</v>
      </c>
      <c r="L73" s="3" t="s">
        <v>45</v>
      </c>
      <c r="M73" s="5">
        <v>106297273</v>
      </c>
      <c r="P73" s="4">
        <v>2023</v>
      </c>
      <c r="Q73" s="4">
        <v>162</v>
      </c>
      <c r="R73" s="3" t="s">
        <v>64</v>
      </c>
      <c r="S73" s="5">
        <v>2203863789</v>
      </c>
    </row>
    <row r="74" spans="2:19" x14ac:dyDescent="0.3">
      <c r="B74" s="4">
        <v>2020</v>
      </c>
      <c r="C74" s="4">
        <v>162</v>
      </c>
      <c r="D74" s="3" t="s">
        <v>36</v>
      </c>
      <c r="E74" s="5">
        <v>148083640</v>
      </c>
      <c r="F74" s="5">
        <v>6875538</v>
      </c>
      <c r="G74" s="5">
        <v>8</v>
      </c>
      <c r="J74" s="4">
        <v>2020</v>
      </c>
      <c r="K74" s="4">
        <v>162</v>
      </c>
      <c r="L74" s="3" t="s">
        <v>46</v>
      </c>
      <c r="M74" s="5">
        <v>86597401</v>
      </c>
      <c r="P74" s="4">
        <v>2023</v>
      </c>
      <c r="Q74" s="4">
        <v>162</v>
      </c>
      <c r="R74" s="3" t="s">
        <v>65</v>
      </c>
      <c r="S74" s="5">
        <v>269731981</v>
      </c>
    </row>
    <row r="75" spans="2:19" x14ac:dyDescent="0.3">
      <c r="B75" s="4">
        <v>2020</v>
      </c>
      <c r="C75" s="4">
        <v>162</v>
      </c>
      <c r="D75" s="3" t="s">
        <v>37</v>
      </c>
      <c r="E75" s="5">
        <v>2256496895</v>
      </c>
      <c r="F75" s="5">
        <v>26963760</v>
      </c>
      <c r="G75" s="5">
        <v>1181577</v>
      </c>
      <c r="J75" s="4">
        <v>2020</v>
      </c>
      <c r="K75" s="4">
        <v>162</v>
      </c>
      <c r="L75" s="3" t="s">
        <v>47</v>
      </c>
      <c r="M75" s="5">
        <v>158146138</v>
      </c>
      <c r="P75" s="4">
        <v>2024</v>
      </c>
      <c r="Q75" s="4">
        <v>162</v>
      </c>
      <c r="R75" s="3" t="s">
        <v>59</v>
      </c>
      <c r="S75" s="5">
        <v>64937435</v>
      </c>
    </row>
    <row r="76" spans="2:19" x14ac:dyDescent="0.3">
      <c r="B76" s="4">
        <v>2020</v>
      </c>
      <c r="C76" s="4">
        <v>162</v>
      </c>
      <c r="D76" s="3" t="s">
        <v>38</v>
      </c>
      <c r="E76" s="5">
        <v>2108413255</v>
      </c>
      <c r="F76" s="5">
        <v>20088222</v>
      </c>
      <c r="G76" s="5">
        <v>1181569</v>
      </c>
      <c r="J76" s="4">
        <v>2020</v>
      </c>
      <c r="K76" s="4">
        <v>162</v>
      </c>
      <c r="L76" s="3" t="s">
        <v>48</v>
      </c>
      <c r="M76" s="5">
        <v>40960557</v>
      </c>
      <c r="P76" s="4">
        <v>2024</v>
      </c>
      <c r="Q76" s="4">
        <v>162</v>
      </c>
      <c r="R76" s="3" t="s">
        <v>60</v>
      </c>
      <c r="S76" s="5">
        <v>413169227</v>
      </c>
    </row>
    <row r="77" spans="2:19" x14ac:dyDescent="0.3">
      <c r="B77" s="4">
        <v>2020</v>
      </c>
      <c r="C77" s="4">
        <v>162</v>
      </c>
      <c r="D77" s="3" t="s">
        <v>39</v>
      </c>
      <c r="E77" s="5">
        <v>800606511</v>
      </c>
      <c r="F77" s="5">
        <v>7942292</v>
      </c>
      <c r="G77" s="5">
        <v>131009</v>
      </c>
      <c r="J77" s="4">
        <v>2020</v>
      </c>
      <c r="K77" s="4">
        <v>162</v>
      </c>
      <c r="L77" s="3" t="s">
        <v>49</v>
      </c>
      <c r="M77" s="5">
        <v>1305095104</v>
      </c>
      <c r="P77" s="4">
        <v>2024</v>
      </c>
      <c r="Q77" s="4">
        <v>162</v>
      </c>
      <c r="R77" s="3" t="s">
        <v>61</v>
      </c>
      <c r="S77" s="5">
        <v>3473489</v>
      </c>
    </row>
    <row r="78" spans="2:19" x14ac:dyDescent="0.3">
      <c r="B78" s="4">
        <v>2021</v>
      </c>
      <c r="C78" s="4">
        <v>162</v>
      </c>
      <c r="D78" s="3" t="s">
        <v>30</v>
      </c>
      <c r="E78" s="5">
        <v>2764186180</v>
      </c>
      <c r="F78" s="5"/>
      <c r="G78" s="5"/>
      <c r="J78" s="4">
        <v>2020</v>
      </c>
      <c r="K78" s="4">
        <v>162</v>
      </c>
      <c r="L78" s="3" t="s">
        <v>50</v>
      </c>
      <c r="M78" s="5">
        <v>780267713</v>
      </c>
      <c r="P78" s="4">
        <v>2024</v>
      </c>
      <c r="Q78" s="4">
        <v>162</v>
      </c>
      <c r="R78" s="3" t="s">
        <v>62</v>
      </c>
      <c r="S78" s="5">
        <v>159286211</v>
      </c>
    </row>
    <row r="79" spans="2:19" x14ac:dyDescent="0.3">
      <c r="B79" s="4">
        <v>2021</v>
      </c>
      <c r="C79" s="4">
        <v>162</v>
      </c>
      <c r="D79" s="3" t="s">
        <v>31</v>
      </c>
      <c r="E79" s="5">
        <v>111254647</v>
      </c>
      <c r="F79" s="5">
        <v>1082718</v>
      </c>
      <c r="G79" s="5">
        <v>3282</v>
      </c>
      <c r="J79" s="4">
        <v>2020</v>
      </c>
      <c r="K79" s="4">
        <v>162</v>
      </c>
      <c r="L79" s="3" t="s">
        <v>51</v>
      </c>
      <c r="M79" s="5">
        <v>490923638</v>
      </c>
      <c r="P79" s="4">
        <v>2024</v>
      </c>
      <c r="Q79" s="4">
        <v>162</v>
      </c>
      <c r="R79" s="3" t="s">
        <v>63</v>
      </c>
      <c r="S79" s="5">
        <v>3432698808</v>
      </c>
    </row>
    <row r="80" spans="2:19" x14ac:dyDescent="0.3">
      <c r="B80" s="4">
        <v>2021</v>
      </c>
      <c r="C80" s="4">
        <v>162</v>
      </c>
      <c r="D80" s="3" t="s">
        <v>32</v>
      </c>
      <c r="E80" s="5">
        <v>113843713</v>
      </c>
      <c r="F80" s="5"/>
      <c r="G80" s="5"/>
      <c r="J80" s="4">
        <v>2020</v>
      </c>
      <c r="K80" s="4">
        <v>162</v>
      </c>
      <c r="L80" s="3" t="s">
        <v>52</v>
      </c>
      <c r="M80" s="5">
        <v>703409</v>
      </c>
      <c r="P80" s="4">
        <v>2024</v>
      </c>
      <c r="Q80" s="4">
        <v>162</v>
      </c>
      <c r="R80" s="3" t="s">
        <v>64</v>
      </c>
      <c r="S80" s="5">
        <v>2010402335</v>
      </c>
    </row>
    <row r="81" spans="2:19" x14ac:dyDescent="0.3">
      <c r="B81" s="4">
        <v>2021</v>
      </c>
      <c r="C81" s="4">
        <v>162</v>
      </c>
      <c r="D81" s="3" t="s">
        <v>40</v>
      </c>
      <c r="E81" s="5">
        <v>-766934</v>
      </c>
      <c r="F81" s="5"/>
      <c r="G81" s="5"/>
      <c r="J81" s="4">
        <v>2020</v>
      </c>
      <c r="K81" s="4">
        <v>162</v>
      </c>
      <c r="L81" s="3" t="s">
        <v>53</v>
      </c>
      <c r="M81" s="5">
        <v>147458346</v>
      </c>
      <c r="P81" s="4">
        <v>2024</v>
      </c>
      <c r="Q81" s="4">
        <v>162</v>
      </c>
      <c r="R81" s="3" t="s">
        <v>65</v>
      </c>
      <c r="S81" s="5">
        <v>276542540</v>
      </c>
    </row>
    <row r="82" spans="2:19" x14ac:dyDescent="0.3">
      <c r="B82" s="4">
        <v>2021</v>
      </c>
      <c r="C82" s="4">
        <v>162</v>
      </c>
      <c r="D82" s="3" t="s">
        <v>33</v>
      </c>
      <c r="E82" s="5">
        <v>17717234</v>
      </c>
      <c r="F82" s="5">
        <v>72794</v>
      </c>
      <c r="G82" s="5">
        <v>7878</v>
      </c>
      <c r="J82" s="4">
        <v>2021</v>
      </c>
      <c r="K82" s="4">
        <v>162</v>
      </c>
      <c r="L82" s="3" t="s">
        <v>43</v>
      </c>
      <c r="M82" s="5">
        <v>150921068</v>
      </c>
      <c r="P82" s="4">
        <v>2025</v>
      </c>
      <c r="Q82" s="4">
        <v>162</v>
      </c>
      <c r="R82" s="3" t="s">
        <v>59</v>
      </c>
      <c r="S82" s="5">
        <v>52647907</v>
      </c>
    </row>
    <row r="83" spans="2:19" x14ac:dyDescent="0.3">
      <c r="B83" s="4">
        <v>2021</v>
      </c>
      <c r="C83" s="4">
        <v>162</v>
      </c>
      <c r="D83" s="3" t="s">
        <v>34</v>
      </c>
      <c r="E83" s="5">
        <v>1318319153</v>
      </c>
      <c r="F83" s="5">
        <v>11479046</v>
      </c>
      <c r="G83" s="5">
        <v>1053027</v>
      </c>
      <c r="J83" s="4">
        <v>2021</v>
      </c>
      <c r="K83" s="4">
        <v>162</v>
      </c>
      <c r="L83" s="3" t="s">
        <v>44</v>
      </c>
      <c r="M83" s="5">
        <v>54342378</v>
      </c>
      <c r="P83" s="4">
        <v>2025</v>
      </c>
      <c r="Q83" s="4">
        <v>162</v>
      </c>
      <c r="R83" s="3" t="s">
        <v>60</v>
      </c>
      <c r="S83" s="5">
        <v>488908113</v>
      </c>
    </row>
    <row r="84" spans="2:19" x14ac:dyDescent="0.3">
      <c r="B84" s="4">
        <v>2021</v>
      </c>
      <c r="C84" s="4">
        <v>162</v>
      </c>
      <c r="D84" s="3" t="s">
        <v>35</v>
      </c>
      <c r="E84" s="5">
        <v>2650342467</v>
      </c>
      <c r="F84" s="5">
        <v>27686563</v>
      </c>
      <c r="G84" s="5">
        <v>1196859</v>
      </c>
      <c r="J84" s="4">
        <v>2021</v>
      </c>
      <c r="K84" s="4">
        <v>162</v>
      </c>
      <c r="L84" s="3" t="s">
        <v>45</v>
      </c>
      <c r="M84" s="5">
        <v>111470466</v>
      </c>
      <c r="P84" s="4">
        <v>2025</v>
      </c>
      <c r="Q84" s="4">
        <v>162</v>
      </c>
      <c r="R84" s="3" t="s">
        <v>61</v>
      </c>
      <c r="S84" s="5">
        <v>4136317</v>
      </c>
    </row>
    <row r="85" spans="2:19" x14ac:dyDescent="0.3">
      <c r="B85" s="4">
        <v>2021</v>
      </c>
      <c r="C85" s="4">
        <v>162</v>
      </c>
      <c r="D85" s="3" t="s">
        <v>36</v>
      </c>
      <c r="E85" s="5">
        <v>293007158</v>
      </c>
      <c r="F85" s="5">
        <v>6649948</v>
      </c>
      <c r="G85" s="5">
        <v>8</v>
      </c>
      <c r="J85" s="4">
        <v>2021</v>
      </c>
      <c r="K85" s="4">
        <v>162</v>
      </c>
      <c r="L85" s="3" t="s">
        <v>46</v>
      </c>
      <c r="M85" s="5">
        <v>93529691</v>
      </c>
      <c r="P85" s="4">
        <v>2025</v>
      </c>
      <c r="Q85" s="4">
        <v>162</v>
      </c>
      <c r="R85" s="3" t="s">
        <v>62</v>
      </c>
      <c r="S85" s="5">
        <v>187977931</v>
      </c>
    </row>
    <row r="86" spans="2:19" x14ac:dyDescent="0.3">
      <c r="B86" s="4">
        <v>2021</v>
      </c>
      <c r="C86" s="4">
        <v>162</v>
      </c>
      <c r="D86" s="3" t="s">
        <v>37</v>
      </c>
      <c r="E86" s="5">
        <v>2649575533</v>
      </c>
      <c r="F86" s="5">
        <v>27686563</v>
      </c>
      <c r="G86" s="5">
        <v>1196859</v>
      </c>
      <c r="J86" s="4">
        <v>2021</v>
      </c>
      <c r="K86" s="4">
        <v>162</v>
      </c>
      <c r="L86" s="3" t="s">
        <v>47</v>
      </c>
      <c r="M86" s="5">
        <v>232657565</v>
      </c>
      <c r="P86" s="4">
        <v>2025</v>
      </c>
      <c r="Q86" s="4">
        <v>162</v>
      </c>
      <c r="R86" s="3" t="s">
        <v>63</v>
      </c>
      <c r="S86" s="5">
        <v>3935546817</v>
      </c>
    </row>
    <row r="87" spans="2:19" x14ac:dyDescent="0.3">
      <c r="B87" s="4">
        <v>2021</v>
      </c>
      <c r="C87" s="4">
        <v>162</v>
      </c>
      <c r="D87" s="3" t="s">
        <v>38</v>
      </c>
      <c r="E87" s="5">
        <v>2356568375</v>
      </c>
      <c r="F87" s="5">
        <v>21036615</v>
      </c>
      <c r="G87" s="5">
        <v>1196851</v>
      </c>
      <c r="J87" s="4">
        <v>2021</v>
      </c>
      <c r="K87" s="4">
        <v>162</v>
      </c>
      <c r="L87" s="3" t="s">
        <v>48</v>
      </c>
      <c r="M87" s="5">
        <v>49596334</v>
      </c>
      <c r="P87" s="4">
        <v>2025</v>
      </c>
      <c r="Q87" s="4">
        <v>162</v>
      </c>
      <c r="R87" s="3" t="s">
        <v>64</v>
      </c>
      <c r="S87" s="5">
        <v>2393559462</v>
      </c>
    </row>
    <row r="88" spans="2:19" x14ac:dyDescent="0.3">
      <c r="B88" s="4">
        <v>2021</v>
      </c>
      <c r="C88" s="4">
        <v>162</v>
      </c>
      <c r="D88" s="3" t="s">
        <v>39</v>
      </c>
      <c r="E88" s="5">
        <v>909277341</v>
      </c>
      <c r="F88" s="5">
        <v>8402057</v>
      </c>
      <c r="G88" s="5">
        <v>132664</v>
      </c>
      <c r="J88" s="4">
        <v>2021</v>
      </c>
      <c r="K88" s="4">
        <v>162</v>
      </c>
      <c r="L88" s="3" t="s">
        <v>49</v>
      </c>
      <c r="M88" s="5">
        <v>1669365935</v>
      </c>
      <c r="P88" s="4">
        <v>2025</v>
      </c>
      <c r="Q88" s="4">
        <v>162</v>
      </c>
      <c r="R88" s="3" t="s">
        <v>65</v>
      </c>
      <c r="S88" s="5">
        <v>316215797</v>
      </c>
    </row>
    <row r="89" spans="2:19" x14ac:dyDescent="0.3">
      <c r="B89" s="4">
        <v>2022</v>
      </c>
      <c r="C89" s="4">
        <v>162</v>
      </c>
      <c r="D89" s="3" t="s">
        <v>30</v>
      </c>
      <c r="E89" s="5">
        <v>3178485486</v>
      </c>
      <c r="F89" s="5"/>
      <c r="G89" s="5"/>
      <c r="J89" s="4">
        <v>2021</v>
      </c>
      <c r="K89" s="4">
        <v>162</v>
      </c>
      <c r="L89" s="3" t="s">
        <v>50</v>
      </c>
      <c r="M89" s="5">
        <v>1106876461</v>
      </c>
      <c r="P89" s="4">
        <v>2014</v>
      </c>
      <c r="Q89" s="4">
        <v>182</v>
      </c>
      <c r="R89" s="3" t="s">
        <v>59</v>
      </c>
      <c r="S89" s="5">
        <v>13008487</v>
      </c>
    </row>
    <row r="90" spans="2:19" x14ac:dyDescent="0.3">
      <c r="B90" s="4">
        <v>2022</v>
      </c>
      <c r="C90" s="4">
        <v>162</v>
      </c>
      <c r="D90" s="3" t="s">
        <v>31</v>
      </c>
      <c r="E90" s="5">
        <v>119862308</v>
      </c>
      <c r="F90" s="5">
        <v>1113909</v>
      </c>
      <c r="G90" s="5">
        <v>3238</v>
      </c>
      <c r="J90" s="4">
        <v>2021</v>
      </c>
      <c r="K90" s="4">
        <v>162</v>
      </c>
      <c r="L90" s="3" t="s">
        <v>54</v>
      </c>
      <c r="M90" s="5">
        <v>0</v>
      </c>
      <c r="P90" s="4">
        <v>2014</v>
      </c>
      <c r="Q90" s="4">
        <v>182</v>
      </c>
      <c r="R90" s="3" t="s">
        <v>60</v>
      </c>
      <c r="S90" s="5">
        <v>89097411</v>
      </c>
    </row>
    <row r="91" spans="2:19" x14ac:dyDescent="0.3">
      <c r="B91" s="4">
        <v>2022</v>
      </c>
      <c r="C91" s="4">
        <v>162</v>
      </c>
      <c r="D91" s="3" t="s">
        <v>32</v>
      </c>
      <c r="E91" s="5">
        <v>122597206</v>
      </c>
      <c r="F91" s="5"/>
      <c r="G91" s="5"/>
      <c r="J91" s="4">
        <v>2021</v>
      </c>
      <c r="K91" s="4">
        <v>162</v>
      </c>
      <c r="L91" s="3" t="s">
        <v>51</v>
      </c>
      <c r="M91" s="5">
        <v>691169391</v>
      </c>
      <c r="P91" s="4">
        <v>2014</v>
      </c>
      <c r="Q91" s="4">
        <v>182</v>
      </c>
      <c r="R91" s="3" t="s">
        <v>62</v>
      </c>
      <c r="S91" s="5">
        <v>51160378</v>
      </c>
    </row>
    <row r="92" spans="2:19" x14ac:dyDescent="0.3">
      <c r="B92" s="4">
        <v>2022</v>
      </c>
      <c r="C92" s="4">
        <v>162</v>
      </c>
      <c r="D92" s="3" t="s">
        <v>33</v>
      </c>
      <c r="E92" s="5">
        <v>18414824</v>
      </c>
      <c r="F92" s="5">
        <v>69271</v>
      </c>
      <c r="G92" s="5">
        <v>8039</v>
      </c>
      <c r="J92" s="4">
        <v>2021</v>
      </c>
      <c r="K92" s="4">
        <v>162</v>
      </c>
      <c r="L92" s="3" t="s">
        <v>52</v>
      </c>
      <c r="M92" s="5">
        <v>785859</v>
      </c>
      <c r="P92" s="4">
        <v>2014</v>
      </c>
      <c r="Q92" s="4">
        <v>182</v>
      </c>
      <c r="R92" s="3" t="s">
        <v>63</v>
      </c>
      <c r="S92" s="5">
        <v>1015103873</v>
      </c>
    </row>
    <row r="93" spans="2:19" x14ac:dyDescent="0.3">
      <c r="B93" s="4">
        <v>2022</v>
      </c>
      <c r="C93" s="4">
        <v>162</v>
      </c>
      <c r="D93" s="3" t="s">
        <v>34</v>
      </c>
      <c r="E93" s="5">
        <v>1381833366</v>
      </c>
      <c r="F93" s="5">
        <v>11753057</v>
      </c>
      <c r="G93" s="5">
        <v>1065508</v>
      </c>
      <c r="J93" s="4">
        <v>2021</v>
      </c>
      <c r="K93" s="4">
        <v>162</v>
      </c>
      <c r="L93" s="3" t="s">
        <v>53</v>
      </c>
      <c r="M93" s="5">
        <v>151440012</v>
      </c>
      <c r="P93" s="4">
        <v>2014</v>
      </c>
      <c r="Q93" s="4">
        <v>182</v>
      </c>
      <c r="R93" s="3" t="s">
        <v>64</v>
      </c>
      <c r="S93" s="5">
        <v>584239618</v>
      </c>
    </row>
    <row r="94" spans="2:19" x14ac:dyDescent="0.3">
      <c r="B94" s="4">
        <v>2022</v>
      </c>
      <c r="C94" s="4">
        <v>162</v>
      </c>
      <c r="D94" s="3" t="s">
        <v>35</v>
      </c>
      <c r="E94" s="5">
        <v>3055888280</v>
      </c>
      <c r="F94" s="5">
        <v>27657848</v>
      </c>
      <c r="G94" s="5">
        <v>1210402</v>
      </c>
      <c r="J94" s="4">
        <v>2022</v>
      </c>
      <c r="K94" s="4">
        <v>162</v>
      </c>
      <c r="L94" s="3" t="s">
        <v>43</v>
      </c>
      <c r="M94" s="5">
        <v>160147135</v>
      </c>
      <c r="P94" s="4">
        <v>2014</v>
      </c>
      <c r="Q94" s="4">
        <v>182</v>
      </c>
      <c r="R94" s="3" t="s">
        <v>65</v>
      </c>
      <c r="S94" s="5">
        <v>69580534</v>
      </c>
    </row>
    <row r="95" spans="2:19" x14ac:dyDescent="0.3">
      <c r="B95" s="4">
        <v>2022</v>
      </c>
      <c r="C95" s="4">
        <v>162</v>
      </c>
      <c r="D95" s="3" t="s">
        <v>36</v>
      </c>
      <c r="E95" s="5">
        <v>546960679</v>
      </c>
      <c r="F95" s="5">
        <v>6044433</v>
      </c>
      <c r="G95" s="5">
        <v>8</v>
      </c>
      <c r="J95" s="4">
        <v>2022</v>
      </c>
      <c r="K95" s="4">
        <v>162</v>
      </c>
      <c r="L95" s="3" t="s">
        <v>44</v>
      </c>
      <c r="M95" s="5">
        <v>55038943</v>
      </c>
      <c r="P95" s="4">
        <v>2015</v>
      </c>
      <c r="Q95" s="4">
        <v>182</v>
      </c>
      <c r="R95" s="3" t="s">
        <v>59</v>
      </c>
      <c r="S95" s="5">
        <v>16519997</v>
      </c>
    </row>
    <row r="96" spans="2:19" x14ac:dyDescent="0.3">
      <c r="B96" s="4">
        <v>2022</v>
      </c>
      <c r="C96" s="4">
        <v>162</v>
      </c>
      <c r="D96" s="3" t="s">
        <v>37</v>
      </c>
      <c r="E96" s="5">
        <v>3055888280</v>
      </c>
      <c r="F96" s="5">
        <v>27657848</v>
      </c>
      <c r="G96" s="5">
        <v>1210402</v>
      </c>
      <c r="J96" s="4">
        <v>2022</v>
      </c>
      <c r="K96" s="4">
        <v>162</v>
      </c>
      <c r="L96" s="3" t="s">
        <v>45</v>
      </c>
      <c r="M96" s="5">
        <v>134849005</v>
      </c>
      <c r="P96" s="4">
        <v>2015</v>
      </c>
      <c r="Q96" s="4">
        <v>182</v>
      </c>
      <c r="R96" s="3" t="s">
        <v>60</v>
      </c>
      <c r="S96" s="5">
        <v>95895130</v>
      </c>
    </row>
    <row r="97" spans="2:19" x14ac:dyDescent="0.3">
      <c r="B97" s="4">
        <v>2022</v>
      </c>
      <c r="C97" s="4">
        <v>162</v>
      </c>
      <c r="D97" s="3" t="s">
        <v>38</v>
      </c>
      <c r="E97" s="5">
        <v>2508927601</v>
      </c>
      <c r="F97" s="5">
        <v>21613415</v>
      </c>
      <c r="G97" s="5">
        <v>1210394</v>
      </c>
      <c r="J97" s="4">
        <v>2022</v>
      </c>
      <c r="K97" s="4">
        <v>162</v>
      </c>
      <c r="L97" s="3" t="s">
        <v>46</v>
      </c>
      <c r="M97" s="5">
        <v>100263618</v>
      </c>
      <c r="P97" s="4">
        <v>2015</v>
      </c>
      <c r="Q97" s="4">
        <v>182</v>
      </c>
      <c r="R97" s="3" t="s">
        <v>62</v>
      </c>
      <c r="S97" s="5">
        <v>50148482</v>
      </c>
    </row>
    <row r="98" spans="2:19" x14ac:dyDescent="0.3">
      <c r="B98" s="4">
        <v>2022</v>
      </c>
      <c r="C98" s="4">
        <v>162</v>
      </c>
      <c r="D98" s="3" t="s">
        <v>39</v>
      </c>
      <c r="E98" s="5">
        <v>988817103</v>
      </c>
      <c r="F98" s="5">
        <v>8677178</v>
      </c>
      <c r="G98" s="5">
        <v>133609</v>
      </c>
      <c r="J98" s="4">
        <v>2022</v>
      </c>
      <c r="K98" s="4">
        <v>162</v>
      </c>
      <c r="L98" s="3" t="s">
        <v>47</v>
      </c>
      <c r="M98" s="5">
        <v>290270276</v>
      </c>
      <c r="P98" s="4">
        <v>2015</v>
      </c>
      <c r="Q98" s="4">
        <v>182</v>
      </c>
      <c r="R98" s="3" t="s">
        <v>63</v>
      </c>
      <c r="S98" s="5">
        <v>1006140061</v>
      </c>
    </row>
    <row r="99" spans="2:19" x14ac:dyDescent="0.3">
      <c r="B99" s="4">
        <v>2023</v>
      </c>
      <c r="C99" s="4">
        <v>162</v>
      </c>
      <c r="D99" s="3" t="s">
        <v>30</v>
      </c>
      <c r="E99" s="5">
        <v>3382556488</v>
      </c>
      <c r="F99" s="5"/>
      <c r="G99" s="5"/>
      <c r="J99" s="4">
        <v>2022</v>
      </c>
      <c r="K99" s="4">
        <v>162</v>
      </c>
      <c r="L99" s="3" t="s">
        <v>48</v>
      </c>
      <c r="M99" s="5">
        <v>57889027</v>
      </c>
      <c r="P99" s="4">
        <v>2015</v>
      </c>
      <c r="Q99" s="4">
        <v>182</v>
      </c>
      <c r="R99" s="3" t="s">
        <v>64</v>
      </c>
      <c r="S99" s="5">
        <v>567238063</v>
      </c>
    </row>
    <row r="100" spans="2:19" x14ac:dyDescent="0.3">
      <c r="B100" s="4">
        <v>2023</v>
      </c>
      <c r="C100" s="4">
        <v>162</v>
      </c>
      <c r="D100" s="3" t="s">
        <v>31</v>
      </c>
      <c r="E100" s="5">
        <v>127146530</v>
      </c>
      <c r="F100" s="5">
        <v>1070933</v>
      </c>
      <c r="G100" s="5">
        <v>3202</v>
      </c>
      <c r="J100" s="4">
        <v>2022</v>
      </c>
      <c r="K100" s="4">
        <v>162</v>
      </c>
      <c r="L100" s="3" t="s">
        <v>49</v>
      </c>
      <c r="M100" s="5">
        <v>2118225786</v>
      </c>
      <c r="P100" s="4">
        <v>2015</v>
      </c>
      <c r="Q100" s="4">
        <v>182</v>
      </c>
      <c r="R100" s="3" t="s">
        <v>65</v>
      </c>
      <c r="S100" s="5">
        <v>72133173</v>
      </c>
    </row>
    <row r="101" spans="2:19" x14ac:dyDescent="0.3">
      <c r="B101" s="4">
        <v>2023</v>
      </c>
      <c r="C101" s="4">
        <v>162</v>
      </c>
      <c r="D101" s="3" t="s">
        <v>32</v>
      </c>
      <c r="E101" s="5">
        <v>101425371</v>
      </c>
      <c r="F101" s="5"/>
      <c r="G101" s="5"/>
      <c r="J101" s="4">
        <v>2022</v>
      </c>
      <c r="K101" s="4">
        <v>162</v>
      </c>
      <c r="L101" s="3" t="s">
        <v>50</v>
      </c>
      <c r="M101" s="5">
        <v>1495911944</v>
      </c>
      <c r="P101" s="4">
        <v>2016</v>
      </c>
      <c r="Q101" s="4">
        <v>182</v>
      </c>
      <c r="R101" s="3" t="s">
        <v>59</v>
      </c>
      <c r="S101" s="5">
        <v>20106387</v>
      </c>
    </row>
    <row r="102" spans="2:19" x14ac:dyDescent="0.3">
      <c r="B102" s="4">
        <v>2023</v>
      </c>
      <c r="C102" s="4">
        <v>162</v>
      </c>
      <c r="D102" s="3" t="s">
        <v>33</v>
      </c>
      <c r="E102" s="5">
        <v>20865111</v>
      </c>
      <c r="F102" s="5">
        <v>69796</v>
      </c>
      <c r="G102" s="5">
        <v>9246</v>
      </c>
      <c r="J102" s="4">
        <v>2022</v>
      </c>
      <c r="K102" s="4">
        <v>162</v>
      </c>
      <c r="L102" s="3" t="s">
        <v>54</v>
      </c>
      <c r="M102" s="5">
        <v>0</v>
      </c>
      <c r="P102" s="4">
        <v>2016</v>
      </c>
      <c r="Q102" s="4">
        <v>182</v>
      </c>
      <c r="R102" s="3" t="s">
        <v>60</v>
      </c>
      <c r="S102" s="5">
        <v>101769331</v>
      </c>
    </row>
    <row r="103" spans="2:19" x14ac:dyDescent="0.3">
      <c r="B103" s="4">
        <v>2023</v>
      </c>
      <c r="C103" s="4">
        <v>162</v>
      </c>
      <c r="D103" s="3" t="s">
        <v>34</v>
      </c>
      <c r="E103" s="5">
        <v>1514148995</v>
      </c>
      <c r="F103" s="5">
        <v>11387970</v>
      </c>
      <c r="G103" s="5">
        <v>1077407</v>
      </c>
      <c r="J103" s="4">
        <v>2022</v>
      </c>
      <c r="K103" s="4">
        <v>162</v>
      </c>
      <c r="L103" s="3" t="s">
        <v>51</v>
      </c>
      <c r="M103" s="5">
        <v>1043007858</v>
      </c>
      <c r="P103" s="4">
        <v>2016</v>
      </c>
      <c r="Q103" s="4">
        <v>182</v>
      </c>
      <c r="R103" s="3" t="s">
        <v>62</v>
      </c>
      <c r="S103" s="5">
        <v>53468423</v>
      </c>
    </row>
    <row r="104" spans="2:19" x14ac:dyDescent="0.3">
      <c r="B104" s="4">
        <v>2023</v>
      </c>
      <c r="C104" s="4">
        <v>162</v>
      </c>
      <c r="D104" s="3" t="s">
        <v>35</v>
      </c>
      <c r="E104" s="5">
        <v>3382556488</v>
      </c>
      <c r="F104" s="5">
        <v>30199386</v>
      </c>
      <c r="G104" s="5">
        <v>1224334</v>
      </c>
      <c r="J104" s="4">
        <v>2022</v>
      </c>
      <c r="K104" s="4">
        <v>162</v>
      </c>
      <c r="L104" s="3" t="s">
        <v>52</v>
      </c>
      <c r="M104" s="5">
        <v>969613</v>
      </c>
      <c r="P104" s="4">
        <v>2016</v>
      </c>
      <c r="Q104" s="4">
        <v>182</v>
      </c>
      <c r="R104" s="3" t="s">
        <v>63</v>
      </c>
      <c r="S104" s="5">
        <v>1004897624</v>
      </c>
    </row>
    <row r="105" spans="2:19" x14ac:dyDescent="0.3">
      <c r="B105" s="4">
        <v>2023</v>
      </c>
      <c r="C105" s="4">
        <v>162</v>
      </c>
      <c r="D105" s="3" t="s">
        <v>36</v>
      </c>
      <c r="E105" s="5">
        <v>640830574</v>
      </c>
      <c r="F105" s="5">
        <v>9033624</v>
      </c>
      <c r="G105" s="5">
        <v>8</v>
      </c>
      <c r="J105" s="4">
        <v>2022</v>
      </c>
      <c r="K105" s="4">
        <v>162</v>
      </c>
      <c r="L105" s="3" t="s">
        <v>53</v>
      </c>
      <c r="M105" s="5">
        <v>171045528</v>
      </c>
      <c r="P105" s="4">
        <v>2016</v>
      </c>
      <c r="Q105" s="4">
        <v>182</v>
      </c>
      <c r="R105" s="3" t="s">
        <v>64</v>
      </c>
      <c r="S105" s="5">
        <v>523294682</v>
      </c>
    </row>
    <row r="106" spans="2:19" x14ac:dyDescent="0.3">
      <c r="B106" s="4">
        <v>2023</v>
      </c>
      <c r="C106" s="4">
        <v>162</v>
      </c>
      <c r="D106" s="3" t="s">
        <v>37</v>
      </c>
      <c r="E106" s="5">
        <v>3382556488</v>
      </c>
      <c r="F106" s="5">
        <v>30199386</v>
      </c>
      <c r="G106" s="5">
        <v>1224334</v>
      </c>
      <c r="J106" s="4">
        <v>2023</v>
      </c>
      <c r="K106" s="4">
        <v>162</v>
      </c>
      <c r="L106" s="3" t="s">
        <v>43</v>
      </c>
      <c r="M106" s="5">
        <v>172081054</v>
      </c>
      <c r="P106" s="4">
        <v>2016</v>
      </c>
      <c r="Q106" s="4">
        <v>182</v>
      </c>
      <c r="R106" s="3" t="s">
        <v>65</v>
      </c>
      <c r="S106" s="5">
        <v>74172165</v>
      </c>
    </row>
    <row r="107" spans="2:19" x14ac:dyDescent="0.3">
      <c r="B107" s="4">
        <v>2023</v>
      </c>
      <c r="C107" s="4">
        <v>162</v>
      </c>
      <c r="D107" s="3" t="s">
        <v>38</v>
      </c>
      <c r="E107" s="5">
        <v>2741725914</v>
      </c>
      <c r="F107" s="5">
        <v>21165762</v>
      </c>
      <c r="G107" s="5">
        <v>1224326</v>
      </c>
      <c r="J107" s="4">
        <v>2023</v>
      </c>
      <c r="K107" s="4">
        <v>162</v>
      </c>
      <c r="L107" s="3" t="s">
        <v>44</v>
      </c>
      <c r="M107" s="5">
        <v>59970042</v>
      </c>
      <c r="P107" s="4">
        <v>2017</v>
      </c>
      <c r="Q107" s="4">
        <v>182</v>
      </c>
      <c r="R107" s="3" t="s">
        <v>59</v>
      </c>
      <c r="S107" s="5">
        <v>22965702</v>
      </c>
    </row>
    <row r="108" spans="2:19" x14ac:dyDescent="0.3">
      <c r="B108" s="4">
        <v>2023</v>
      </c>
      <c r="C108" s="4">
        <v>162</v>
      </c>
      <c r="D108" s="3" t="s">
        <v>39</v>
      </c>
      <c r="E108" s="5">
        <v>1079565278</v>
      </c>
      <c r="F108" s="5">
        <v>8637063</v>
      </c>
      <c r="G108" s="5">
        <v>134471</v>
      </c>
      <c r="J108" s="4">
        <v>2023</v>
      </c>
      <c r="K108" s="4">
        <v>162</v>
      </c>
      <c r="L108" s="3" t="s">
        <v>45</v>
      </c>
      <c r="M108" s="5">
        <v>147068895</v>
      </c>
      <c r="P108" s="4">
        <v>2017</v>
      </c>
      <c r="Q108" s="4">
        <v>182</v>
      </c>
      <c r="R108" s="3" t="s">
        <v>60</v>
      </c>
      <c r="S108" s="5">
        <v>106657139</v>
      </c>
    </row>
    <row r="109" spans="2:19" x14ac:dyDescent="0.3">
      <c r="B109" s="4">
        <v>2024</v>
      </c>
      <c r="C109" s="4">
        <v>162</v>
      </c>
      <c r="D109" s="3" t="s">
        <v>30</v>
      </c>
      <c r="E109" s="5">
        <v>3432698808</v>
      </c>
      <c r="F109" s="5"/>
      <c r="G109" s="5"/>
      <c r="J109" s="4">
        <v>2023</v>
      </c>
      <c r="K109" s="4">
        <v>162</v>
      </c>
      <c r="L109" s="3" t="s">
        <v>46</v>
      </c>
      <c r="M109" s="5">
        <v>108646732</v>
      </c>
      <c r="P109" s="4">
        <v>2017</v>
      </c>
      <c r="Q109" s="4">
        <v>182</v>
      </c>
      <c r="R109" s="3" t="s">
        <v>61</v>
      </c>
      <c r="S109" s="5">
        <v>263254</v>
      </c>
    </row>
    <row r="110" spans="2:19" x14ac:dyDescent="0.3">
      <c r="B110" s="4">
        <v>2024</v>
      </c>
      <c r="C110" s="4">
        <v>162</v>
      </c>
      <c r="D110" s="3" t="s">
        <v>31</v>
      </c>
      <c r="E110" s="5">
        <v>135237340</v>
      </c>
      <c r="F110" s="5">
        <v>1057368</v>
      </c>
      <c r="G110" s="5">
        <v>3188</v>
      </c>
      <c r="J110" s="4">
        <v>2023</v>
      </c>
      <c r="K110" s="4">
        <v>162</v>
      </c>
      <c r="L110" s="3" t="s">
        <v>47</v>
      </c>
      <c r="M110" s="5">
        <v>396650165</v>
      </c>
      <c r="P110" s="4">
        <v>2017</v>
      </c>
      <c r="Q110" s="4">
        <v>182</v>
      </c>
      <c r="R110" s="3" t="s">
        <v>62</v>
      </c>
      <c r="S110" s="5">
        <v>56154163</v>
      </c>
    </row>
    <row r="111" spans="2:19" x14ac:dyDescent="0.3">
      <c r="B111" s="4">
        <v>2024</v>
      </c>
      <c r="C111" s="4">
        <v>162</v>
      </c>
      <c r="D111" s="3" t="s">
        <v>32</v>
      </c>
      <c r="E111" s="5">
        <v>48308452</v>
      </c>
      <c r="F111" s="5"/>
      <c r="G111" s="5"/>
      <c r="J111" s="4">
        <v>2023</v>
      </c>
      <c r="K111" s="4">
        <v>162</v>
      </c>
      <c r="L111" s="3" t="s">
        <v>48</v>
      </c>
      <c r="M111" s="5">
        <v>60636604</v>
      </c>
      <c r="P111" s="4">
        <v>2017</v>
      </c>
      <c r="Q111" s="4">
        <v>182</v>
      </c>
      <c r="R111" s="3" t="s">
        <v>63</v>
      </c>
      <c r="S111" s="5">
        <v>989932258</v>
      </c>
    </row>
    <row r="112" spans="2:19" x14ac:dyDescent="0.3">
      <c r="B112" s="4">
        <v>2024</v>
      </c>
      <c r="C112" s="4">
        <v>162</v>
      </c>
      <c r="D112" s="3" t="s">
        <v>33</v>
      </c>
      <c r="E112" s="5">
        <v>23154055</v>
      </c>
      <c r="F112" s="5">
        <v>70688</v>
      </c>
      <c r="G112" s="5">
        <v>9362</v>
      </c>
      <c r="J112" s="4">
        <v>2023</v>
      </c>
      <c r="K112" s="4">
        <v>162</v>
      </c>
      <c r="L112" s="3" t="s">
        <v>49</v>
      </c>
      <c r="M112" s="5">
        <v>2356089699</v>
      </c>
      <c r="P112" s="4">
        <v>2017</v>
      </c>
      <c r="Q112" s="4">
        <v>182</v>
      </c>
      <c r="R112" s="3" t="s">
        <v>64</v>
      </c>
      <c r="S112" s="5">
        <v>496458475</v>
      </c>
    </row>
    <row r="113" spans="2:19" x14ac:dyDescent="0.3">
      <c r="B113" s="4">
        <v>2024</v>
      </c>
      <c r="C113" s="4">
        <v>162</v>
      </c>
      <c r="D113" s="3" t="s">
        <v>34</v>
      </c>
      <c r="E113" s="5">
        <v>1677597294</v>
      </c>
      <c r="F113" s="5">
        <v>11462976</v>
      </c>
      <c r="G113" s="5">
        <v>1091599</v>
      </c>
      <c r="J113" s="4">
        <v>2023</v>
      </c>
      <c r="K113" s="4">
        <v>162</v>
      </c>
      <c r="L113" s="3" t="s">
        <v>50</v>
      </c>
      <c r="M113" s="5">
        <v>1678287699</v>
      </c>
      <c r="P113" s="4">
        <v>2017</v>
      </c>
      <c r="Q113" s="4">
        <v>182</v>
      </c>
      <c r="R113" s="3" t="s">
        <v>65</v>
      </c>
      <c r="S113" s="5">
        <v>77630348</v>
      </c>
    </row>
    <row r="114" spans="2:19" x14ac:dyDescent="0.3">
      <c r="B114" s="4">
        <v>2024</v>
      </c>
      <c r="C114" s="4">
        <v>162</v>
      </c>
      <c r="D114" s="3" t="s">
        <v>35</v>
      </c>
      <c r="E114" s="5">
        <v>3384390356</v>
      </c>
      <c r="F114" s="5">
        <v>30271501</v>
      </c>
      <c r="G114" s="5">
        <v>1239253</v>
      </c>
      <c r="J114" s="4">
        <v>2023</v>
      </c>
      <c r="K114" s="4">
        <v>162</v>
      </c>
      <c r="L114" s="3" t="s">
        <v>51</v>
      </c>
      <c r="M114" s="5">
        <v>1008414381</v>
      </c>
      <c r="P114" s="4">
        <v>2018</v>
      </c>
      <c r="Q114" s="4">
        <v>182</v>
      </c>
      <c r="R114" s="3" t="s">
        <v>59</v>
      </c>
      <c r="S114" s="5">
        <v>26315338</v>
      </c>
    </row>
    <row r="115" spans="2:19" x14ac:dyDescent="0.3">
      <c r="B115" s="4">
        <v>2024</v>
      </c>
      <c r="C115" s="4">
        <v>162</v>
      </c>
      <c r="D115" s="3" t="s">
        <v>36</v>
      </c>
      <c r="E115" s="5">
        <v>381543495</v>
      </c>
      <c r="F115" s="5">
        <v>9109896</v>
      </c>
      <c r="G115" s="5">
        <v>8</v>
      </c>
      <c r="J115" s="4">
        <v>2023</v>
      </c>
      <c r="K115" s="4">
        <v>162</v>
      </c>
      <c r="L115" s="3" t="s">
        <v>52</v>
      </c>
      <c r="M115" s="5">
        <v>1231798</v>
      </c>
      <c r="P115" s="4">
        <v>2018</v>
      </c>
      <c r="Q115" s="4">
        <v>182</v>
      </c>
      <c r="R115" s="3" t="s">
        <v>60</v>
      </c>
      <c r="S115" s="5">
        <v>112612198</v>
      </c>
    </row>
    <row r="116" spans="2:19" x14ac:dyDescent="0.3">
      <c r="B116" s="4">
        <v>2024</v>
      </c>
      <c r="C116" s="4">
        <v>162</v>
      </c>
      <c r="D116" s="3" t="s">
        <v>37</v>
      </c>
      <c r="E116" s="5">
        <v>3384390356</v>
      </c>
      <c r="F116" s="5">
        <v>30271501</v>
      </c>
      <c r="G116" s="5">
        <v>1239253</v>
      </c>
      <c r="J116" s="4">
        <v>2023</v>
      </c>
      <c r="K116" s="4">
        <v>162</v>
      </c>
      <c r="L116" s="3" t="s">
        <v>53</v>
      </c>
      <c r="M116" s="5">
        <v>188803479</v>
      </c>
      <c r="P116" s="4">
        <v>2018</v>
      </c>
      <c r="Q116" s="4">
        <v>182</v>
      </c>
      <c r="R116" s="3" t="s">
        <v>61</v>
      </c>
      <c r="S116" s="5">
        <v>268929</v>
      </c>
    </row>
    <row r="117" spans="2:19" x14ac:dyDescent="0.3">
      <c r="B117" s="4">
        <v>2024</v>
      </c>
      <c r="C117" s="4">
        <v>162</v>
      </c>
      <c r="D117" s="3" t="s">
        <v>38</v>
      </c>
      <c r="E117" s="5">
        <v>3002846861</v>
      </c>
      <c r="F117" s="5">
        <v>21161605</v>
      </c>
      <c r="G117" s="5">
        <v>1239245</v>
      </c>
      <c r="J117" s="4">
        <v>2024</v>
      </c>
      <c r="K117" s="4">
        <v>162</v>
      </c>
      <c r="L117" s="3" t="s">
        <v>43</v>
      </c>
      <c r="M117" s="5">
        <v>180473521</v>
      </c>
      <c r="P117" s="4">
        <v>2018</v>
      </c>
      <c r="Q117" s="4">
        <v>182</v>
      </c>
      <c r="R117" s="3" t="s">
        <v>62</v>
      </c>
      <c r="S117" s="5">
        <v>49735303</v>
      </c>
    </row>
    <row r="118" spans="2:19" x14ac:dyDescent="0.3">
      <c r="B118" s="4">
        <v>2024</v>
      </c>
      <c r="C118" s="4">
        <v>162</v>
      </c>
      <c r="D118" s="3" t="s">
        <v>39</v>
      </c>
      <c r="E118" s="5">
        <v>1166858172</v>
      </c>
      <c r="F118" s="5">
        <v>8570573</v>
      </c>
      <c r="G118" s="5">
        <v>135096</v>
      </c>
      <c r="J118" s="4">
        <v>2024</v>
      </c>
      <c r="K118" s="4">
        <v>162</v>
      </c>
      <c r="L118" s="3" t="s">
        <v>44</v>
      </c>
      <c r="M118" s="5">
        <v>57830786</v>
      </c>
      <c r="P118" s="4">
        <v>2018</v>
      </c>
      <c r="Q118" s="4">
        <v>182</v>
      </c>
      <c r="R118" s="3" t="s">
        <v>63</v>
      </c>
      <c r="S118" s="5">
        <v>986405322</v>
      </c>
    </row>
    <row r="119" spans="2:19" x14ac:dyDescent="0.3">
      <c r="B119" s="4">
        <v>2025</v>
      </c>
      <c r="C119" s="4">
        <v>162</v>
      </c>
      <c r="D119" s="3" t="s">
        <v>30</v>
      </c>
      <c r="E119" s="5">
        <v>3935546817</v>
      </c>
      <c r="F119" s="5"/>
      <c r="G119" s="5"/>
      <c r="J119" s="4">
        <v>2024</v>
      </c>
      <c r="K119" s="4">
        <v>162</v>
      </c>
      <c r="L119" s="3" t="s">
        <v>45</v>
      </c>
      <c r="M119" s="5">
        <v>179800345</v>
      </c>
      <c r="P119" s="4">
        <v>2018</v>
      </c>
      <c r="Q119" s="4">
        <v>182</v>
      </c>
      <c r="R119" s="3" t="s">
        <v>64</v>
      </c>
      <c r="S119" s="5">
        <v>516698898</v>
      </c>
    </row>
    <row r="120" spans="2:19" x14ac:dyDescent="0.3">
      <c r="B120" s="4">
        <v>2025</v>
      </c>
      <c r="C120" s="4">
        <v>162</v>
      </c>
      <c r="D120" s="3" t="s">
        <v>31</v>
      </c>
      <c r="E120" s="5">
        <v>151263982</v>
      </c>
      <c r="F120" s="5">
        <v>1040902</v>
      </c>
      <c r="G120" s="5">
        <v>3158</v>
      </c>
      <c r="J120" s="4">
        <v>2024</v>
      </c>
      <c r="K120" s="4">
        <v>162</v>
      </c>
      <c r="L120" s="3" t="s">
        <v>46</v>
      </c>
      <c r="M120" s="5">
        <v>116530534</v>
      </c>
      <c r="P120" s="4">
        <v>2018</v>
      </c>
      <c r="Q120" s="4">
        <v>182</v>
      </c>
      <c r="R120" s="3" t="s">
        <v>65</v>
      </c>
      <c r="S120" s="5">
        <v>80790063</v>
      </c>
    </row>
    <row r="121" spans="2:19" x14ac:dyDescent="0.3">
      <c r="B121" s="4">
        <v>2025</v>
      </c>
      <c r="C121" s="4">
        <v>162</v>
      </c>
      <c r="D121" s="3" t="s">
        <v>32</v>
      </c>
      <c r="E121" s="5">
        <v>93183346</v>
      </c>
      <c r="F121" s="5"/>
      <c r="G121" s="5"/>
      <c r="J121" s="4">
        <v>2024</v>
      </c>
      <c r="K121" s="4">
        <v>162</v>
      </c>
      <c r="L121" s="3" t="s">
        <v>47</v>
      </c>
      <c r="M121" s="5">
        <v>282721256</v>
      </c>
      <c r="P121" s="4">
        <v>2019</v>
      </c>
      <c r="Q121" s="4">
        <v>182</v>
      </c>
      <c r="R121" s="3" t="s">
        <v>59</v>
      </c>
      <c r="S121" s="5">
        <v>30546857</v>
      </c>
    </row>
    <row r="122" spans="2:19" x14ac:dyDescent="0.3">
      <c r="B122" s="4">
        <v>2025</v>
      </c>
      <c r="C122" s="4">
        <v>162</v>
      </c>
      <c r="D122" s="3" t="s">
        <v>40</v>
      </c>
      <c r="E122" s="5">
        <v>6843705</v>
      </c>
      <c r="F122" s="5"/>
      <c r="G122" s="5"/>
      <c r="J122" s="4">
        <v>2024</v>
      </c>
      <c r="K122" s="4">
        <v>162</v>
      </c>
      <c r="L122" s="3" t="s">
        <v>48</v>
      </c>
      <c r="M122" s="5">
        <v>54004141</v>
      </c>
      <c r="P122" s="4">
        <v>2019</v>
      </c>
      <c r="Q122" s="4">
        <v>182</v>
      </c>
      <c r="R122" s="3" t="s">
        <v>60</v>
      </c>
      <c r="S122" s="5">
        <v>126679057</v>
      </c>
    </row>
    <row r="123" spans="2:19" x14ac:dyDescent="0.3">
      <c r="B123" s="4">
        <v>2025</v>
      </c>
      <c r="C123" s="4">
        <v>162</v>
      </c>
      <c r="D123" s="3" t="s">
        <v>33</v>
      </c>
      <c r="E123" s="5">
        <v>25686397</v>
      </c>
      <c r="F123" s="5">
        <v>69979</v>
      </c>
      <c r="G123" s="5">
        <v>8414</v>
      </c>
      <c r="J123" s="4">
        <v>2024</v>
      </c>
      <c r="K123" s="4">
        <v>162</v>
      </c>
      <c r="L123" s="3" t="s">
        <v>49</v>
      </c>
      <c r="M123" s="5">
        <v>2169688546</v>
      </c>
      <c r="P123" s="4">
        <v>2019</v>
      </c>
      <c r="Q123" s="4">
        <v>182</v>
      </c>
      <c r="R123" s="3" t="s">
        <v>62</v>
      </c>
      <c r="S123" s="5">
        <v>54542409</v>
      </c>
    </row>
    <row r="124" spans="2:19" x14ac:dyDescent="0.3">
      <c r="B124" s="4">
        <v>2025</v>
      </c>
      <c r="C124" s="4">
        <v>162</v>
      </c>
      <c r="D124" s="3" t="s">
        <v>34</v>
      </c>
      <c r="E124" s="5">
        <v>1944566138</v>
      </c>
      <c r="F124" s="5">
        <v>11434185</v>
      </c>
      <c r="G124" s="5">
        <v>1104338</v>
      </c>
      <c r="J124" s="4">
        <v>2024</v>
      </c>
      <c r="K124" s="4">
        <v>162</v>
      </c>
      <c r="L124" s="3" t="s">
        <v>50</v>
      </c>
      <c r="M124" s="5">
        <v>1445618657</v>
      </c>
      <c r="P124" s="4">
        <v>2019</v>
      </c>
      <c r="Q124" s="4">
        <v>182</v>
      </c>
      <c r="R124" s="3" t="s">
        <v>63</v>
      </c>
      <c r="S124" s="5">
        <v>983483744</v>
      </c>
    </row>
    <row r="125" spans="2:19" x14ac:dyDescent="0.3">
      <c r="B125" s="4">
        <v>2025</v>
      </c>
      <c r="C125" s="4">
        <v>162</v>
      </c>
      <c r="D125" s="3" t="s">
        <v>35</v>
      </c>
      <c r="E125" s="5">
        <v>3842363471</v>
      </c>
      <c r="F125" s="5">
        <v>30694927</v>
      </c>
      <c r="G125" s="5">
        <v>1251452</v>
      </c>
      <c r="J125" s="4">
        <v>2024</v>
      </c>
      <c r="K125" s="4">
        <v>162</v>
      </c>
      <c r="L125" s="3" t="s">
        <v>51</v>
      </c>
      <c r="M125" s="5">
        <v>952429893</v>
      </c>
      <c r="P125" s="4">
        <v>2019</v>
      </c>
      <c r="Q125" s="4">
        <v>182</v>
      </c>
      <c r="R125" s="3" t="s">
        <v>64</v>
      </c>
      <c r="S125" s="5">
        <v>515395521</v>
      </c>
    </row>
    <row r="126" spans="2:19" x14ac:dyDescent="0.3">
      <c r="B126" s="4">
        <v>2025</v>
      </c>
      <c r="C126" s="4">
        <v>162</v>
      </c>
      <c r="D126" s="3" t="s">
        <v>36</v>
      </c>
      <c r="E126" s="5">
        <v>375516235</v>
      </c>
      <c r="F126" s="5">
        <v>9500294</v>
      </c>
      <c r="G126" s="5">
        <v>9</v>
      </c>
      <c r="J126" s="4">
        <v>2024</v>
      </c>
      <c r="K126" s="4">
        <v>162</v>
      </c>
      <c r="L126" s="3" t="s">
        <v>52</v>
      </c>
      <c r="M126" s="5">
        <v>830823</v>
      </c>
      <c r="P126" s="4">
        <v>2019</v>
      </c>
      <c r="Q126" s="4">
        <v>182</v>
      </c>
      <c r="R126" s="3" t="s">
        <v>65</v>
      </c>
      <c r="S126" s="5">
        <v>79246048</v>
      </c>
    </row>
    <row r="127" spans="2:19" x14ac:dyDescent="0.3">
      <c r="B127" s="4">
        <v>2025</v>
      </c>
      <c r="C127" s="4">
        <v>162</v>
      </c>
      <c r="D127" s="3" t="s">
        <v>37</v>
      </c>
      <c r="E127" s="5">
        <v>3849207176</v>
      </c>
      <c r="F127" s="5">
        <v>30694927</v>
      </c>
      <c r="G127" s="5">
        <v>1251452</v>
      </c>
      <c r="J127" s="4">
        <v>2024</v>
      </c>
      <c r="K127" s="4">
        <v>162</v>
      </c>
      <c r="L127" s="3" t="s">
        <v>53</v>
      </c>
      <c r="M127" s="5">
        <v>188603880</v>
      </c>
      <c r="P127" s="4">
        <v>2020</v>
      </c>
      <c r="Q127" s="4">
        <v>182</v>
      </c>
      <c r="R127" s="3" t="s">
        <v>59</v>
      </c>
      <c r="S127" s="5">
        <v>32861811</v>
      </c>
    </row>
    <row r="128" spans="2:19" x14ac:dyDescent="0.3">
      <c r="B128" s="4">
        <v>2025</v>
      </c>
      <c r="C128" s="4">
        <v>162</v>
      </c>
      <c r="D128" s="3" t="s">
        <v>38</v>
      </c>
      <c r="E128" s="5">
        <v>3473690941</v>
      </c>
      <c r="F128" s="5">
        <v>21194633</v>
      </c>
      <c r="G128" s="5">
        <v>1251443</v>
      </c>
      <c r="J128" s="4">
        <v>2025</v>
      </c>
      <c r="K128" s="4">
        <v>162</v>
      </c>
      <c r="L128" s="3" t="s">
        <v>43</v>
      </c>
      <c r="M128" s="5">
        <v>195671737</v>
      </c>
      <c r="P128" s="4">
        <v>2020</v>
      </c>
      <c r="Q128" s="4">
        <v>182</v>
      </c>
      <c r="R128" s="3" t="s">
        <v>60</v>
      </c>
      <c r="S128" s="5">
        <v>142059284</v>
      </c>
    </row>
    <row r="129" spans="2:19" x14ac:dyDescent="0.3">
      <c r="B129" s="4">
        <v>2025</v>
      </c>
      <c r="C129" s="4">
        <v>162</v>
      </c>
      <c r="D129" s="3" t="s">
        <v>39</v>
      </c>
      <c r="E129" s="5">
        <v>1352174424</v>
      </c>
      <c r="F129" s="5">
        <v>8649567</v>
      </c>
      <c r="G129" s="5">
        <v>135533</v>
      </c>
      <c r="J129" s="4">
        <v>2025</v>
      </c>
      <c r="K129" s="4">
        <v>162</v>
      </c>
      <c r="L129" s="3" t="s">
        <v>44</v>
      </c>
      <c r="M129" s="5">
        <v>68451478</v>
      </c>
      <c r="P129" s="4">
        <v>2020</v>
      </c>
      <c r="Q129" s="4">
        <v>182</v>
      </c>
      <c r="R129" s="3" t="s">
        <v>62</v>
      </c>
      <c r="S129" s="5">
        <v>58433891</v>
      </c>
    </row>
    <row r="130" spans="2:19" x14ac:dyDescent="0.3">
      <c r="B130" s="4">
        <v>2014</v>
      </c>
      <c r="C130" s="4">
        <v>182</v>
      </c>
      <c r="D130" s="3" t="s">
        <v>30</v>
      </c>
      <c r="E130" s="5">
        <v>1015103873</v>
      </c>
      <c r="F130" s="5">
        <v>12839533</v>
      </c>
      <c r="G130" s="5">
        <v>367195</v>
      </c>
      <c r="J130" s="4">
        <v>2025</v>
      </c>
      <c r="K130" s="4">
        <v>162</v>
      </c>
      <c r="L130" s="3" t="s">
        <v>45</v>
      </c>
      <c r="M130" s="5">
        <v>265798532</v>
      </c>
      <c r="P130" s="4">
        <v>2020</v>
      </c>
      <c r="Q130" s="4">
        <v>182</v>
      </c>
      <c r="R130" s="3" t="s">
        <v>63</v>
      </c>
      <c r="S130" s="5">
        <v>942731364</v>
      </c>
    </row>
    <row r="131" spans="2:19" x14ac:dyDescent="0.3">
      <c r="B131" s="4">
        <v>2014</v>
      </c>
      <c r="C131" s="4">
        <v>182</v>
      </c>
      <c r="D131" s="3" t="s">
        <v>31</v>
      </c>
      <c r="E131" s="5">
        <v>110774727</v>
      </c>
      <c r="F131" s="5">
        <v>1868012</v>
      </c>
      <c r="G131" s="5">
        <v>1385</v>
      </c>
      <c r="J131" s="4">
        <v>2025</v>
      </c>
      <c r="K131" s="4">
        <v>162</v>
      </c>
      <c r="L131" s="3" t="s">
        <v>46</v>
      </c>
      <c r="M131" s="5">
        <v>136858691</v>
      </c>
      <c r="P131" s="4">
        <v>2020</v>
      </c>
      <c r="Q131" s="4">
        <v>182</v>
      </c>
      <c r="R131" s="3" t="s">
        <v>64</v>
      </c>
      <c r="S131" s="5">
        <v>479296895</v>
      </c>
    </row>
    <row r="132" spans="2:19" x14ac:dyDescent="0.3">
      <c r="B132" s="4">
        <v>2014</v>
      </c>
      <c r="C132" s="4">
        <v>182</v>
      </c>
      <c r="D132" s="3" t="s">
        <v>32</v>
      </c>
      <c r="E132" s="5">
        <v>113425368</v>
      </c>
      <c r="F132" s="5"/>
      <c r="G132" s="5"/>
      <c r="J132" s="4">
        <v>2025</v>
      </c>
      <c r="K132" s="4">
        <v>162</v>
      </c>
      <c r="L132" s="3" t="s">
        <v>47</v>
      </c>
      <c r="M132" s="5">
        <v>275829197</v>
      </c>
      <c r="P132" s="4">
        <v>2020</v>
      </c>
      <c r="Q132" s="4">
        <v>182</v>
      </c>
      <c r="R132" s="3" t="s">
        <v>65</v>
      </c>
      <c r="S132" s="5">
        <v>86303016</v>
      </c>
    </row>
    <row r="133" spans="2:19" x14ac:dyDescent="0.3">
      <c r="B133" s="4">
        <v>2014</v>
      </c>
      <c r="C133" s="4">
        <v>182</v>
      </c>
      <c r="D133" s="3" t="s">
        <v>40</v>
      </c>
      <c r="E133" s="5">
        <v>7503194</v>
      </c>
      <c r="F133" s="5"/>
      <c r="G133" s="5"/>
      <c r="J133" s="4">
        <v>2025</v>
      </c>
      <c r="K133" s="4">
        <v>162</v>
      </c>
      <c r="L133" s="3" t="s">
        <v>48</v>
      </c>
      <c r="M133" s="5">
        <v>56862104</v>
      </c>
      <c r="P133" s="4">
        <v>2021</v>
      </c>
      <c r="Q133" s="4">
        <v>182</v>
      </c>
      <c r="R133" s="3" t="s">
        <v>59</v>
      </c>
      <c r="S133" s="5">
        <v>39430494</v>
      </c>
    </row>
    <row r="134" spans="2:19" x14ac:dyDescent="0.3">
      <c r="B134" s="4">
        <v>2014</v>
      </c>
      <c r="C134" s="4">
        <v>182</v>
      </c>
      <c r="D134" s="3" t="s">
        <v>33</v>
      </c>
      <c r="E134" s="5">
        <v>7549449</v>
      </c>
      <c r="F134" s="5">
        <v>25116</v>
      </c>
      <c r="G134" s="5">
        <v>531</v>
      </c>
      <c r="J134" s="4">
        <v>2025</v>
      </c>
      <c r="K134" s="4">
        <v>162</v>
      </c>
      <c r="L134" s="3" t="s">
        <v>49</v>
      </c>
      <c r="M134" s="5">
        <v>2581537393</v>
      </c>
      <c r="P134" s="4">
        <v>2021</v>
      </c>
      <c r="Q134" s="4">
        <v>182</v>
      </c>
      <c r="R134" s="3" t="s">
        <v>60</v>
      </c>
      <c r="S134" s="5">
        <v>136516432</v>
      </c>
    </row>
    <row r="135" spans="2:19" x14ac:dyDescent="0.3">
      <c r="B135" s="4">
        <v>2014</v>
      </c>
      <c r="C135" s="4">
        <v>182</v>
      </c>
      <c r="D135" s="3" t="s">
        <v>34</v>
      </c>
      <c r="E135" s="5">
        <v>338697524</v>
      </c>
      <c r="F135" s="5">
        <v>3693787</v>
      </c>
      <c r="G135" s="5">
        <v>324188</v>
      </c>
      <c r="J135" s="4">
        <v>2025</v>
      </c>
      <c r="K135" s="4">
        <v>162</v>
      </c>
      <c r="L135" s="3" t="s">
        <v>50</v>
      </c>
      <c r="M135" s="5">
        <v>1686866353</v>
      </c>
      <c r="P135" s="4">
        <v>2021</v>
      </c>
      <c r="Q135" s="4">
        <v>182</v>
      </c>
      <c r="R135" s="3" t="s">
        <v>61</v>
      </c>
      <c r="S135" s="5">
        <v>0</v>
      </c>
    </row>
    <row r="136" spans="2:19" x14ac:dyDescent="0.3">
      <c r="B136" s="4">
        <v>2014</v>
      </c>
      <c r="C136" s="4">
        <v>182</v>
      </c>
      <c r="D136" s="3" t="s">
        <v>35</v>
      </c>
      <c r="E136" s="5">
        <v>901678505</v>
      </c>
      <c r="F136" s="5">
        <v>12839533</v>
      </c>
      <c r="G136" s="5">
        <v>367195</v>
      </c>
      <c r="J136" s="4">
        <v>2025</v>
      </c>
      <c r="K136" s="4">
        <v>162</v>
      </c>
      <c r="L136" s="3" t="s">
        <v>51</v>
      </c>
      <c r="M136" s="5">
        <v>1208281072</v>
      </c>
      <c r="P136" s="4">
        <v>2021</v>
      </c>
      <c r="Q136" s="4">
        <v>182</v>
      </c>
      <c r="R136" s="3" t="s">
        <v>62</v>
      </c>
      <c r="S136" s="5">
        <v>64169603</v>
      </c>
    </row>
    <row r="137" spans="2:19" x14ac:dyDescent="0.3">
      <c r="B137" s="4">
        <v>2014</v>
      </c>
      <c r="C137" s="4">
        <v>182</v>
      </c>
      <c r="D137" s="3" t="s">
        <v>36</v>
      </c>
      <c r="E137" s="5">
        <v>150887383</v>
      </c>
      <c r="F137" s="5">
        <v>4050611</v>
      </c>
      <c r="G137" s="5"/>
      <c r="J137" s="4">
        <v>2025</v>
      </c>
      <c r="K137" s="4">
        <v>162</v>
      </c>
      <c r="L137" s="3" t="s">
        <v>52</v>
      </c>
      <c r="M137" s="5">
        <v>1188192</v>
      </c>
      <c r="P137" s="4">
        <v>2021</v>
      </c>
      <c r="Q137" s="4">
        <v>182</v>
      </c>
      <c r="R137" s="3" t="s">
        <v>63</v>
      </c>
      <c r="S137" s="5">
        <v>1022015983</v>
      </c>
    </row>
    <row r="138" spans="2:19" x14ac:dyDescent="0.3">
      <c r="B138" s="4">
        <v>2014</v>
      </c>
      <c r="C138" s="4">
        <v>182</v>
      </c>
      <c r="D138" s="3" t="s">
        <v>37</v>
      </c>
      <c r="E138" s="5">
        <v>909181699</v>
      </c>
      <c r="F138" s="5">
        <v>12839533</v>
      </c>
      <c r="G138" s="5">
        <v>367195</v>
      </c>
      <c r="J138" s="4">
        <v>2025</v>
      </c>
      <c r="K138" s="4">
        <v>162</v>
      </c>
      <c r="L138" s="3" t="s">
        <v>53</v>
      </c>
      <c r="M138" s="5">
        <v>226702410</v>
      </c>
      <c r="P138" s="4">
        <v>2021</v>
      </c>
      <c r="Q138" s="4">
        <v>182</v>
      </c>
      <c r="R138" s="3" t="s">
        <v>64</v>
      </c>
      <c r="S138" s="5">
        <v>557603571</v>
      </c>
    </row>
    <row r="139" spans="2:19" x14ac:dyDescent="0.3">
      <c r="B139" s="4">
        <v>2014</v>
      </c>
      <c r="C139" s="4">
        <v>182</v>
      </c>
      <c r="D139" s="3" t="s">
        <v>38</v>
      </c>
      <c r="E139" s="5">
        <v>758294316</v>
      </c>
      <c r="F139" s="5">
        <v>8788922</v>
      </c>
      <c r="G139" s="5">
        <v>367195</v>
      </c>
      <c r="J139" s="4">
        <v>2014</v>
      </c>
      <c r="K139" s="4">
        <v>182</v>
      </c>
      <c r="L139" s="3" t="s">
        <v>43</v>
      </c>
      <c r="M139" s="5">
        <v>67942567</v>
      </c>
      <c r="P139" s="4">
        <v>2021</v>
      </c>
      <c r="Q139" s="4">
        <v>182</v>
      </c>
      <c r="R139" s="3" t="s">
        <v>65</v>
      </c>
      <c r="S139" s="5">
        <v>87398430</v>
      </c>
    </row>
    <row r="140" spans="2:19" x14ac:dyDescent="0.3">
      <c r="B140" s="4">
        <v>2014</v>
      </c>
      <c r="C140" s="4">
        <v>182</v>
      </c>
      <c r="D140" s="3" t="s">
        <v>39</v>
      </c>
      <c r="E140" s="5">
        <v>300108664</v>
      </c>
      <c r="F140" s="5">
        <v>3189422</v>
      </c>
      <c r="G140" s="5">
        <v>40988</v>
      </c>
      <c r="J140" s="4">
        <v>2014</v>
      </c>
      <c r="K140" s="4">
        <v>182</v>
      </c>
      <c r="L140" s="3" t="s">
        <v>44</v>
      </c>
      <c r="M140" s="5">
        <v>14539715</v>
      </c>
      <c r="P140" s="4">
        <v>2022</v>
      </c>
      <c r="Q140" s="4">
        <v>182</v>
      </c>
      <c r="R140" s="3" t="s">
        <v>59</v>
      </c>
      <c r="S140" s="5">
        <v>42661543</v>
      </c>
    </row>
    <row r="141" spans="2:19" x14ac:dyDescent="0.3">
      <c r="B141" s="4">
        <v>2015</v>
      </c>
      <c r="C141" s="4">
        <v>182</v>
      </c>
      <c r="D141" s="3" t="s">
        <v>30</v>
      </c>
      <c r="E141" s="5">
        <v>1006140061</v>
      </c>
      <c r="F141" s="5">
        <v>11942035</v>
      </c>
      <c r="G141" s="5">
        <v>373614</v>
      </c>
      <c r="J141" s="4">
        <v>2014</v>
      </c>
      <c r="K141" s="4">
        <v>182</v>
      </c>
      <c r="L141" s="3" t="s">
        <v>45</v>
      </c>
      <c r="M141" s="5">
        <v>26943308</v>
      </c>
      <c r="P141" s="4">
        <v>2022</v>
      </c>
      <c r="Q141" s="4">
        <v>182</v>
      </c>
      <c r="R141" s="3" t="s">
        <v>60</v>
      </c>
      <c r="S141" s="5">
        <v>142463452</v>
      </c>
    </row>
    <row r="142" spans="2:19" x14ac:dyDescent="0.3">
      <c r="B142" s="4">
        <v>2015</v>
      </c>
      <c r="C142" s="4">
        <v>182</v>
      </c>
      <c r="D142" s="3" t="s">
        <v>31</v>
      </c>
      <c r="E142" s="5">
        <v>111769969</v>
      </c>
      <c r="F142" s="5">
        <v>1811996</v>
      </c>
      <c r="G142" s="5">
        <v>1364</v>
      </c>
      <c r="J142" s="4">
        <v>2014</v>
      </c>
      <c r="K142" s="4">
        <v>182</v>
      </c>
      <c r="L142" s="3" t="s">
        <v>46</v>
      </c>
      <c r="M142" s="5">
        <v>32653367</v>
      </c>
      <c r="P142" s="4">
        <v>2022</v>
      </c>
      <c r="Q142" s="4">
        <v>182</v>
      </c>
      <c r="R142" s="3" t="s">
        <v>61</v>
      </c>
      <c r="S142" s="5">
        <v>0</v>
      </c>
    </row>
    <row r="143" spans="2:19" x14ac:dyDescent="0.3">
      <c r="B143" s="4">
        <v>2015</v>
      </c>
      <c r="C143" s="4">
        <v>182</v>
      </c>
      <c r="D143" s="3" t="s">
        <v>32</v>
      </c>
      <c r="E143" s="5">
        <v>114445233</v>
      </c>
      <c r="F143" s="5"/>
      <c r="G143" s="5"/>
      <c r="J143" s="4">
        <v>2014</v>
      </c>
      <c r="K143" s="4">
        <v>182</v>
      </c>
      <c r="L143" s="3" t="s">
        <v>47</v>
      </c>
      <c r="M143" s="5">
        <v>89150873</v>
      </c>
      <c r="P143" s="4">
        <v>2022</v>
      </c>
      <c r="Q143" s="4">
        <v>182</v>
      </c>
      <c r="R143" s="3" t="s">
        <v>62</v>
      </c>
      <c r="S143" s="5">
        <v>73669737</v>
      </c>
    </row>
    <row r="144" spans="2:19" x14ac:dyDescent="0.3">
      <c r="B144" s="4">
        <v>2015</v>
      </c>
      <c r="C144" s="4">
        <v>182</v>
      </c>
      <c r="D144" s="3" t="s">
        <v>40</v>
      </c>
      <c r="E144" s="5">
        <v>5620861</v>
      </c>
      <c r="F144" s="5"/>
      <c r="G144" s="5"/>
      <c r="J144" s="4">
        <v>2014</v>
      </c>
      <c r="K144" s="4">
        <v>182</v>
      </c>
      <c r="L144" s="3" t="s">
        <v>48</v>
      </c>
      <c r="M144" s="5">
        <v>29005009</v>
      </c>
      <c r="P144" s="4">
        <v>2022</v>
      </c>
      <c r="Q144" s="4">
        <v>182</v>
      </c>
      <c r="R144" s="3" t="s">
        <v>63</v>
      </c>
      <c r="S144" s="5">
        <v>1167462735</v>
      </c>
    </row>
    <row r="145" spans="2:19" x14ac:dyDescent="0.3">
      <c r="B145" s="4">
        <v>2015</v>
      </c>
      <c r="C145" s="4">
        <v>182</v>
      </c>
      <c r="D145" s="3" t="s">
        <v>33</v>
      </c>
      <c r="E145" s="5">
        <v>7276497</v>
      </c>
      <c r="F145" s="5">
        <v>23304</v>
      </c>
      <c r="G145" s="5">
        <v>551</v>
      </c>
      <c r="J145" s="4">
        <v>2014</v>
      </c>
      <c r="K145" s="4">
        <v>182</v>
      </c>
      <c r="L145" s="3" t="s">
        <v>49</v>
      </c>
      <c r="M145" s="5">
        <v>635399996</v>
      </c>
      <c r="P145" s="4">
        <v>2022</v>
      </c>
      <c r="Q145" s="4">
        <v>182</v>
      </c>
      <c r="R145" s="3" t="s">
        <v>64</v>
      </c>
      <c r="S145" s="5">
        <v>702986085</v>
      </c>
    </row>
    <row r="146" spans="2:19" x14ac:dyDescent="0.3">
      <c r="B146" s="4">
        <v>2015</v>
      </c>
      <c r="C146" s="4">
        <v>182</v>
      </c>
      <c r="D146" s="3" t="s">
        <v>34</v>
      </c>
      <c r="E146" s="5">
        <v>335551962</v>
      </c>
      <c r="F146" s="5">
        <v>3571426</v>
      </c>
      <c r="G146" s="5">
        <v>329874</v>
      </c>
      <c r="J146" s="4">
        <v>2014</v>
      </c>
      <c r="K146" s="4">
        <v>182</v>
      </c>
      <c r="L146" s="3" t="s">
        <v>50</v>
      </c>
      <c r="M146" s="5">
        <v>462157108</v>
      </c>
      <c r="P146" s="4">
        <v>2022</v>
      </c>
      <c r="Q146" s="4">
        <v>182</v>
      </c>
      <c r="R146" s="3" t="s">
        <v>65</v>
      </c>
      <c r="S146" s="5">
        <v>86410192</v>
      </c>
    </row>
    <row r="147" spans="2:19" x14ac:dyDescent="0.3">
      <c r="B147" s="4">
        <v>2015</v>
      </c>
      <c r="C147" s="4">
        <v>182</v>
      </c>
      <c r="D147" s="3" t="s">
        <v>35</v>
      </c>
      <c r="E147" s="5">
        <v>891694828</v>
      </c>
      <c r="F147" s="5">
        <v>11942035</v>
      </c>
      <c r="G147" s="5">
        <v>373614</v>
      </c>
      <c r="J147" s="4">
        <v>2014</v>
      </c>
      <c r="K147" s="4">
        <v>182</v>
      </c>
      <c r="L147" s="3" t="s">
        <v>51</v>
      </c>
      <c r="M147" s="5">
        <v>197691167</v>
      </c>
      <c r="P147" s="4">
        <v>2023</v>
      </c>
      <c r="Q147" s="4">
        <v>182</v>
      </c>
      <c r="R147" s="3" t="s">
        <v>59</v>
      </c>
      <c r="S147" s="5">
        <v>46738641</v>
      </c>
    </row>
    <row r="148" spans="2:19" x14ac:dyDescent="0.3">
      <c r="B148" s="4">
        <v>2015</v>
      </c>
      <c r="C148" s="4">
        <v>182</v>
      </c>
      <c r="D148" s="3" t="s">
        <v>36</v>
      </c>
      <c r="E148" s="5">
        <v>133316869</v>
      </c>
      <c r="F148" s="5">
        <v>3326381</v>
      </c>
      <c r="G148" s="5"/>
      <c r="J148" s="4">
        <v>2014</v>
      </c>
      <c r="K148" s="4">
        <v>182</v>
      </c>
      <c r="L148" s="3" t="s">
        <v>53</v>
      </c>
      <c r="M148" s="5">
        <v>31163931</v>
      </c>
      <c r="P148" s="4">
        <v>2023</v>
      </c>
      <c r="Q148" s="4">
        <v>182</v>
      </c>
      <c r="R148" s="3" t="s">
        <v>60</v>
      </c>
      <c r="S148" s="5">
        <v>149272689</v>
      </c>
    </row>
    <row r="149" spans="2:19" x14ac:dyDescent="0.3">
      <c r="B149" s="4">
        <v>2015</v>
      </c>
      <c r="C149" s="4">
        <v>182</v>
      </c>
      <c r="D149" s="3" t="s">
        <v>37</v>
      </c>
      <c r="E149" s="5">
        <v>897315689</v>
      </c>
      <c r="F149" s="5">
        <v>11942035</v>
      </c>
      <c r="G149" s="5">
        <v>373614</v>
      </c>
      <c r="J149" s="4">
        <v>2015</v>
      </c>
      <c r="K149" s="4">
        <v>182</v>
      </c>
      <c r="L149" s="3" t="s">
        <v>43</v>
      </c>
      <c r="M149" s="5">
        <v>73623081</v>
      </c>
      <c r="P149" s="4">
        <v>2023</v>
      </c>
      <c r="Q149" s="4">
        <v>182</v>
      </c>
      <c r="R149" s="3" t="s">
        <v>61</v>
      </c>
      <c r="S149" s="5">
        <v>0</v>
      </c>
    </row>
    <row r="150" spans="2:19" x14ac:dyDescent="0.3">
      <c r="B150" s="4">
        <v>2015</v>
      </c>
      <c r="C150" s="4">
        <v>182</v>
      </c>
      <c r="D150" s="3" t="s">
        <v>38</v>
      </c>
      <c r="E150" s="5">
        <v>763998820</v>
      </c>
      <c r="F150" s="5">
        <v>8615654</v>
      </c>
      <c r="G150" s="5">
        <v>373614</v>
      </c>
      <c r="J150" s="4">
        <v>2015</v>
      </c>
      <c r="K150" s="4">
        <v>182</v>
      </c>
      <c r="L150" s="3" t="s">
        <v>44</v>
      </c>
      <c r="M150" s="5">
        <v>15539307</v>
      </c>
      <c r="P150" s="4">
        <v>2023</v>
      </c>
      <c r="Q150" s="4">
        <v>182</v>
      </c>
      <c r="R150" s="3" t="s">
        <v>62</v>
      </c>
      <c r="S150" s="5">
        <v>71447477</v>
      </c>
    </row>
    <row r="151" spans="2:19" x14ac:dyDescent="0.3">
      <c r="B151" s="4">
        <v>2015</v>
      </c>
      <c r="C151" s="4">
        <v>182</v>
      </c>
      <c r="D151" s="3" t="s">
        <v>39</v>
      </c>
      <c r="E151" s="5">
        <v>308210379</v>
      </c>
      <c r="F151" s="5">
        <v>3196583</v>
      </c>
      <c r="G151" s="5">
        <v>41710</v>
      </c>
      <c r="J151" s="4">
        <v>2015</v>
      </c>
      <c r="K151" s="4">
        <v>182</v>
      </c>
      <c r="L151" s="3" t="s">
        <v>45</v>
      </c>
      <c r="M151" s="5">
        <v>25612197</v>
      </c>
      <c r="P151" s="4">
        <v>2023</v>
      </c>
      <c r="Q151" s="4">
        <v>182</v>
      </c>
      <c r="R151" s="3" t="s">
        <v>63</v>
      </c>
      <c r="S151" s="5">
        <v>1193674365</v>
      </c>
    </row>
    <row r="152" spans="2:19" x14ac:dyDescent="0.3">
      <c r="B152" s="4">
        <v>2016</v>
      </c>
      <c r="C152" s="4">
        <v>182</v>
      </c>
      <c r="D152" s="3" t="s">
        <v>30</v>
      </c>
      <c r="E152" s="5">
        <v>1004897624</v>
      </c>
      <c r="F152" s="5">
        <v>11733626</v>
      </c>
      <c r="G152" s="5">
        <v>374507</v>
      </c>
      <c r="J152" s="4">
        <v>2015</v>
      </c>
      <c r="K152" s="4">
        <v>182</v>
      </c>
      <c r="L152" s="3" t="s">
        <v>46</v>
      </c>
      <c r="M152" s="5">
        <v>35899851</v>
      </c>
      <c r="P152" s="4">
        <v>2023</v>
      </c>
      <c r="Q152" s="4">
        <v>182</v>
      </c>
      <c r="R152" s="3" t="s">
        <v>64</v>
      </c>
      <c r="S152" s="5">
        <v>674026748</v>
      </c>
    </row>
    <row r="153" spans="2:19" x14ac:dyDescent="0.3">
      <c r="B153" s="4">
        <v>2016</v>
      </c>
      <c r="C153" s="4">
        <v>182</v>
      </c>
      <c r="D153" s="3" t="s">
        <v>31</v>
      </c>
      <c r="E153" s="5">
        <v>107296247</v>
      </c>
      <c r="F153" s="5">
        <v>1763248</v>
      </c>
      <c r="G153" s="5">
        <v>1342</v>
      </c>
      <c r="J153" s="4">
        <v>2015</v>
      </c>
      <c r="K153" s="4">
        <v>182</v>
      </c>
      <c r="L153" s="3" t="s">
        <v>47</v>
      </c>
      <c r="M153" s="5">
        <v>91777298</v>
      </c>
      <c r="P153" s="4">
        <v>2023</v>
      </c>
      <c r="Q153" s="4">
        <v>182</v>
      </c>
      <c r="R153" s="3" t="s">
        <v>65</v>
      </c>
      <c r="S153" s="5">
        <v>79882775</v>
      </c>
    </row>
    <row r="154" spans="2:19" x14ac:dyDescent="0.3">
      <c r="B154" s="4">
        <v>2016</v>
      </c>
      <c r="C154" s="4">
        <v>182</v>
      </c>
      <c r="D154" s="3" t="s">
        <v>32</v>
      </c>
      <c r="E154" s="5">
        <v>124174781</v>
      </c>
      <c r="F154" s="5"/>
      <c r="G154" s="5"/>
      <c r="J154" s="4">
        <v>2015</v>
      </c>
      <c r="K154" s="4">
        <v>182</v>
      </c>
      <c r="L154" s="3" t="s">
        <v>48</v>
      </c>
      <c r="M154" s="5">
        <v>30794427</v>
      </c>
      <c r="P154" s="4">
        <v>2024</v>
      </c>
      <c r="Q154" s="4">
        <v>182</v>
      </c>
      <c r="R154" s="3" t="s">
        <v>59</v>
      </c>
      <c r="S154" s="5">
        <v>49179154</v>
      </c>
    </row>
    <row r="155" spans="2:19" x14ac:dyDescent="0.3">
      <c r="B155" s="4">
        <v>2016</v>
      </c>
      <c r="C155" s="4">
        <v>182</v>
      </c>
      <c r="D155" s="3" t="s">
        <v>40</v>
      </c>
      <c r="E155" s="5">
        <v>-931768</v>
      </c>
      <c r="F155" s="5"/>
      <c r="G155" s="5"/>
      <c r="J155" s="4">
        <v>2015</v>
      </c>
      <c r="K155" s="4">
        <v>182</v>
      </c>
      <c r="L155" s="3" t="s">
        <v>49</v>
      </c>
      <c r="M155" s="5">
        <v>617386545</v>
      </c>
      <c r="P155" s="4">
        <v>2024</v>
      </c>
      <c r="Q155" s="4">
        <v>182</v>
      </c>
      <c r="R155" s="3" t="s">
        <v>60</v>
      </c>
      <c r="S155" s="5">
        <v>153386157</v>
      </c>
    </row>
    <row r="156" spans="2:19" x14ac:dyDescent="0.3">
      <c r="B156" s="4">
        <v>2016</v>
      </c>
      <c r="C156" s="4">
        <v>182</v>
      </c>
      <c r="D156" s="3" t="s">
        <v>33</v>
      </c>
      <c r="E156" s="5">
        <v>7662138</v>
      </c>
      <c r="F156" s="5">
        <v>23317</v>
      </c>
      <c r="G156" s="5">
        <v>558</v>
      </c>
      <c r="J156" s="4">
        <v>2015</v>
      </c>
      <c r="K156" s="4">
        <v>182</v>
      </c>
      <c r="L156" s="3" t="s">
        <v>50</v>
      </c>
      <c r="M156" s="5">
        <v>437170041</v>
      </c>
      <c r="P156" s="4">
        <v>2024</v>
      </c>
      <c r="Q156" s="4">
        <v>182</v>
      </c>
      <c r="R156" s="3" t="s">
        <v>61</v>
      </c>
      <c r="S156" s="5">
        <v>0</v>
      </c>
    </row>
    <row r="157" spans="2:19" x14ac:dyDescent="0.3">
      <c r="B157" s="4">
        <v>2016</v>
      </c>
      <c r="C157" s="4">
        <v>182</v>
      </c>
      <c r="D157" s="3" t="s">
        <v>34</v>
      </c>
      <c r="E157" s="5">
        <v>339210392</v>
      </c>
      <c r="F157" s="5">
        <v>3527707</v>
      </c>
      <c r="G157" s="5">
        <v>330699</v>
      </c>
      <c r="J157" s="4">
        <v>2015</v>
      </c>
      <c r="K157" s="4">
        <v>182</v>
      </c>
      <c r="L157" s="3" t="s">
        <v>51</v>
      </c>
      <c r="M157" s="5">
        <v>172688007</v>
      </c>
      <c r="P157" s="4">
        <v>2024</v>
      </c>
      <c r="Q157" s="4">
        <v>182</v>
      </c>
      <c r="R157" s="3" t="s">
        <v>62</v>
      </c>
      <c r="S157" s="5">
        <v>71891225</v>
      </c>
    </row>
    <row r="158" spans="2:19" x14ac:dyDescent="0.3">
      <c r="B158" s="4">
        <v>2016</v>
      </c>
      <c r="C158" s="4">
        <v>182</v>
      </c>
      <c r="D158" s="3" t="s">
        <v>35</v>
      </c>
      <c r="E158" s="5">
        <v>880722843</v>
      </c>
      <c r="F158" s="5">
        <v>11733626</v>
      </c>
      <c r="G158" s="5">
        <v>374507</v>
      </c>
      <c r="J158" s="4">
        <v>2015</v>
      </c>
      <c r="K158" s="4">
        <v>182</v>
      </c>
      <c r="L158" s="3" t="s">
        <v>53</v>
      </c>
      <c r="M158" s="5">
        <v>29542068</v>
      </c>
      <c r="P158" s="4">
        <v>2024</v>
      </c>
      <c r="Q158" s="4">
        <v>182</v>
      </c>
      <c r="R158" s="3" t="s">
        <v>63</v>
      </c>
      <c r="S158" s="5">
        <v>1326892156</v>
      </c>
    </row>
    <row r="159" spans="2:19" x14ac:dyDescent="0.3">
      <c r="B159" s="4">
        <v>2016</v>
      </c>
      <c r="C159" s="4">
        <v>182</v>
      </c>
      <c r="D159" s="3" t="s">
        <v>36</v>
      </c>
      <c r="E159" s="5">
        <v>118815965</v>
      </c>
      <c r="F159" s="5">
        <v>3224296</v>
      </c>
      <c r="G159" s="5"/>
      <c r="J159" s="4">
        <v>2016</v>
      </c>
      <c r="K159" s="4">
        <v>182</v>
      </c>
      <c r="L159" s="3" t="s">
        <v>43</v>
      </c>
      <c r="M159" s="5">
        <v>73986498</v>
      </c>
      <c r="P159" s="4">
        <v>2024</v>
      </c>
      <c r="Q159" s="4">
        <v>182</v>
      </c>
      <c r="R159" s="3" t="s">
        <v>64</v>
      </c>
      <c r="S159" s="5">
        <v>753625794</v>
      </c>
    </row>
    <row r="160" spans="2:19" x14ac:dyDescent="0.3">
      <c r="B160" s="4">
        <v>2016</v>
      </c>
      <c r="C160" s="4">
        <v>182</v>
      </c>
      <c r="D160" s="3" t="s">
        <v>37</v>
      </c>
      <c r="E160" s="5">
        <v>879791075</v>
      </c>
      <c r="F160" s="5">
        <v>11733626</v>
      </c>
      <c r="G160" s="5">
        <v>374507</v>
      </c>
      <c r="J160" s="4">
        <v>2016</v>
      </c>
      <c r="K160" s="4">
        <v>182</v>
      </c>
      <c r="L160" s="3" t="s">
        <v>44</v>
      </c>
      <c r="M160" s="5">
        <v>16702494</v>
      </c>
      <c r="P160" s="4">
        <v>2024</v>
      </c>
      <c r="Q160" s="4">
        <v>182</v>
      </c>
      <c r="R160" s="3" t="s">
        <v>65</v>
      </c>
      <c r="S160" s="5">
        <v>83037800</v>
      </c>
    </row>
    <row r="161" spans="2:19" x14ac:dyDescent="0.3">
      <c r="B161" s="4">
        <v>2016</v>
      </c>
      <c r="C161" s="4">
        <v>182</v>
      </c>
      <c r="D161" s="3" t="s">
        <v>38</v>
      </c>
      <c r="E161" s="5">
        <v>760975110</v>
      </c>
      <c r="F161" s="5">
        <v>8509330</v>
      </c>
      <c r="G161" s="5">
        <v>374507</v>
      </c>
      <c r="J161" s="4">
        <v>2016</v>
      </c>
      <c r="K161" s="4">
        <v>182</v>
      </c>
      <c r="L161" s="3" t="s">
        <v>45</v>
      </c>
      <c r="M161" s="5">
        <v>24905209</v>
      </c>
      <c r="P161" s="4">
        <v>2025</v>
      </c>
      <c r="Q161" s="4">
        <v>182</v>
      </c>
      <c r="R161" s="3" t="s">
        <v>59</v>
      </c>
      <c r="S161" s="5">
        <v>38834451</v>
      </c>
    </row>
    <row r="162" spans="2:19" x14ac:dyDescent="0.3">
      <c r="B162" s="4">
        <v>2016</v>
      </c>
      <c r="C162" s="4">
        <v>182</v>
      </c>
      <c r="D162" s="3" t="s">
        <v>39</v>
      </c>
      <c r="E162" s="5">
        <v>305612410</v>
      </c>
      <c r="F162" s="5">
        <v>3182594</v>
      </c>
      <c r="G162" s="5">
        <v>41785</v>
      </c>
      <c r="J162" s="4">
        <v>2016</v>
      </c>
      <c r="K162" s="4">
        <v>182</v>
      </c>
      <c r="L162" s="3" t="s">
        <v>46</v>
      </c>
      <c r="M162" s="5">
        <v>32192695</v>
      </c>
      <c r="P162" s="4">
        <v>2025</v>
      </c>
      <c r="Q162" s="4">
        <v>182</v>
      </c>
      <c r="R162" s="3" t="s">
        <v>60</v>
      </c>
      <c r="S162" s="5">
        <v>180385878</v>
      </c>
    </row>
    <row r="163" spans="2:19" x14ac:dyDescent="0.3">
      <c r="B163" s="4">
        <v>2017</v>
      </c>
      <c r="C163" s="4">
        <v>182</v>
      </c>
      <c r="D163" s="3" t="s">
        <v>30</v>
      </c>
      <c r="E163" s="5">
        <v>989932258</v>
      </c>
      <c r="F163" s="5">
        <v>11980805</v>
      </c>
      <c r="G163" s="5">
        <v>379027</v>
      </c>
      <c r="J163" s="4">
        <v>2016</v>
      </c>
      <c r="K163" s="4">
        <v>182</v>
      </c>
      <c r="L163" s="3" t="s">
        <v>47</v>
      </c>
      <c r="M163" s="5">
        <v>77198987</v>
      </c>
      <c r="P163" s="4">
        <v>2025</v>
      </c>
      <c r="Q163" s="4">
        <v>182</v>
      </c>
      <c r="R163" s="3" t="s">
        <v>61</v>
      </c>
      <c r="S163" s="5">
        <v>0</v>
      </c>
    </row>
    <row r="164" spans="2:19" x14ac:dyDescent="0.3">
      <c r="B164" s="4">
        <v>2017</v>
      </c>
      <c r="C164" s="4">
        <v>182</v>
      </c>
      <c r="D164" s="3" t="s">
        <v>31</v>
      </c>
      <c r="E164" s="5">
        <v>110982373</v>
      </c>
      <c r="F164" s="5">
        <v>1814733</v>
      </c>
      <c r="G164" s="5">
        <v>1328</v>
      </c>
      <c r="J164" s="4">
        <v>2016</v>
      </c>
      <c r="K164" s="4">
        <v>182</v>
      </c>
      <c r="L164" s="3" t="s">
        <v>48</v>
      </c>
      <c r="M164" s="5">
        <v>30542478</v>
      </c>
      <c r="P164" s="4">
        <v>2025</v>
      </c>
      <c r="Q164" s="4">
        <v>182</v>
      </c>
      <c r="R164" s="3" t="s">
        <v>62</v>
      </c>
      <c r="S164" s="5">
        <v>89562795</v>
      </c>
    </row>
    <row r="165" spans="2:19" x14ac:dyDescent="0.3">
      <c r="B165" s="4">
        <v>2017</v>
      </c>
      <c r="C165" s="4">
        <v>182</v>
      </c>
      <c r="D165" s="3" t="s">
        <v>32</v>
      </c>
      <c r="E165" s="5">
        <v>89316097</v>
      </c>
      <c r="F165" s="5"/>
      <c r="G165" s="5"/>
      <c r="J165" s="4">
        <v>2016</v>
      </c>
      <c r="K165" s="4">
        <v>182</v>
      </c>
      <c r="L165" s="3" t="s">
        <v>49</v>
      </c>
      <c r="M165" s="5">
        <v>576763105</v>
      </c>
      <c r="P165" s="4">
        <v>2025</v>
      </c>
      <c r="Q165" s="4">
        <v>182</v>
      </c>
      <c r="R165" s="3" t="s">
        <v>63</v>
      </c>
      <c r="S165" s="5">
        <v>1371922864</v>
      </c>
    </row>
    <row r="166" spans="2:19" x14ac:dyDescent="0.3">
      <c r="B166" s="4">
        <v>2017</v>
      </c>
      <c r="C166" s="4">
        <v>182</v>
      </c>
      <c r="D166" s="3" t="s">
        <v>40</v>
      </c>
      <c r="E166" s="5">
        <v>1181583</v>
      </c>
      <c r="F166" s="5"/>
      <c r="G166" s="5"/>
      <c r="J166" s="4">
        <v>2016</v>
      </c>
      <c r="K166" s="4">
        <v>182</v>
      </c>
      <c r="L166" s="3" t="s">
        <v>50</v>
      </c>
      <c r="M166" s="5">
        <v>397886331</v>
      </c>
      <c r="P166" s="4">
        <v>2025</v>
      </c>
      <c r="Q166" s="4">
        <v>182</v>
      </c>
      <c r="R166" s="3" t="s">
        <v>64</v>
      </c>
      <c r="S166" s="5">
        <v>706894300</v>
      </c>
    </row>
    <row r="167" spans="2:19" x14ac:dyDescent="0.3">
      <c r="B167" s="4">
        <v>2017</v>
      </c>
      <c r="C167" s="4">
        <v>182</v>
      </c>
      <c r="D167" s="3" t="s">
        <v>33</v>
      </c>
      <c r="E167" s="5">
        <v>7483805</v>
      </c>
      <c r="F167" s="5">
        <v>20054</v>
      </c>
      <c r="G167" s="5">
        <v>569</v>
      </c>
      <c r="J167" s="4">
        <v>2016</v>
      </c>
      <c r="K167" s="4">
        <v>182</v>
      </c>
      <c r="L167" s="3" t="s">
        <v>51</v>
      </c>
      <c r="M167" s="5">
        <v>147226728</v>
      </c>
      <c r="P167" s="4">
        <v>2025</v>
      </c>
      <c r="Q167" s="4">
        <v>182</v>
      </c>
      <c r="R167" s="3" t="s">
        <v>65</v>
      </c>
      <c r="S167" s="5">
        <v>93368201</v>
      </c>
    </row>
    <row r="168" spans="2:19" x14ac:dyDescent="0.3">
      <c r="B168" s="4">
        <v>2017</v>
      </c>
      <c r="C168" s="4">
        <v>182</v>
      </c>
      <c r="D168" s="3" t="s">
        <v>34</v>
      </c>
      <c r="E168" s="5">
        <v>381682174</v>
      </c>
      <c r="F168" s="5">
        <v>3840417</v>
      </c>
      <c r="G168" s="5">
        <v>334848</v>
      </c>
      <c r="J168" s="4">
        <v>2016</v>
      </c>
      <c r="K168" s="4">
        <v>182</v>
      </c>
      <c r="L168" s="3" t="s">
        <v>53</v>
      </c>
      <c r="M168" s="5">
        <v>31089878</v>
      </c>
      <c r="P168" s="4">
        <v>2014</v>
      </c>
      <c r="Q168" s="4">
        <v>216</v>
      </c>
      <c r="R168" s="3" t="s">
        <v>59</v>
      </c>
      <c r="S168" s="5">
        <v>7172382</v>
      </c>
    </row>
    <row r="169" spans="2:19" x14ac:dyDescent="0.3">
      <c r="B169" s="4">
        <v>2017</v>
      </c>
      <c r="C169" s="4">
        <v>182</v>
      </c>
      <c r="D169" s="3" t="s">
        <v>35</v>
      </c>
      <c r="E169" s="5">
        <v>900616161</v>
      </c>
      <c r="F169" s="5">
        <v>11980805</v>
      </c>
      <c r="G169" s="5">
        <v>379027</v>
      </c>
      <c r="J169" s="4">
        <v>2017</v>
      </c>
      <c r="K169" s="4">
        <v>182</v>
      </c>
      <c r="L169" s="3" t="s">
        <v>43</v>
      </c>
      <c r="M169" s="5">
        <v>71967905</v>
      </c>
      <c r="P169" s="4">
        <v>2014</v>
      </c>
      <c r="Q169" s="4">
        <v>216</v>
      </c>
      <c r="R169" s="3" t="s">
        <v>60</v>
      </c>
      <c r="S169" s="5">
        <v>125245540</v>
      </c>
    </row>
    <row r="170" spans="2:19" x14ac:dyDescent="0.3">
      <c r="B170" s="4">
        <v>2017</v>
      </c>
      <c r="C170" s="4">
        <v>182</v>
      </c>
      <c r="D170" s="3" t="s">
        <v>36</v>
      </c>
      <c r="E170" s="5">
        <v>88779014</v>
      </c>
      <c r="F170" s="5">
        <v>3070079</v>
      </c>
      <c r="G170" s="5"/>
      <c r="J170" s="4">
        <v>2017</v>
      </c>
      <c r="K170" s="4">
        <v>182</v>
      </c>
      <c r="L170" s="3" t="s">
        <v>44</v>
      </c>
      <c r="M170" s="5">
        <v>16190505</v>
      </c>
      <c r="P170" s="4">
        <v>2014</v>
      </c>
      <c r="Q170" s="4">
        <v>216</v>
      </c>
      <c r="R170" s="3" t="s">
        <v>61</v>
      </c>
      <c r="S170" s="5">
        <v>495029</v>
      </c>
    </row>
    <row r="171" spans="2:19" x14ac:dyDescent="0.3">
      <c r="B171" s="4">
        <v>2017</v>
      </c>
      <c r="C171" s="4">
        <v>182</v>
      </c>
      <c r="D171" s="3" t="s">
        <v>37</v>
      </c>
      <c r="E171" s="5">
        <v>901797744</v>
      </c>
      <c r="F171" s="5">
        <v>11980805</v>
      </c>
      <c r="G171" s="5">
        <v>379027</v>
      </c>
      <c r="J171" s="4">
        <v>2017</v>
      </c>
      <c r="K171" s="4">
        <v>182</v>
      </c>
      <c r="L171" s="3" t="s">
        <v>45</v>
      </c>
      <c r="M171" s="5">
        <v>30382404</v>
      </c>
      <c r="P171" s="4">
        <v>2014</v>
      </c>
      <c r="Q171" s="4">
        <v>216</v>
      </c>
      <c r="R171" s="3" t="s">
        <v>62</v>
      </c>
      <c r="S171" s="5">
        <v>68283304</v>
      </c>
    </row>
    <row r="172" spans="2:19" x14ac:dyDescent="0.3">
      <c r="B172" s="4">
        <v>2017</v>
      </c>
      <c r="C172" s="4">
        <v>182</v>
      </c>
      <c r="D172" s="3" t="s">
        <v>38</v>
      </c>
      <c r="E172" s="5">
        <v>813018730</v>
      </c>
      <c r="F172" s="5">
        <v>8910726</v>
      </c>
      <c r="G172" s="5">
        <v>379027</v>
      </c>
      <c r="J172" s="4">
        <v>2017</v>
      </c>
      <c r="K172" s="4">
        <v>182</v>
      </c>
      <c r="L172" s="3" t="s">
        <v>46</v>
      </c>
      <c r="M172" s="5">
        <v>32836547</v>
      </c>
      <c r="P172" s="4">
        <v>2014</v>
      </c>
      <c r="Q172" s="4">
        <v>216</v>
      </c>
      <c r="R172" s="3" t="s">
        <v>63</v>
      </c>
      <c r="S172" s="5">
        <v>1277640977</v>
      </c>
    </row>
    <row r="173" spans="2:19" x14ac:dyDescent="0.3">
      <c r="B173" s="4">
        <v>2017</v>
      </c>
      <c r="C173" s="4">
        <v>182</v>
      </c>
      <c r="D173" s="3" t="s">
        <v>39</v>
      </c>
      <c r="E173" s="5">
        <v>311592956</v>
      </c>
      <c r="F173" s="5">
        <v>3222374</v>
      </c>
      <c r="G173" s="5">
        <v>42153</v>
      </c>
      <c r="J173" s="4">
        <v>2017</v>
      </c>
      <c r="K173" s="4">
        <v>182</v>
      </c>
      <c r="L173" s="3" t="s">
        <v>47</v>
      </c>
      <c r="M173" s="5">
        <v>69526481</v>
      </c>
      <c r="P173" s="4">
        <v>2014</v>
      </c>
      <c r="Q173" s="4">
        <v>216</v>
      </c>
      <c r="R173" s="3" t="s">
        <v>64</v>
      </c>
      <c r="S173" s="5">
        <v>780281536</v>
      </c>
    </row>
    <row r="174" spans="2:19" x14ac:dyDescent="0.3">
      <c r="B174" s="4">
        <v>2018</v>
      </c>
      <c r="C174" s="4">
        <v>182</v>
      </c>
      <c r="D174" s="3" t="s">
        <v>30</v>
      </c>
      <c r="E174" s="5">
        <v>986405322</v>
      </c>
      <c r="F174" s="5">
        <v>12365036</v>
      </c>
      <c r="G174" s="5">
        <v>384976</v>
      </c>
      <c r="J174" s="4">
        <v>2017</v>
      </c>
      <c r="K174" s="4">
        <v>182</v>
      </c>
      <c r="L174" s="3" t="s">
        <v>48</v>
      </c>
      <c r="M174" s="5">
        <v>28164386</v>
      </c>
      <c r="P174" s="4">
        <v>2014</v>
      </c>
      <c r="Q174" s="4">
        <v>216</v>
      </c>
      <c r="R174" s="3" t="s">
        <v>65</v>
      </c>
      <c r="S174" s="5">
        <v>31748230</v>
      </c>
    </row>
    <row r="175" spans="2:19" x14ac:dyDescent="0.3">
      <c r="B175" s="4">
        <v>2018</v>
      </c>
      <c r="C175" s="4">
        <v>182</v>
      </c>
      <c r="D175" s="3" t="s">
        <v>31</v>
      </c>
      <c r="E175" s="5">
        <v>109846315</v>
      </c>
      <c r="F175" s="5">
        <v>1772281</v>
      </c>
      <c r="G175" s="5">
        <v>1318</v>
      </c>
      <c r="J175" s="4">
        <v>2017</v>
      </c>
      <c r="K175" s="4">
        <v>182</v>
      </c>
      <c r="L175" s="3" t="s">
        <v>49</v>
      </c>
      <c r="M175" s="5">
        <v>552612638</v>
      </c>
      <c r="P175" s="4">
        <v>2015</v>
      </c>
      <c r="Q175" s="4">
        <v>216</v>
      </c>
      <c r="R175" s="3" t="s">
        <v>59</v>
      </c>
      <c r="S175" s="5">
        <v>7095926</v>
      </c>
    </row>
    <row r="176" spans="2:19" x14ac:dyDescent="0.3">
      <c r="B176" s="4">
        <v>2018</v>
      </c>
      <c r="C176" s="4">
        <v>182</v>
      </c>
      <c r="D176" s="3" t="s">
        <v>32</v>
      </c>
      <c r="E176" s="5">
        <v>102864510</v>
      </c>
      <c r="F176" s="5"/>
      <c r="G176" s="5"/>
      <c r="J176" s="4">
        <v>2017</v>
      </c>
      <c r="K176" s="4">
        <v>182</v>
      </c>
      <c r="L176" s="3" t="s">
        <v>50</v>
      </c>
      <c r="M176" s="5">
        <v>367886597</v>
      </c>
      <c r="P176" s="4">
        <v>2015</v>
      </c>
      <c r="Q176" s="4">
        <v>216</v>
      </c>
      <c r="R176" s="3" t="s">
        <v>60</v>
      </c>
      <c r="S176" s="5">
        <v>130382128</v>
      </c>
    </row>
    <row r="177" spans="2:19" x14ac:dyDescent="0.3">
      <c r="B177" s="4">
        <v>2018</v>
      </c>
      <c r="C177" s="4">
        <v>182</v>
      </c>
      <c r="D177" s="3" t="s">
        <v>40</v>
      </c>
      <c r="E177" s="5">
        <v>10290335</v>
      </c>
      <c r="F177" s="5"/>
      <c r="G177" s="5"/>
      <c r="J177" s="4">
        <v>2017</v>
      </c>
      <c r="K177" s="4">
        <v>182</v>
      </c>
      <c r="L177" s="3" t="s">
        <v>51</v>
      </c>
      <c r="M177" s="5">
        <v>130674108</v>
      </c>
      <c r="P177" s="4">
        <v>2015</v>
      </c>
      <c r="Q177" s="4">
        <v>216</v>
      </c>
      <c r="R177" s="3" t="s">
        <v>61</v>
      </c>
      <c r="S177" s="5">
        <v>549017</v>
      </c>
    </row>
    <row r="178" spans="2:19" x14ac:dyDescent="0.3">
      <c r="B178" s="4">
        <v>2018</v>
      </c>
      <c r="C178" s="4">
        <v>182</v>
      </c>
      <c r="D178" s="3" t="s">
        <v>33</v>
      </c>
      <c r="E178" s="5">
        <v>7538909</v>
      </c>
      <c r="F178" s="5">
        <v>18423</v>
      </c>
      <c r="G178" s="5">
        <v>594</v>
      </c>
      <c r="J178" s="4">
        <v>2017</v>
      </c>
      <c r="K178" s="4">
        <v>182</v>
      </c>
      <c r="L178" s="3" t="s">
        <v>53</v>
      </c>
      <c r="M178" s="5">
        <v>33348680</v>
      </c>
      <c r="P178" s="4">
        <v>2015</v>
      </c>
      <c r="Q178" s="4">
        <v>216</v>
      </c>
      <c r="R178" s="3" t="s">
        <v>62</v>
      </c>
      <c r="S178" s="5">
        <v>69399154</v>
      </c>
    </row>
    <row r="179" spans="2:19" x14ac:dyDescent="0.3">
      <c r="B179" s="4">
        <v>2018</v>
      </c>
      <c r="C179" s="4">
        <v>182</v>
      </c>
      <c r="D179" s="3" t="s">
        <v>34</v>
      </c>
      <c r="E179" s="5">
        <v>368752670</v>
      </c>
      <c r="F179" s="5">
        <v>3626870</v>
      </c>
      <c r="G179" s="5">
        <v>340308</v>
      </c>
      <c r="J179" s="4">
        <v>2018</v>
      </c>
      <c r="K179" s="4">
        <v>182</v>
      </c>
      <c r="L179" s="3" t="s">
        <v>43</v>
      </c>
      <c r="M179" s="5">
        <v>95079770</v>
      </c>
      <c r="P179" s="4">
        <v>2015</v>
      </c>
      <c r="Q179" s="4">
        <v>216</v>
      </c>
      <c r="R179" s="3" t="s">
        <v>63</v>
      </c>
      <c r="S179" s="5">
        <v>1266201447</v>
      </c>
    </row>
    <row r="180" spans="2:19" x14ac:dyDescent="0.3">
      <c r="B180" s="4">
        <v>2018</v>
      </c>
      <c r="C180" s="4">
        <v>182</v>
      </c>
      <c r="D180" s="3" t="s">
        <v>35</v>
      </c>
      <c r="E180" s="5">
        <v>883540812</v>
      </c>
      <c r="F180" s="5">
        <v>12365036</v>
      </c>
      <c r="G180" s="5">
        <v>384976</v>
      </c>
      <c r="J180" s="4">
        <v>2018</v>
      </c>
      <c r="K180" s="4">
        <v>182</v>
      </c>
      <c r="L180" s="3" t="s">
        <v>44</v>
      </c>
      <c r="M180" s="5">
        <v>12270162</v>
      </c>
      <c r="P180" s="4">
        <v>2015</v>
      </c>
      <c r="Q180" s="4">
        <v>216</v>
      </c>
      <c r="R180" s="3" t="s">
        <v>64</v>
      </c>
      <c r="S180" s="5">
        <v>731125349</v>
      </c>
    </row>
    <row r="181" spans="2:19" x14ac:dyDescent="0.3">
      <c r="B181" s="4">
        <v>2018</v>
      </c>
      <c r="C181" s="4">
        <v>182</v>
      </c>
      <c r="D181" s="3" t="s">
        <v>36</v>
      </c>
      <c r="E181" s="5">
        <v>91775470</v>
      </c>
      <c r="F181" s="5">
        <v>3777497</v>
      </c>
      <c r="G181" s="5"/>
      <c r="J181" s="4">
        <v>2018</v>
      </c>
      <c r="K181" s="4">
        <v>182</v>
      </c>
      <c r="L181" s="3" t="s">
        <v>45</v>
      </c>
      <c r="M181" s="5">
        <v>37781530</v>
      </c>
      <c r="P181" s="4">
        <v>2015</v>
      </c>
      <c r="Q181" s="4">
        <v>216</v>
      </c>
      <c r="R181" s="3" t="s">
        <v>65</v>
      </c>
      <c r="S181" s="5">
        <v>32808301</v>
      </c>
    </row>
    <row r="182" spans="2:19" x14ac:dyDescent="0.3">
      <c r="B182" s="4">
        <v>2018</v>
      </c>
      <c r="C182" s="4">
        <v>182</v>
      </c>
      <c r="D182" s="3" t="s">
        <v>37</v>
      </c>
      <c r="E182" s="5">
        <v>893831147</v>
      </c>
      <c r="F182" s="5">
        <v>12365036</v>
      </c>
      <c r="G182" s="5">
        <v>384976</v>
      </c>
      <c r="J182" s="4">
        <v>2018</v>
      </c>
      <c r="K182" s="4">
        <v>182</v>
      </c>
      <c r="L182" s="3" t="s">
        <v>46</v>
      </c>
      <c r="M182" s="5">
        <v>30452769</v>
      </c>
      <c r="P182" s="4">
        <v>2016</v>
      </c>
      <c r="Q182" s="4">
        <v>216</v>
      </c>
      <c r="R182" s="3" t="s">
        <v>59</v>
      </c>
      <c r="S182" s="5">
        <v>6649455</v>
      </c>
    </row>
    <row r="183" spans="2:19" x14ac:dyDescent="0.3">
      <c r="B183" s="4">
        <v>2018</v>
      </c>
      <c r="C183" s="4">
        <v>182</v>
      </c>
      <c r="D183" s="3" t="s">
        <v>38</v>
      </c>
      <c r="E183" s="5">
        <v>802055677</v>
      </c>
      <c r="F183" s="5">
        <v>8587539</v>
      </c>
      <c r="G183" s="5">
        <v>384976</v>
      </c>
      <c r="J183" s="4">
        <v>2018</v>
      </c>
      <c r="K183" s="4">
        <v>182</v>
      </c>
      <c r="L183" s="3" t="s">
        <v>47</v>
      </c>
      <c r="M183" s="5">
        <v>63237753</v>
      </c>
      <c r="P183" s="4">
        <v>2016</v>
      </c>
      <c r="Q183" s="4">
        <v>216</v>
      </c>
      <c r="R183" s="3" t="s">
        <v>60</v>
      </c>
      <c r="S183" s="5">
        <v>135048584</v>
      </c>
    </row>
    <row r="184" spans="2:19" x14ac:dyDescent="0.3">
      <c r="B184" s="4">
        <v>2018</v>
      </c>
      <c r="C184" s="4">
        <v>182</v>
      </c>
      <c r="D184" s="3" t="s">
        <v>39</v>
      </c>
      <c r="E184" s="5">
        <v>314532129</v>
      </c>
      <c r="F184" s="5">
        <v>3156248</v>
      </c>
      <c r="G184" s="5">
        <v>42618</v>
      </c>
      <c r="J184" s="4">
        <v>2018</v>
      </c>
      <c r="K184" s="4">
        <v>182</v>
      </c>
      <c r="L184" s="3" t="s">
        <v>48</v>
      </c>
      <c r="M184" s="5">
        <v>27775865</v>
      </c>
      <c r="P184" s="4">
        <v>2016</v>
      </c>
      <c r="Q184" s="4">
        <v>216</v>
      </c>
      <c r="R184" s="3" t="s">
        <v>61</v>
      </c>
      <c r="S184" s="5">
        <v>720272</v>
      </c>
    </row>
    <row r="185" spans="2:19" x14ac:dyDescent="0.3">
      <c r="B185" s="4">
        <v>2019</v>
      </c>
      <c r="C185" s="4">
        <v>182</v>
      </c>
      <c r="D185" s="3" t="s">
        <v>30</v>
      </c>
      <c r="E185" s="5">
        <v>983483744</v>
      </c>
      <c r="F185" s="5">
        <v>11958236</v>
      </c>
      <c r="G185" s="5">
        <v>390059</v>
      </c>
      <c r="J185" s="4">
        <v>2018</v>
      </c>
      <c r="K185" s="4">
        <v>182</v>
      </c>
      <c r="L185" s="3" t="s">
        <v>49</v>
      </c>
      <c r="M185" s="5">
        <v>566434201</v>
      </c>
      <c r="P185" s="4">
        <v>2016</v>
      </c>
      <c r="Q185" s="4">
        <v>216</v>
      </c>
      <c r="R185" s="3" t="s">
        <v>62</v>
      </c>
      <c r="S185" s="5">
        <v>67074765</v>
      </c>
    </row>
    <row r="186" spans="2:19" x14ac:dyDescent="0.3">
      <c r="B186" s="4">
        <v>2019</v>
      </c>
      <c r="C186" s="4">
        <v>182</v>
      </c>
      <c r="D186" s="3" t="s">
        <v>31</v>
      </c>
      <c r="E186" s="5">
        <v>114530530</v>
      </c>
      <c r="F186" s="5">
        <v>2047228</v>
      </c>
      <c r="G186" s="5">
        <v>1305</v>
      </c>
      <c r="J186" s="4">
        <v>2018</v>
      </c>
      <c r="K186" s="4">
        <v>182</v>
      </c>
      <c r="L186" s="3" t="s">
        <v>50</v>
      </c>
      <c r="M186" s="5">
        <v>361973373</v>
      </c>
      <c r="P186" s="4">
        <v>2016</v>
      </c>
      <c r="Q186" s="4">
        <v>216</v>
      </c>
      <c r="R186" s="3" t="s">
        <v>63</v>
      </c>
      <c r="S186" s="5">
        <v>1255298799</v>
      </c>
    </row>
    <row r="187" spans="2:19" x14ac:dyDescent="0.3">
      <c r="B187" s="4">
        <v>2019</v>
      </c>
      <c r="C187" s="4">
        <v>182</v>
      </c>
      <c r="D187" s="3" t="s">
        <v>32</v>
      </c>
      <c r="E187" s="5">
        <v>89005466</v>
      </c>
      <c r="F187" s="5"/>
      <c r="G187" s="5"/>
      <c r="J187" s="4">
        <v>2018</v>
      </c>
      <c r="K187" s="4">
        <v>182</v>
      </c>
      <c r="L187" s="3" t="s">
        <v>51</v>
      </c>
      <c r="M187" s="5">
        <v>136263902</v>
      </c>
      <c r="P187" s="4">
        <v>2016</v>
      </c>
      <c r="Q187" s="4">
        <v>216</v>
      </c>
      <c r="R187" s="3" t="s">
        <v>64</v>
      </c>
      <c r="S187" s="5">
        <v>734428076</v>
      </c>
    </row>
    <row r="188" spans="2:19" x14ac:dyDescent="0.3">
      <c r="B188" s="4">
        <v>2019</v>
      </c>
      <c r="C188" s="4">
        <v>182</v>
      </c>
      <c r="D188" s="3" t="s">
        <v>40</v>
      </c>
      <c r="E188" s="5">
        <v>-2908847</v>
      </c>
      <c r="F188" s="5"/>
      <c r="G188" s="5"/>
      <c r="J188" s="4">
        <v>2018</v>
      </c>
      <c r="K188" s="4">
        <v>182</v>
      </c>
      <c r="L188" s="3" t="s">
        <v>52</v>
      </c>
      <c r="M188" s="5">
        <v>58715</v>
      </c>
      <c r="P188" s="4">
        <v>2016</v>
      </c>
      <c r="Q188" s="4">
        <v>216</v>
      </c>
      <c r="R188" s="3" t="s">
        <v>65</v>
      </c>
      <c r="S188" s="5">
        <v>32823311</v>
      </c>
    </row>
    <row r="189" spans="2:19" x14ac:dyDescent="0.3">
      <c r="B189" s="4">
        <v>2019</v>
      </c>
      <c r="C189" s="4">
        <v>182</v>
      </c>
      <c r="D189" s="3" t="s">
        <v>33</v>
      </c>
      <c r="E189" s="5">
        <v>7447635</v>
      </c>
      <c r="F189" s="5">
        <v>17973</v>
      </c>
      <c r="G189" s="5">
        <v>612</v>
      </c>
      <c r="J189" s="4">
        <v>2018</v>
      </c>
      <c r="K189" s="4">
        <v>182</v>
      </c>
      <c r="L189" s="3" t="s">
        <v>53</v>
      </c>
      <c r="M189" s="5">
        <v>28817882</v>
      </c>
      <c r="P189" s="4">
        <v>2017</v>
      </c>
      <c r="Q189" s="4">
        <v>216</v>
      </c>
      <c r="R189" s="3" t="s">
        <v>59</v>
      </c>
      <c r="S189" s="5">
        <v>6243722</v>
      </c>
    </row>
    <row r="190" spans="2:19" x14ac:dyDescent="0.3">
      <c r="B190" s="4">
        <v>2019</v>
      </c>
      <c r="C190" s="4">
        <v>182</v>
      </c>
      <c r="D190" s="3" t="s">
        <v>34</v>
      </c>
      <c r="E190" s="5">
        <v>369101530</v>
      </c>
      <c r="F190" s="5">
        <v>3766048</v>
      </c>
      <c r="G190" s="5">
        <v>345064</v>
      </c>
      <c r="J190" s="4">
        <v>2019</v>
      </c>
      <c r="K190" s="4">
        <v>182</v>
      </c>
      <c r="L190" s="3" t="s">
        <v>43</v>
      </c>
      <c r="M190" s="5">
        <v>100373479</v>
      </c>
      <c r="P190" s="4">
        <v>2017</v>
      </c>
      <c r="Q190" s="4">
        <v>216</v>
      </c>
      <c r="R190" s="3" t="s">
        <v>60</v>
      </c>
      <c r="S190" s="5">
        <v>153958586</v>
      </c>
    </row>
    <row r="191" spans="2:19" x14ac:dyDescent="0.3">
      <c r="B191" s="4">
        <v>2019</v>
      </c>
      <c r="C191" s="4">
        <v>182</v>
      </c>
      <c r="D191" s="3" t="s">
        <v>35</v>
      </c>
      <c r="E191" s="5">
        <v>894478278</v>
      </c>
      <c r="F191" s="5">
        <v>11958236</v>
      </c>
      <c r="G191" s="5">
        <v>390059</v>
      </c>
      <c r="J191" s="4">
        <v>2019</v>
      </c>
      <c r="K191" s="4">
        <v>182</v>
      </c>
      <c r="L191" s="3" t="s">
        <v>44</v>
      </c>
      <c r="M191" s="5">
        <v>10411205</v>
      </c>
      <c r="P191" s="4">
        <v>2017</v>
      </c>
      <c r="Q191" s="4">
        <v>216</v>
      </c>
      <c r="R191" s="3" t="s">
        <v>61</v>
      </c>
      <c r="S191" s="5">
        <v>566665</v>
      </c>
    </row>
    <row r="192" spans="2:19" x14ac:dyDescent="0.3">
      <c r="B192" s="4">
        <v>2019</v>
      </c>
      <c r="C192" s="4">
        <v>182</v>
      </c>
      <c r="D192" s="3" t="s">
        <v>36</v>
      </c>
      <c r="E192" s="5">
        <v>81398279</v>
      </c>
      <c r="F192" s="5">
        <v>2942248</v>
      </c>
      <c r="G192" s="5"/>
      <c r="J192" s="4">
        <v>2019</v>
      </c>
      <c r="K192" s="4">
        <v>182</v>
      </c>
      <c r="L192" s="3" t="s">
        <v>45</v>
      </c>
      <c r="M192" s="5">
        <v>39089703</v>
      </c>
      <c r="P192" s="4">
        <v>2017</v>
      </c>
      <c r="Q192" s="4">
        <v>216</v>
      </c>
      <c r="R192" s="3" t="s">
        <v>62</v>
      </c>
      <c r="S192" s="5">
        <v>60983589</v>
      </c>
    </row>
    <row r="193" spans="2:19" x14ac:dyDescent="0.3">
      <c r="B193" s="4">
        <v>2019</v>
      </c>
      <c r="C193" s="4">
        <v>182</v>
      </c>
      <c r="D193" s="3" t="s">
        <v>37</v>
      </c>
      <c r="E193" s="5">
        <v>891569431</v>
      </c>
      <c r="F193" s="5">
        <v>11958236</v>
      </c>
      <c r="G193" s="5">
        <v>390059</v>
      </c>
      <c r="J193" s="4">
        <v>2019</v>
      </c>
      <c r="K193" s="4">
        <v>182</v>
      </c>
      <c r="L193" s="3" t="s">
        <v>46</v>
      </c>
      <c r="M193" s="5">
        <v>33321766</v>
      </c>
      <c r="P193" s="4">
        <v>2017</v>
      </c>
      <c r="Q193" s="4">
        <v>216</v>
      </c>
      <c r="R193" s="3" t="s">
        <v>63</v>
      </c>
      <c r="S193" s="5">
        <v>1340860404</v>
      </c>
    </row>
    <row r="194" spans="2:19" x14ac:dyDescent="0.3">
      <c r="B194" s="4">
        <v>2019</v>
      </c>
      <c r="C194" s="4">
        <v>182</v>
      </c>
      <c r="D194" s="3" t="s">
        <v>38</v>
      </c>
      <c r="E194" s="5">
        <v>810171152</v>
      </c>
      <c r="F194" s="5">
        <v>9015988</v>
      </c>
      <c r="G194" s="5">
        <v>390059</v>
      </c>
      <c r="J194" s="4">
        <v>2019</v>
      </c>
      <c r="K194" s="4">
        <v>182</v>
      </c>
      <c r="L194" s="3" t="s">
        <v>47</v>
      </c>
      <c r="M194" s="5">
        <v>71500955</v>
      </c>
      <c r="P194" s="4">
        <v>2017</v>
      </c>
      <c r="Q194" s="4">
        <v>216</v>
      </c>
      <c r="R194" s="3" t="s">
        <v>64</v>
      </c>
      <c r="S194" s="5">
        <v>769799625</v>
      </c>
    </row>
    <row r="195" spans="2:19" x14ac:dyDescent="0.3">
      <c r="B195" s="4">
        <v>2019</v>
      </c>
      <c r="C195" s="4">
        <v>182</v>
      </c>
      <c r="D195" s="3" t="s">
        <v>39</v>
      </c>
      <c r="E195" s="5">
        <v>317589170</v>
      </c>
      <c r="F195" s="5">
        <v>3170031</v>
      </c>
      <c r="G195" s="5">
        <v>42930</v>
      </c>
      <c r="J195" s="4">
        <v>2019</v>
      </c>
      <c r="K195" s="4">
        <v>182</v>
      </c>
      <c r="L195" s="3" t="s">
        <v>48</v>
      </c>
      <c r="M195" s="5">
        <v>30554741</v>
      </c>
      <c r="P195" s="4">
        <v>2017</v>
      </c>
      <c r="Q195" s="4">
        <v>216</v>
      </c>
      <c r="R195" s="3" t="s">
        <v>65</v>
      </c>
      <c r="S195" s="5">
        <v>34089536</v>
      </c>
    </row>
    <row r="196" spans="2:19" x14ac:dyDescent="0.3">
      <c r="B196" s="4">
        <v>2020</v>
      </c>
      <c r="C196" s="4">
        <v>182</v>
      </c>
      <c r="D196" s="3" t="s">
        <v>30</v>
      </c>
      <c r="E196" s="5">
        <v>942731364</v>
      </c>
      <c r="F196" s="5">
        <v>11671436</v>
      </c>
      <c r="G196" s="5">
        <v>395377</v>
      </c>
      <c r="J196" s="4">
        <v>2019</v>
      </c>
      <c r="K196" s="4">
        <v>182</v>
      </c>
      <c r="L196" s="3" t="s">
        <v>49</v>
      </c>
      <c r="M196" s="5">
        <v>569937930</v>
      </c>
      <c r="P196" s="4">
        <v>2018</v>
      </c>
      <c r="Q196" s="4">
        <v>216</v>
      </c>
      <c r="R196" s="3" t="s">
        <v>59</v>
      </c>
      <c r="S196" s="5">
        <v>6981078</v>
      </c>
    </row>
    <row r="197" spans="2:19" x14ac:dyDescent="0.3">
      <c r="B197" s="4">
        <v>2020</v>
      </c>
      <c r="C197" s="4">
        <v>182</v>
      </c>
      <c r="D197" s="3" t="s">
        <v>31</v>
      </c>
      <c r="E197" s="5">
        <v>113563149</v>
      </c>
      <c r="F197" s="5">
        <v>2042265</v>
      </c>
      <c r="G197" s="5">
        <v>1297</v>
      </c>
      <c r="J197" s="4">
        <v>2019</v>
      </c>
      <c r="K197" s="4">
        <v>182</v>
      </c>
      <c r="L197" s="3" t="s">
        <v>50</v>
      </c>
      <c r="M197" s="5">
        <v>357787332</v>
      </c>
      <c r="P197" s="4">
        <v>2018</v>
      </c>
      <c r="Q197" s="4">
        <v>216</v>
      </c>
      <c r="R197" s="3" t="s">
        <v>60</v>
      </c>
      <c r="S197" s="5">
        <v>156332587</v>
      </c>
    </row>
    <row r="198" spans="2:19" x14ac:dyDescent="0.3">
      <c r="B198" s="4">
        <v>2020</v>
      </c>
      <c r="C198" s="4">
        <v>182</v>
      </c>
      <c r="D198" s="3" t="s">
        <v>32</v>
      </c>
      <c r="E198" s="5">
        <v>55027915</v>
      </c>
      <c r="F198" s="5"/>
      <c r="G198" s="5"/>
      <c r="J198" s="4">
        <v>2019</v>
      </c>
      <c r="K198" s="4">
        <v>182</v>
      </c>
      <c r="L198" s="3" t="s">
        <v>51</v>
      </c>
      <c r="M198" s="5">
        <v>144313775</v>
      </c>
      <c r="P198" s="4">
        <v>2018</v>
      </c>
      <c r="Q198" s="4">
        <v>216</v>
      </c>
      <c r="R198" s="3" t="s">
        <v>61</v>
      </c>
      <c r="S198" s="5">
        <v>566665</v>
      </c>
    </row>
    <row r="199" spans="2:19" x14ac:dyDescent="0.3">
      <c r="B199" s="4">
        <v>2020</v>
      </c>
      <c r="C199" s="4">
        <v>182</v>
      </c>
      <c r="D199" s="3" t="s">
        <v>40</v>
      </c>
      <c r="E199" s="5">
        <v>-1601776</v>
      </c>
      <c r="F199" s="5"/>
      <c r="G199" s="5"/>
      <c r="J199" s="4">
        <v>2019</v>
      </c>
      <c r="K199" s="4">
        <v>182</v>
      </c>
      <c r="L199" s="3" t="s">
        <v>53</v>
      </c>
      <c r="M199" s="5">
        <v>28954445</v>
      </c>
      <c r="P199" s="4">
        <v>2018</v>
      </c>
      <c r="Q199" s="4">
        <v>216</v>
      </c>
      <c r="R199" s="3" t="s">
        <v>62</v>
      </c>
      <c r="S199" s="5">
        <v>69035321</v>
      </c>
    </row>
    <row r="200" spans="2:19" x14ac:dyDescent="0.3">
      <c r="B200" s="4">
        <v>2020</v>
      </c>
      <c r="C200" s="4">
        <v>182</v>
      </c>
      <c r="D200" s="3" t="s">
        <v>33</v>
      </c>
      <c r="E200" s="5">
        <v>7303244</v>
      </c>
      <c r="F200" s="5">
        <v>17654</v>
      </c>
      <c r="G200" s="5">
        <v>639</v>
      </c>
      <c r="J200" s="4">
        <v>2020</v>
      </c>
      <c r="K200" s="4">
        <v>182</v>
      </c>
      <c r="L200" s="3" t="s">
        <v>43</v>
      </c>
      <c r="M200" s="5">
        <v>105995092</v>
      </c>
      <c r="P200" s="4">
        <v>2018</v>
      </c>
      <c r="Q200" s="4">
        <v>216</v>
      </c>
      <c r="R200" s="3" t="s">
        <v>63</v>
      </c>
      <c r="S200" s="5">
        <v>1361957450</v>
      </c>
    </row>
    <row r="201" spans="2:19" x14ac:dyDescent="0.3">
      <c r="B201" s="4">
        <v>2020</v>
      </c>
      <c r="C201" s="4">
        <v>182</v>
      </c>
      <c r="D201" s="3" t="s">
        <v>34</v>
      </c>
      <c r="E201" s="5">
        <v>377785465</v>
      </c>
      <c r="F201" s="5">
        <v>3807041</v>
      </c>
      <c r="G201" s="5">
        <v>349890</v>
      </c>
      <c r="J201" s="4">
        <v>2020</v>
      </c>
      <c r="K201" s="4">
        <v>182</v>
      </c>
      <c r="L201" s="3" t="s">
        <v>44</v>
      </c>
      <c r="M201" s="5">
        <v>16941721</v>
      </c>
      <c r="P201" s="4">
        <v>2018</v>
      </c>
      <c r="Q201" s="4">
        <v>216</v>
      </c>
      <c r="R201" s="3" t="s">
        <v>64</v>
      </c>
      <c r="S201" s="5">
        <v>800135259</v>
      </c>
    </row>
    <row r="202" spans="2:19" x14ac:dyDescent="0.3">
      <c r="B202" s="4">
        <v>2020</v>
      </c>
      <c r="C202" s="4">
        <v>182</v>
      </c>
      <c r="D202" s="3" t="s">
        <v>35</v>
      </c>
      <c r="E202" s="5">
        <v>887703449</v>
      </c>
      <c r="F202" s="5">
        <v>11671436</v>
      </c>
      <c r="G202" s="5">
        <v>395377</v>
      </c>
      <c r="J202" s="4">
        <v>2020</v>
      </c>
      <c r="K202" s="4">
        <v>182</v>
      </c>
      <c r="L202" s="3" t="s">
        <v>45</v>
      </c>
      <c r="M202" s="5">
        <v>35067235</v>
      </c>
      <c r="P202" s="4">
        <v>2018</v>
      </c>
      <c r="Q202" s="4">
        <v>216</v>
      </c>
      <c r="R202" s="3" t="s">
        <v>65</v>
      </c>
      <c r="S202" s="5">
        <v>34792143</v>
      </c>
    </row>
    <row r="203" spans="2:19" x14ac:dyDescent="0.3">
      <c r="B203" s="4">
        <v>2020</v>
      </c>
      <c r="C203" s="4">
        <v>182</v>
      </c>
      <c r="D203" s="3" t="s">
        <v>36</v>
      </c>
      <c r="E203" s="5">
        <v>82055793</v>
      </c>
      <c r="F203" s="5">
        <v>2796393</v>
      </c>
      <c r="G203" s="5"/>
      <c r="J203" s="4">
        <v>2020</v>
      </c>
      <c r="K203" s="4">
        <v>182</v>
      </c>
      <c r="L203" s="3" t="s">
        <v>46</v>
      </c>
      <c r="M203" s="5">
        <v>34154465</v>
      </c>
      <c r="P203" s="4">
        <v>2019</v>
      </c>
      <c r="Q203" s="4">
        <v>216</v>
      </c>
      <c r="R203" s="3" t="s">
        <v>59</v>
      </c>
      <c r="S203" s="5">
        <v>7169554</v>
      </c>
    </row>
    <row r="204" spans="2:19" x14ac:dyDescent="0.3">
      <c r="B204" s="4">
        <v>2020</v>
      </c>
      <c r="C204" s="4">
        <v>182</v>
      </c>
      <c r="D204" s="3" t="s">
        <v>37</v>
      </c>
      <c r="E204" s="5">
        <v>886101673</v>
      </c>
      <c r="F204" s="5">
        <v>11671436</v>
      </c>
      <c r="G204" s="5">
        <v>395377</v>
      </c>
      <c r="J204" s="4">
        <v>2020</v>
      </c>
      <c r="K204" s="4">
        <v>182</v>
      </c>
      <c r="L204" s="3" t="s">
        <v>47</v>
      </c>
      <c r="M204" s="5">
        <v>53865752</v>
      </c>
      <c r="P204" s="4">
        <v>2019</v>
      </c>
      <c r="Q204" s="4">
        <v>216</v>
      </c>
      <c r="R204" s="3" t="s">
        <v>60</v>
      </c>
      <c r="S204" s="5">
        <v>160145693</v>
      </c>
    </row>
    <row r="205" spans="2:19" x14ac:dyDescent="0.3">
      <c r="B205" s="4">
        <v>2020</v>
      </c>
      <c r="C205" s="4">
        <v>182</v>
      </c>
      <c r="D205" s="3" t="s">
        <v>38</v>
      </c>
      <c r="E205" s="5">
        <v>804045880</v>
      </c>
      <c r="F205" s="5">
        <v>8875043</v>
      </c>
      <c r="G205" s="5">
        <v>395377</v>
      </c>
      <c r="J205" s="4">
        <v>2020</v>
      </c>
      <c r="K205" s="4">
        <v>182</v>
      </c>
      <c r="L205" s="3" t="s">
        <v>48</v>
      </c>
      <c r="M205" s="5">
        <v>29506761</v>
      </c>
      <c r="P205" s="4">
        <v>2019</v>
      </c>
      <c r="Q205" s="4">
        <v>216</v>
      </c>
      <c r="R205" s="3" t="s">
        <v>61</v>
      </c>
      <c r="S205" s="5">
        <v>566665</v>
      </c>
    </row>
    <row r="206" spans="2:19" x14ac:dyDescent="0.3">
      <c r="B206" s="4">
        <v>2020</v>
      </c>
      <c r="C206" s="4">
        <v>182</v>
      </c>
      <c r="D206" s="3" t="s">
        <v>39</v>
      </c>
      <c r="E206" s="5">
        <v>303971920</v>
      </c>
      <c r="F206" s="5">
        <v>2994648</v>
      </c>
      <c r="G206" s="5">
        <v>43399</v>
      </c>
      <c r="J206" s="4">
        <v>2020</v>
      </c>
      <c r="K206" s="4">
        <v>182</v>
      </c>
      <c r="L206" s="3" t="s">
        <v>49</v>
      </c>
      <c r="M206" s="5">
        <v>537730786</v>
      </c>
      <c r="P206" s="4">
        <v>2019</v>
      </c>
      <c r="Q206" s="4">
        <v>216</v>
      </c>
      <c r="R206" s="3" t="s">
        <v>62</v>
      </c>
      <c r="S206" s="5">
        <v>65021961</v>
      </c>
    </row>
    <row r="207" spans="2:19" x14ac:dyDescent="0.3">
      <c r="B207" s="4">
        <v>2021</v>
      </c>
      <c r="C207" s="4">
        <v>182</v>
      </c>
      <c r="D207" s="3" t="s">
        <v>30</v>
      </c>
      <c r="E207" s="5">
        <v>1022015983</v>
      </c>
      <c r="F207" s="5"/>
      <c r="G207" s="5"/>
      <c r="J207" s="4">
        <v>2020</v>
      </c>
      <c r="K207" s="4">
        <v>182</v>
      </c>
      <c r="L207" s="3" t="s">
        <v>50</v>
      </c>
      <c r="M207" s="5">
        <v>317656103</v>
      </c>
      <c r="P207" s="4">
        <v>2019</v>
      </c>
      <c r="Q207" s="4">
        <v>216</v>
      </c>
      <c r="R207" s="3" t="s">
        <v>63</v>
      </c>
      <c r="S207" s="5">
        <v>1343223427</v>
      </c>
    </row>
    <row r="208" spans="2:19" x14ac:dyDescent="0.3">
      <c r="B208" s="4">
        <v>2021</v>
      </c>
      <c r="C208" s="4">
        <v>182</v>
      </c>
      <c r="D208" s="3" t="s">
        <v>31</v>
      </c>
      <c r="E208" s="5">
        <v>117164929</v>
      </c>
      <c r="F208" s="5">
        <v>2090406</v>
      </c>
      <c r="G208" s="5">
        <v>1205</v>
      </c>
      <c r="J208" s="4">
        <v>2020</v>
      </c>
      <c r="K208" s="4">
        <v>182</v>
      </c>
      <c r="L208" s="3" t="s">
        <v>51</v>
      </c>
      <c r="M208" s="5">
        <v>136251226</v>
      </c>
      <c r="P208" s="4">
        <v>2019</v>
      </c>
      <c r="Q208" s="4">
        <v>216</v>
      </c>
      <c r="R208" s="3" t="s">
        <v>64</v>
      </c>
      <c r="S208" s="5">
        <v>774637775</v>
      </c>
    </row>
    <row r="209" spans="2:19" x14ac:dyDescent="0.3">
      <c r="B209" s="4">
        <v>2021</v>
      </c>
      <c r="C209" s="4">
        <v>182</v>
      </c>
      <c r="D209" s="3" t="s">
        <v>32</v>
      </c>
      <c r="E209" s="5">
        <v>81442327</v>
      </c>
      <c r="F209" s="5"/>
      <c r="G209" s="5"/>
      <c r="J209" s="4">
        <v>2020</v>
      </c>
      <c r="K209" s="4">
        <v>182</v>
      </c>
      <c r="L209" s="3" t="s">
        <v>53</v>
      </c>
      <c r="M209" s="5">
        <v>27916170</v>
      </c>
      <c r="P209" s="4">
        <v>2019</v>
      </c>
      <c r="Q209" s="4">
        <v>216</v>
      </c>
      <c r="R209" s="3" t="s">
        <v>65</v>
      </c>
      <c r="S209" s="5">
        <v>34045010</v>
      </c>
    </row>
    <row r="210" spans="2:19" x14ac:dyDescent="0.3">
      <c r="B210" s="4">
        <v>2021</v>
      </c>
      <c r="C210" s="4">
        <v>182</v>
      </c>
      <c r="D210" s="3" t="s">
        <v>41</v>
      </c>
      <c r="E210" s="5">
        <v>0</v>
      </c>
      <c r="F210" s="5">
        <v>0</v>
      </c>
      <c r="G210" s="5">
        <v>0</v>
      </c>
      <c r="J210" s="4">
        <v>2021</v>
      </c>
      <c r="K210" s="4">
        <v>182</v>
      </c>
      <c r="L210" s="3" t="s">
        <v>43</v>
      </c>
      <c r="M210" s="5">
        <v>113825000</v>
      </c>
      <c r="P210" s="4">
        <v>2020</v>
      </c>
      <c r="Q210" s="4">
        <v>216</v>
      </c>
      <c r="R210" s="3" t="s">
        <v>59</v>
      </c>
      <c r="S210" s="5">
        <v>7981848</v>
      </c>
    </row>
    <row r="211" spans="2:19" x14ac:dyDescent="0.3">
      <c r="B211" s="4">
        <v>2021</v>
      </c>
      <c r="C211" s="4">
        <v>182</v>
      </c>
      <c r="D211" s="3" t="s">
        <v>40</v>
      </c>
      <c r="E211" s="5">
        <v>0</v>
      </c>
      <c r="F211" s="5">
        <v>0</v>
      </c>
      <c r="G211" s="5"/>
      <c r="J211" s="4">
        <v>2021</v>
      </c>
      <c r="K211" s="4">
        <v>182</v>
      </c>
      <c r="L211" s="3" t="s">
        <v>44</v>
      </c>
      <c r="M211" s="5">
        <v>14816829</v>
      </c>
      <c r="P211" s="4">
        <v>2020</v>
      </c>
      <c r="Q211" s="4">
        <v>216</v>
      </c>
      <c r="R211" s="3" t="s">
        <v>60</v>
      </c>
      <c r="S211" s="5">
        <v>162750617</v>
      </c>
    </row>
    <row r="212" spans="2:19" x14ac:dyDescent="0.3">
      <c r="B212" s="4">
        <v>2021</v>
      </c>
      <c r="C212" s="4">
        <v>182</v>
      </c>
      <c r="D212" s="3" t="s">
        <v>33</v>
      </c>
      <c r="E212" s="5">
        <v>7472432</v>
      </c>
      <c r="F212" s="5">
        <v>17479</v>
      </c>
      <c r="G212" s="5">
        <v>666</v>
      </c>
      <c r="J212" s="4">
        <v>2021</v>
      </c>
      <c r="K212" s="4">
        <v>182</v>
      </c>
      <c r="L212" s="3" t="s">
        <v>45</v>
      </c>
      <c r="M212" s="5">
        <v>35522528</v>
      </c>
      <c r="P212" s="4">
        <v>2020</v>
      </c>
      <c r="Q212" s="4">
        <v>216</v>
      </c>
      <c r="R212" s="3" t="s">
        <v>61</v>
      </c>
      <c r="S212" s="5">
        <v>-431877</v>
      </c>
    </row>
    <row r="213" spans="2:19" x14ac:dyDescent="0.3">
      <c r="B213" s="4">
        <v>2021</v>
      </c>
      <c r="C213" s="4">
        <v>182</v>
      </c>
      <c r="D213" s="3" t="s">
        <v>34</v>
      </c>
      <c r="E213" s="5">
        <v>394716831</v>
      </c>
      <c r="F213" s="5">
        <v>3955384</v>
      </c>
      <c r="G213" s="5">
        <v>356387</v>
      </c>
      <c r="J213" s="4">
        <v>2021</v>
      </c>
      <c r="K213" s="4">
        <v>182</v>
      </c>
      <c r="L213" s="3" t="s">
        <v>46</v>
      </c>
      <c r="M213" s="5">
        <v>39390338</v>
      </c>
      <c r="P213" s="4">
        <v>2020</v>
      </c>
      <c r="Q213" s="4">
        <v>216</v>
      </c>
      <c r="R213" s="3" t="s">
        <v>62</v>
      </c>
      <c r="S213" s="5">
        <v>58598841</v>
      </c>
    </row>
    <row r="214" spans="2:19" x14ac:dyDescent="0.3">
      <c r="B214" s="4">
        <v>2021</v>
      </c>
      <c r="C214" s="4">
        <v>182</v>
      </c>
      <c r="D214" s="3" t="s">
        <v>35</v>
      </c>
      <c r="E214" s="5">
        <v>940573656</v>
      </c>
      <c r="F214" s="5">
        <v>11754136</v>
      </c>
      <c r="G214" s="5">
        <v>402518</v>
      </c>
      <c r="J214" s="4">
        <v>2021</v>
      </c>
      <c r="K214" s="4">
        <v>182</v>
      </c>
      <c r="L214" s="3" t="s">
        <v>47</v>
      </c>
      <c r="M214" s="5">
        <v>97277819</v>
      </c>
      <c r="P214" s="4">
        <v>2020</v>
      </c>
      <c r="Q214" s="4">
        <v>216</v>
      </c>
      <c r="R214" s="3" t="s">
        <v>63</v>
      </c>
      <c r="S214" s="5">
        <v>1347383706</v>
      </c>
    </row>
    <row r="215" spans="2:19" x14ac:dyDescent="0.3">
      <c r="B215" s="4">
        <v>2021</v>
      </c>
      <c r="C215" s="4">
        <v>182</v>
      </c>
      <c r="D215" s="3" t="s">
        <v>36</v>
      </c>
      <c r="E215" s="5">
        <v>93585801</v>
      </c>
      <c r="F215" s="5">
        <v>2519288</v>
      </c>
      <c r="G215" s="5"/>
      <c r="J215" s="4">
        <v>2021</v>
      </c>
      <c r="K215" s="4">
        <v>182</v>
      </c>
      <c r="L215" s="3" t="s">
        <v>48</v>
      </c>
      <c r="M215" s="5">
        <v>34555011</v>
      </c>
      <c r="P215" s="4">
        <v>2020</v>
      </c>
      <c r="Q215" s="4">
        <v>216</v>
      </c>
      <c r="R215" s="3" t="s">
        <v>64</v>
      </c>
      <c r="S215" s="5">
        <v>771917303</v>
      </c>
    </row>
    <row r="216" spans="2:19" x14ac:dyDescent="0.3">
      <c r="B216" s="4">
        <v>2021</v>
      </c>
      <c r="C216" s="4">
        <v>182</v>
      </c>
      <c r="D216" s="3" t="s">
        <v>37</v>
      </c>
      <c r="E216" s="5">
        <v>940573656</v>
      </c>
      <c r="F216" s="5">
        <v>11754136</v>
      </c>
      <c r="G216" s="5">
        <v>402518</v>
      </c>
      <c r="J216" s="4">
        <v>2021</v>
      </c>
      <c r="K216" s="4">
        <v>182</v>
      </c>
      <c r="L216" s="3" t="s">
        <v>55</v>
      </c>
      <c r="M216" s="5">
        <v>0</v>
      </c>
      <c r="P216" s="4">
        <v>2020</v>
      </c>
      <c r="Q216" s="4">
        <v>216</v>
      </c>
      <c r="R216" s="3" t="s">
        <v>65</v>
      </c>
      <c r="S216" s="5">
        <v>33047693</v>
      </c>
    </row>
    <row r="217" spans="2:19" x14ac:dyDescent="0.3">
      <c r="B217" s="4">
        <v>2021</v>
      </c>
      <c r="C217" s="4">
        <v>182</v>
      </c>
      <c r="D217" s="3" t="s">
        <v>38</v>
      </c>
      <c r="E217" s="5">
        <v>846987855</v>
      </c>
      <c r="F217" s="5">
        <v>9234848</v>
      </c>
      <c r="G217" s="5">
        <v>402518</v>
      </c>
      <c r="J217" s="4">
        <v>2021</v>
      </c>
      <c r="K217" s="4">
        <v>182</v>
      </c>
      <c r="L217" s="3" t="s">
        <v>49</v>
      </c>
      <c r="M217" s="5">
        <v>621773174</v>
      </c>
      <c r="P217" s="4">
        <v>2021</v>
      </c>
      <c r="Q217" s="4">
        <v>216</v>
      </c>
      <c r="R217" s="3" t="s">
        <v>59</v>
      </c>
      <c r="S217" s="5">
        <v>8739017</v>
      </c>
    </row>
    <row r="218" spans="2:19" x14ac:dyDescent="0.3">
      <c r="B218" s="4">
        <v>2021</v>
      </c>
      <c r="C218" s="4">
        <v>182</v>
      </c>
      <c r="D218" s="3" t="s">
        <v>39</v>
      </c>
      <c r="E218" s="5">
        <v>326172980</v>
      </c>
      <c r="F218" s="5">
        <v>3157795</v>
      </c>
      <c r="G218" s="5">
        <v>44110</v>
      </c>
      <c r="J218" s="4">
        <v>2021</v>
      </c>
      <c r="K218" s="4">
        <v>182</v>
      </c>
      <c r="L218" s="3" t="s">
        <v>50</v>
      </c>
      <c r="M218" s="5">
        <v>387039550</v>
      </c>
      <c r="P218" s="4">
        <v>2021</v>
      </c>
      <c r="Q218" s="4">
        <v>216</v>
      </c>
      <c r="R218" s="3" t="s">
        <v>60</v>
      </c>
      <c r="S218" s="5">
        <v>165446697</v>
      </c>
    </row>
    <row r="219" spans="2:19" x14ac:dyDescent="0.3">
      <c r="B219" s="4">
        <v>2022</v>
      </c>
      <c r="C219" s="4">
        <v>182</v>
      </c>
      <c r="D219" s="3" t="s">
        <v>30</v>
      </c>
      <c r="E219" s="5">
        <v>1167462735</v>
      </c>
      <c r="F219" s="5"/>
      <c r="G219" s="5"/>
      <c r="J219" s="4">
        <v>2021</v>
      </c>
      <c r="K219" s="4">
        <v>182</v>
      </c>
      <c r="L219" s="3" t="s">
        <v>54</v>
      </c>
      <c r="M219" s="5">
        <v>-3938836</v>
      </c>
      <c r="P219" s="4">
        <v>2021</v>
      </c>
      <c r="Q219" s="4">
        <v>216</v>
      </c>
      <c r="R219" s="3" t="s">
        <v>61</v>
      </c>
      <c r="S219" s="5">
        <v>0</v>
      </c>
    </row>
    <row r="220" spans="2:19" x14ac:dyDescent="0.3">
      <c r="B220" s="4">
        <v>2022</v>
      </c>
      <c r="C220" s="4">
        <v>182</v>
      </c>
      <c r="D220" s="3" t="s">
        <v>31</v>
      </c>
      <c r="E220" s="5">
        <v>118350840</v>
      </c>
      <c r="F220" s="5">
        <v>2131895</v>
      </c>
      <c r="G220" s="5">
        <v>1194</v>
      </c>
      <c r="J220" s="4">
        <v>2021</v>
      </c>
      <c r="K220" s="4">
        <v>182</v>
      </c>
      <c r="L220" s="3" t="s">
        <v>51</v>
      </c>
      <c r="M220" s="5">
        <v>160339875</v>
      </c>
      <c r="P220" s="4">
        <v>2021</v>
      </c>
      <c r="Q220" s="4">
        <v>216</v>
      </c>
      <c r="R220" s="3" t="s">
        <v>62</v>
      </c>
      <c r="S220" s="5">
        <v>66854588</v>
      </c>
    </row>
    <row r="221" spans="2:19" x14ac:dyDescent="0.3">
      <c r="B221" s="4">
        <v>2022</v>
      </c>
      <c r="C221" s="4">
        <v>182</v>
      </c>
      <c r="D221" s="3" t="s">
        <v>32</v>
      </c>
      <c r="E221" s="5">
        <v>102337648</v>
      </c>
      <c r="F221" s="5"/>
      <c r="G221" s="5"/>
      <c r="J221" s="4">
        <v>2021</v>
      </c>
      <c r="K221" s="4">
        <v>182</v>
      </c>
      <c r="L221" s="3" t="s">
        <v>52</v>
      </c>
      <c r="M221" s="5">
        <v>131462</v>
      </c>
      <c r="P221" s="4">
        <v>2021</v>
      </c>
      <c r="Q221" s="4">
        <v>216</v>
      </c>
      <c r="R221" s="3" t="s">
        <v>63</v>
      </c>
      <c r="S221" s="5">
        <v>1456168287</v>
      </c>
    </row>
    <row r="222" spans="2:19" x14ac:dyDescent="0.3">
      <c r="B222" s="4">
        <v>2022</v>
      </c>
      <c r="C222" s="4">
        <v>182</v>
      </c>
      <c r="D222" s="3" t="s">
        <v>41</v>
      </c>
      <c r="E222" s="5">
        <v>0</v>
      </c>
      <c r="F222" s="5">
        <v>0</v>
      </c>
      <c r="G222" s="5">
        <v>0</v>
      </c>
      <c r="J222" s="4">
        <v>2021</v>
      </c>
      <c r="K222" s="4">
        <v>182</v>
      </c>
      <c r="L222" s="3" t="s">
        <v>53</v>
      </c>
      <c r="M222" s="5">
        <v>31047467</v>
      </c>
      <c r="P222" s="4">
        <v>2021</v>
      </c>
      <c r="Q222" s="4">
        <v>216</v>
      </c>
      <c r="R222" s="3" t="s">
        <v>64</v>
      </c>
      <c r="S222" s="5">
        <v>850660604</v>
      </c>
    </row>
    <row r="223" spans="2:19" x14ac:dyDescent="0.3">
      <c r="B223" s="4">
        <v>2022</v>
      </c>
      <c r="C223" s="4">
        <v>182</v>
      </c>
      <c r="D223" s="3" t="s">
        <v>40</v>
      </c>
      <c r="E223" s="5">
        <v>347000</v>
      </c>
      <c r="F223" s="5">
        <v>0</v>
      </c>
      <c r="G223" s="5"/>
      <c r="J223" s="4">
        <v>2022</v>
      </c>
      <c r="K223" s="4">
        <v>182</v>
      </c>
      <c r="L223" s="3" t="s">
        <v>43</v>
      </c>
      <c r="M223" s="5">
        <v>128535008</v>
      </c>
      <c r="P223" s="4">
        <v>2021</v>
      </c>
      <c r="Q223" s="4">
        <v>216</v>
      </c>
      <c r="R223" s="3" t="s">
        <v>65</v>
      </c>
      <c r="S223" s="5">
        <v>30947260</v>
      </c>
    </row>
    <row r="224" spans="2:19" x14ac:dyDescent="0.3">
      <c r="B224" s="4">
        <v>2022</v>
      </c>
      <c r="C224" s="4">
        <v>182</v>
      </c>
      <c r="D224" s="3" t="s">
        <v>33</v>
      </c>
      <c r="E224" s="5">
        <v>7483091</v>
      </c>
      <c r="F224" s="5">
        <v>16795</v>
      </c>
      <c r="G224" s="5">
        <v>681</v>
      </c>
      <c r="J224" s="4">
        <v>2022</v>
      </c>
      <c r="K224" s="4">
        <v>182</v>
      </c>
      <c r="L224" s="3" t="s">
        <v>44</v>
      </c>
      <c r="M224" s="5">
        <v>9255381</v>
      </c>
      <c r="P224" s="4">
        <v>2022</v>
      </c>
      <c r="Q224" s="4">
        <v>216</v>
      </c>
      <c r="R224" s="3" t="s">
        <v>59</v>
      </c>
      <c r="S224" s="5">
        <v>5251912</v>
      </c>
    </row>
    <row r="225" spans="2:19" x14ac:dyDescent="0.3">
      <c r="B225" s="4">
        <v>2022</v>
      </c>
      <c r="C225" s="4">
        <v>182</v>
      </c>
      <c r="D225" s="3" t="s">
        <v>34</v>
      </c>
      <c r="E225" s="5">
        <v>414822725</v>
      </c>
      <c r="F225" s="5">
        <v>4153697</v>
      </c>
      <c r="G225" s="5">
        <v>361606</v>
      </c>
      <c r="J225" s="4">
        <v>2022</v>
      </c>
      <c r="K225" s="4">
        <v>182</v>
      </c>
      <c r="L225" s="3" t="s">
        <v>45</v>
      </c>
      <c r="M225" s="5">
        <v>34244623</v>
      </c>
      <c r="P225" s="4">
        <v>2022</v>
      </c>
      <c r="Q225" s="4">
        <v>216</v>
      </c>
      <c r="R225" s="3" t="s">
        <v>60</v>
      </c>
      <c r="S225" s="5">
        <v>162962070</v>
      </c>
    </row>
    <row r="226" spans="2:19" x14ac:dyDescent="0.3">
      <c r="B226" s="4">
        <v>2022</v>
      </c>
      <c r="C226" s="4">
        <v>182</v>
      </c>
      <c r="D226" s="3" t="s">
        <v>35</v>
      </c>
      <c r="E226" s="5">
        <v>1065125087</v>
      </c>
      <c r="F226" s="5">
        <v>12662176</v>
      </c>
      <c r="G226" s="5">
        <v>408216</v>
      </c>
      <c r="J226" s="4">
        <v>2022</v>
      </c>
      <c r="K226" s="4">
        <v>182</v>
      </c>
      <c r="L226" s="3" t="s">
        <v>46</v>
      </c>
      <c r="M226" s="5">
        <v>52610974</v>
      </c>
      <c r="P226" s="4">
        <v>2022</v>
      </c>
      <c r="Q226" s="4">
        <v>216</v>
      </c>
      <c r="R226" s="3" t="s">
        <v>62</v>
      </c>
      <c r="S226" s="5">
        <v>81802969</v>
      </c>
    </row>
    <row r="227" spans="2:19" x14ac:dyDescent="0.3">
      <c r="B227" s="4">
        <v>2022</v>
      </c>
      <c r="C227" s="4">
        <v>182</v>
      </c>
      <c r="D227" s="3" t="s">
        <v>36</v>
      </c>
      <c r="E227" s="5">
        <v>184587443</v>
      </c>
      <c r="F227" s="5">
        <v>3144486</v>
      </c>
      <c r="G227" s="5"/>
      <c r="J227" s="4">
        <v>2022</v>
      </c>
      <c r="K227" s="4">
        <v>182</v>
      </c>
      <c r="L227" s="3" t="s">
        <v>47</v>
      </c>
      <c r="M227" s="5">
        <v>171864307</v>
      </c>
      <c r="P227" s="4">
        <v>2022</v>
      </c>
      <c r="Q227" s="4">
        <v>216</v>
      </c>
      <c r="R227" s="3" t="s">
        <v>63</v>
      </c>
      <c r="S227" s="5">
        <v>1642534019</v>
      </c>
    </row>
    <row r="228" spans="2:19" x14ac:dyDescent="0.3">
      <c r="B228" s="4">
        <v>2022</v>
      </c>
      <c r="C228" s="4">
        <v>182</v>
      </c>
      <c r="D228" s="3" t="s">
        <v>37</v>
      </c>
      <c r="E228" s="5">
        <v>1065472087</v>
      </c>
      <c r="F228" s="5">
        <v>12662176</v>
      </c>
      <c r="G228" s="5">
        <v>408216</v>
      </c>
      <c r="J228" s="4">
        <v>2022</v>
      </c>
      <c r="K228" s="4">
        <v>182</v>
      </c>
      <c r="L228" s="3" t="s">
        <v>48</v>
      </c>
      <c r="M228" s="5">
        <v>41707542</v>
      </c>
      <c r="P228" s="4">
        <v>2022</v>
      </c>
      <c r="Q228" s="4">
        <v>216</v>
      </c>
      <c r="R228" s="3" t="s">
        <v>64</v>
      </c>
      <c r="S228" s="5">
        <v>1021238677</v>
      </c>
    </row>
    <row r="229" spans="2:19" x14ac:dyDescent="0.3">
      <c r="B229" s="4">
        <v>2022</v>
      </c>
      <c r="C229" s="4">
        <v>182</v>
      </c>
      <c r="D229" s="3" t="s">
        <v>38</v>
      </c>
      <c r="E229" s="5">
        <v>880884644</v>
      </c>
      <c r="F229" s="5">
        <v>9517690</v>
      </c>
      <c r="G229" s="5">
        <v>408216</v>
      </c>
      <c r="J229" s="4">
        <v>2022</v>
      </c>
      <c r="K229" s="4">
        <v>182</v>
      </c>
      <c r="L229" s="3" t="s">
        <v>55</v>
      </c>
      <c r="M229" s="5">
        <v>0</v>
      </c>
      <c r="P229" s="4">
        <v>2022</v>
      </c>
      <c r="Q229" s="4">
        <v>216</v>
      </c>
      <c r="R229" s="3" t="s">
        <v>65</v>
      </c>
      <c r="S229" s="5">
        <v>28701677</v>
      </c>
    </row>
    <row r="230" spans="2:19" x14ac:dyDescent="0.3">
      <c r="B230" s="4">
        <v>2022</v>
      </c>
      <c r="C230" s="4">
        <v>182</v>
      </c>
      <c r="D230" s="3" t="s">
        <v>39</v>
      </c>
      <c r="E230" s="5">
        <v>338656420</v>
      </c>
      <c r="F230" s="5">
        <v>3200915</v>
      </c>
      <c r="G230" s="5">
        <v>44578</v>
      </c>
      <c r="J230" s="4">
        <v>2022</v>
      </c>
      <c r="K230" s="4">
        <v>182</v>
      </c>
      <c r="L230" s="3" t="s">
        <v>49</v>
      </c>
      <c r="M230" s="5">
        <v>776655822</v>
      </c>
      <c r="P230" s="4">
        <v>2023</v>
      </c>
      <c r="Q230" s="4">
        <v>216</v>
      </c>
      <c r="R230" s="3" t="s">
        <v>59</v>
      </c>
      <c r="S230" s="5">
        <v>6193955</v>
      </c>
    </row>
    <row r="231" spans="2:19" x14ac:dyDescent="0.3">
      <c r="B231" s="4">
        <v>2023</v>
      </c>
      <c r="C231" s="4">
        <v>182</v>
      </c>
      <c r="D231" s="3" t="s">
        <v>30</v>
      </c>
      <c r="E231" s="5">
        <v>1193674365</v>
      </c>
      <c r="F231" s="5"/>
      <c r="G231" s="5"/>
      <c r="J231" s="4">
        <v>2022</v>
      </c>
      <c r="K231" s="4">
        <v>182</v>
      </c>
      <c r="L231" s="3" t="s">
        <v>50</v>
      </c>
      <c r="M231" s="5">
        <v>516322171</v>
      </c>
      <c r="P231" s="4">
        <v>2023</v>
      </c>
      <c r="Q231" s="4">
        <v>216</v>
      </c>
      <c r="R231" s="3" t="s">
        <v>60</v>
      </c>
      <c r="S231" s="5">
        <v>188144343</v>
      </c>
    </row>
    <row r="232" spans="2:19" x14ac:dyDescent="0.3">
      <c r="B232" s="4">
        <v>2023</v>
      </c>
      <c r="C232" s="4">
        <v>182</v>
      </c>
      <c r="D232" s="3" t="s">
        <v>31</v>
      </c>
      <c r="E232" s="5">
        <v>120123256</v>
      </c>
      <c r="F232" s="5">
        <v>2096554</v>
      </c>
      <c r="G232" s="5">
        <v>1188</v>
      </c>
      <c r="J232" s="4">
        <v>2022</v>
      </c>
      <c r="K232" s="4">
        <v>182</v>
      </c>
      <c r="L232" s="3" t="s">
        <v>54</v>
      </c>
      <c r="M232" s="5">
        <v>252740</v>
      </c>
      <c r="P232" s="4">
        <v>2023</v>
      </c>
      <c r="Q232" s="4">
        <v>216</v>
      </c>
      <c r="R232" s="3" t="s">
        <v>62</v>
      </c>
      <c r="S232" s="5">
        <v>74644805</v>
      </c>
    </row>
    <row r="233" spans="2:19" x14ac:dyDescent="0.3">
      <c r="B233" s="4">
        <v>2023</v>
      </c>
      <c r="C233" s="4">
        <v>182</v>
      </c>
      <c r="D233" s="3" t="s">
        <v>32</v>
      </c>
      <c r="E233" s="5">
        <v>41529489</v>
      </c>
      <c r="F233" s="5"/>
      <c r="G233" s="5"/>
      <c r="J233" s="4">
        <v>2022</v>
      </c>
      <c r="K233" s="4">
        <v>182</v>
      </c>
      <c r="L233" s="3" t="s">
        <v>51</v>
      </c>
      <c r="M233" s="5">
        <v>191412443</v>
      </c>
      <c r="P233" s="4">
        <v>2023</v>
      </c>
      <c r="Q233" s="4">
        <v>216</v>
      </c>
      <c r="R233" s="3" t="s">
        <v>63</v>
      </c>
      <c r="S233" s="5">
        <v>1763488760</v>
      </c>
    </row>
    <row r="234" spans="2:19" x14ac:dyDescent="0.3">
      <c r="B234" s="4">
        <v>2023</v>
      </c>
      <c r="C234" s="4">
        <v>182</v>
      </c>
      <c r="D234" s="3" t="s">
        <v>41</v>
      </c>
      <c r="E234" s="5">
        <v>0</v>
      </c>
      <c r="F234" s="5">
        <v>0</v>
      </c>
      <c r="G234" s="5">
        <v>0</v>
      </c>
      <c r="J234" s="4">
        <v>2022</v>
      </c>
      <c r="K234" s="4">
        <v>182</v>
      </c>
      <c r="L234" s="3" t="s">
        <v>52</v>
      </c>
      <c r="M234" s="5">
        <v>108681</v>
      </c>
      <c r="P234" s="4">
        <v>2023</v>
      </c>
      <c r="Q234" s="4">
        <v>216</v>
      </c>
      <c r="R234" s="3" t="s">
        <v>64</v>
      </c>
      <c r="S234" s="5">
        <v>1134994194</v>
      </c>
    </row>
    <row r="235" spans="2:19" x14ac:dyDescent="0.3">
      <c r="B235" s="4">
        <v>2023</v>
      </c>
      <c r="C235" s="4">
        <v>182</v>
      </c>
      <c r="D235" s="3" t="s">
        <v>40</v>
      </c>
      <c r="E235" s="5">
        <v>0</v>
      </c>
      <c r="F235" s="5">
        <v>0</v>
      </c>
      <c r="G235" s="5"/>
      <c r="J235" s="4">
        <v>2022</v>
      </c>
      <c r="K235" s="4">
        <v>182</v>
      </c>
      <c r="L235" s="3" t="s">
        <v>53</v>
      </c>
      <c r="M235" s="5">
        <v>35578984</v>
      </c>
      <c r="P235" s="4">
        <v>2023</v>
      </c>
      <c r="Q235" s="4">
        <v>216</v>
      </c>
      <c r="R235" s="3" t="s">
        <v>65</v>
      </c>
      <c r="S235" s="5">
        <v>25081924</v>
      </c>
    </row>
    <row r="236" spans="2:19" x14ac:dyDescent="0.3">
      <c r="B236" s="4">
        <v>2023</v>
      </c>
      <c r="C236" s="4">
        <v>182</v>
      </c>
      <c r="D236" s="3" t="s">
        <v>33</v>
      </c>
      <c r="E236" s="5">
        <v>7975679</v>
      </c>
      <c r="F236" s="5">
        <v>16839</v>
      </c>
      <c r="G236" s="5">
        <v>690</v>
      </c>
      <c r="J236" s="4">
        <v>2023</v>
      </c>
      <c r="K236" s="4">
        <v>182</v>
      </c>
      <c r="L236" s="3" t="s">
        <v>43</v>
      </c>
      <c r="M236" s="5">
        <v>122527420</v>
      </c>
      <c r="P236" s="4">
        <v>2024</v>
      </c>
      <c r="Q236" s="4">
        <v>216</v>
      </c>
      <c r="R236" s="3" t="s">
        <v>59</v>
      </c>
      <c r="S236" s="5">
        <v>7601772</v>
      </c>
    </row>
    <row r="237" spans="2:19" x14ac:dyDescent="0.3">
      <c r="B237" s="4">
        <v>2023</v>
      </c>
      <c r="C237" s="4">
        <v>182</v>
      </c>
      <c r="D237" s="3" t="s">
        <v>34</v>
      </c>
      <c r="E237" s="5">
        <v>425258195</v>
      </c>
      <c r="F237" s="5">
        <v>4020329</v>
      </c>
      <c r="G237" s="5">
        <v>366450</v>
      </c>
      <c r="J237" s="4">
        <v>2023</v>
      </c>
      <c r="K237" s="4">
        <v>182</v>
      </c>
      <c r="L237" s="3" t="s">
        <v>44</v>
      </c>
      <c r="M237" s="5">
        <v>14623341</v>
      </c>
      <c r="P237" s="4">
        <v>2024</v>
      </c>
      <c r="Q237" s="4">
        <v>216</v>
      </c>
      <c r="R237" s="3" t="s">
        <v>60</v>
      </c>
      <c r="S237" s="5">
        <v>214756943</v>
      </c>
    </row>
    <row r="238" spans="2:19" x14ac:dyDescent="0.3">
      <c r="B238" s="4">
        <v>2023</v>
      </c>
      <c r="C238" s="4">
        <v>182</v>
      </c>
      <c r="D238" s="3" t="s">
        <v>35</v>
      </c>
      <c r="E238" s="5">
        <v>1152144876</v>
      </c>
      <c r="F238" s="5">
        <v>12829360</v>
      </c>
      <c r="G238" s="5">
        <v>413831</v>
      </c>
      <c r="J238" s="4">
        <v>2023</v>
      </c>
      <c r="K238" s="4">
        <v>182</v>
      </c>
      <c r="L238" s="3" t="s">
        <v>45</v>
      </c>
      <c r="M238" s="5">
        <v>32966021</v>
      </c>
      <c r="P238" s="4">
        <v>2024</v>
      </c>
      <c r="Q238" s="4">
        <v>216</v>
      </c>
      <c r="R238" s="3" t="s">
        <v>62</v>
      </c>
      <c r="S238" s="5">
        <v>95470150</v>
      </c>
    </row>
    <row r="239" spans="2:19" x14ac:dyDescent="0.3">
      <c r="B239" s="4">
        <v>2023</v>
      </c>
      <c r="C239" s="4">
        <v>182</v>
      </c>
      <c r="D239" s="3" t="s">
        <v>36</v>
      </c>
      <c r="E239" s="5">
        <v>253658001</v>
      </c>
      <c r="F239" s="5">
        <v>3521491</v>
      </c>
      <c r="G239" s="5"/>
      <c r="J239" s="4">
        <v>2023</v>
      </c>
      <c r="K239" s="4">
        <v>182</v>
      </c>
      <c r="L239" s="3" t="s">
        <v>46</v>
      </c>
      <c r="M239" s="5">
        <v>56024786</v>
      </c>
      <c r="P239" s="4">
        <v>2024</v>
      </c>
      <c r="Q239" s="4">
        <v>216</v>
      </c>
      <c r="R239" s="3" t="s">
        <v>63</v>
      </c>
      <c r="S239" s="5">
        <v>1818832846</v>
      </c>
    </row>
    <row r="240" spans="2:19" x14ac:dyDescent="0.3">
      <c r="B240" s="4">
        <v>2023</v>
      </c>
      <c r="C240" s="4">
        <v>182</v>
      </c>
      <c r="D240" s="3" t="s">
        <v>37</v>
      </c>
      <c r="E240" s="5">
        <v>1152144876</v>
      </c>
      <c r="F240" s="5">
        <v>12829360</v>
      </c>
      <c r="G240" s="5">
        <v>413831</v>
      </c>
      <c r="J240" s="4">
        <v>2023</v>
      </c>
      <c r="K240" s="4">
        <v>182</v>
      </c>
      <c r="L240" s="3" t="s">
        <v>47</v>
      </c>
      <c r="M240" s="5">
        <v>116227146</v>
      </c>
      <c r="P240" s="4">
        <v>2024</v>
      </c>
      <c r="Q240" s="4">
        <v>216</v>
      </c>
      <c r="R240" s="3" t="s">
        <v>64</v>
      </c>
      <c r="S240" s="5">
        <v>1158395810</v>
      </c>
    </row>
    <row r="241" spans="2:19" x14ac:dyDescent="0.3">
      <c r="B241" s="4">
        <v>2023</v>
      </c>
      <c r="C241" s="4">
        <v>182</v>
      </c>
      <c r="D241" s="3" t="s">
        <v>38</v>
      </c>
      <c r="E241" s="5">
        <v>898486875</v>
      </c>
      <c r="F241" s="5">
        <v>9307869</v>
      </c>
      <c r="G241" s="5">
        <v>413831</v>
      </c>
      <c r="J241" s="4">
        <v>2023</v>
      </c>
      <c r="K241" s="4">
        <v>182</v>
      </c>
      <c r="L241" s="3" t="s">
        <v>48</v>
      </c>
      <c r="M241" s="5">
        <v>46052299</v>
      </c>
      <c r="P241" s="4">
        <v>2024</v>
      </c>
      <c r="Q241" s="4">
        <v>216</v>
      </c>
      <c r="R241" s="3" t="s">
        <v>65</v>
      </c>
      <c r="S241" s="5">
        <v>16155738</v>
      </c>
    </row>
    <row r="242" spans="2:19" x14ac:dyDescent="0.3">
      <c r="B242" s="4">
        <v>2023</v>
      </c>
      <c r="C242" s="4">
        <v>182</v>
      </c>
      <c r="D242" s="3" t="s">
        <v>39</v>
      </c>
      <c r="E242" s="5">
        <v>343522797</v>
      </c>
      <c r="F242" s="5">
        <v>3159672</v>
      </c>
      <c r="G242" s="5">
        <v>45341</v>
      </c>
      <c r="J242" s="4">
        <v>2023</v>
      </c>
      <c r="K242" s="4">
        <v>182</v>
      </c>
      <c r="L242" s="3" t="s">
        <v>55</v>
      </c>
      <c r="M242" s="5">
        <v>0</v>
      </c>
      <c r="P242" s="4">
        <v>2025</v>
      </c>
      <c r="Q242" s="4">
        <v>216</v>
      </c>
      <c r="R242" s="3" t="s">
        <v>59</v>
      </c>
      <c r="S242" s="5">
        <v>11307993</v>
      </c>
    </row>
    <row r="243" spans="2:19" x14ac:dyDescent="0.3">
      <c r="B243" s="4">
        <v>2024</v>
      </c>
      <c r="C243" s="4">
        <v>182</v>
      </c>
      <c r="D243" s="3" t="s">
        <v>30</v>
      </c>
      <c r="E243" s="5">
        <v>1326892156</v>
      </c>
      <c r="F243" s="5"/>
      <c r="G243" s="5"/>
      <c r="J243" s="4">
        <v>2023</v>
      </c>
      <c r="K243" s="4">
        <v>182</v>
      </c>
      <c r="L243" s="3" t="s">
        <v>49</v>
      </c>
      <c r="M243" s="5">
        <v>745474225</v>
      </c>
      <c r="P243" s="4">
        <v>2025</v>
      </c>
      <c r="Q243" s="4">
        <v>216</v>
      </c>
      <c r="R243" s="3" t="s">
        <v>60</v>
      </c>
      <c r="S243" s="5">
        <v>235309143</v>
      </c>
    </row>
    <row r="244" spans="2:19" x14ac:dyDescent="0.3">
      <c r="B244" s="4">
        <v>2024</v>
      </c>
      <c r="C244" s="4">
        <v>182</v>
      </c>
      <c r="D244" s="3" t="s">
        <v>31</v>
      </c>
      <c r="E244" s="5">
        <v>145879427</v>
      </c>
      <c r="F244" s="5">
        <v>2195428</v>
      </c>
      <c r="G244" s="5">
        <v>1175</v>
      </c>
      <c r="J244" s="4">
        <v>2023</v>
      </c>
      <c r="K244" s="4">
        <v>182</v>
      </c>
      <c r="L244" s="3" t="s">
        <v>50</v>
      </c>
      <c r="M244" s="5">
        <v>485623393</v>
      </c>
      <c r="P244" s="4">
        <v>2025</v>
      </c>
      <c r="Q244" s="4">
        <v>216</v>
      </c>
      <c r="R244" s="3" t="s">
        <v>62</v>
      </c>
      <c r="S244" s="5">
        <v>138206602</v>
      </c>
    </row>
    <row r="245" spans="2:19" x14ac:dyDescent="0.3">
      <c r="B245" s="4">
        <v>2024</v>
      </c>
      <c r="C245" s="4">
        <v>182</v>
      </c>
      <c r="D245" s="3" t="s">
        <v>32</v>
      </c>
      <c r="E245" s="5">
        <v>96558980</v>
      </c>
      <c r="F245" s="5"/>
      <c r="G245" s="5"/>
      <c r="J245" s="4">
        <v>2023</v>
      </c>
      <c r="K245" s="4">
        <v>182</v>
      </c>
      <c r="L245" s="3" t="s">
        <v>54</v>
      </c>
      <c r="M245" s="5">
        <v>7132090</v>
      </c>
      <c r="P245" s="4">
        <v>2025</v>
      </c>
      <c r="Q245" s="4">
        <v>216</v>
      </c>
      <c r="R245" s="3" t="s">
        <v>63</v>
      </c>
      <c r="S245" s="5">
        <v>1804403419</v>
      </c>
    </row>
    <row r="246" spans="2:19" x14ac:dyDescent="0.3">
      <c r="B246" s="4">
        <v>2024</v>
      </c>
      <c r="C246" s="4">
        <v>182</v>
      </c>
      <c r="D246" s="3" t="s">
        <v>41</v>
      </c>
      <c r="E246" s="5">
        <v>0</v>
      </c>
      <c r="F246" s="5">
        <v>0</v>
      </c>
      <c r="G246" s="5">
        <v>0</v>
      </c>
      <c r="J246" s="4">
        <v>2023</v>
      </c>
      <c r="K246" s="4">
        <v>182</v>
      </c>
      <c r="L246" s="3" t="s">
        <v>51</v>
      </c>
      <c r="M246" s="5">
        <v>209295625</v>
      </c>
      <c r="P246" s="4">
        <v>2025</v>
      </c>
      <c r="Q246" s="4">
        <v>216</v>
      </c>
      <c r="R246" s="3" t="s">
        <v>64</v>
      </c>
      <c r="S246" s="5">
        <v>1034605871</v>
      </c>
    </row>
    <row r="247" spans="2:19" x14ac:dyDescent="0.3">
      <c r="B247" s="4">
        <v>2024</v>
      </c>
      <c r="C247" s="4">
        <v>182</v>
      </c>
      <c r="D247" s="3" t="s">
        <v>40</v>
      </c>
      <c r="E247" s="5">
        <v>0</v>
      </c>
      <c r="F247" s="5">
        <v>0</v>
      </c>
      <c r="G247" s="5"/>
      <c r="J247" s="4">
        <v>2023</v>
      </c>
      <c r="K247" s="4">
        <v>182</v>
      </c>
      <c r="L247" s="3" t="s">
        <v>52</v>
      </c>
      <c r="M247" s="5">
        <v>43646</v>
      </c>
      <c r="P247" s="4">
        <v>2025</v>
      </c>
      <c r="Q247" s="4">
        <v>216</v>
      </c>
      <c r="R247" s="3" t="s">
        <v>65</v>
      </c>
      <c r="S247" s="5">
        <v>28389737</v>
      </c>
    </row>
    <row r="248" spans="2:19" x14ac:dyDescent="0.3">
      <c r="B248" s="4">
        <v>2024</v>
      </c>
      <c r="C248" s="4">
        <v>182</v>
      </c>
      <c r="D248" s="3" t="s">
        <v>33</v>
      </c>
      <c r="E248" s="5">
        <v>8819256</v>
      </c>
      <c r="F248" s="5">
        <v>16978</v>
      </c>
      <c r="G248" s="5">
        <v>739</v>
      </c>
      <c r="J248" s="4">
        <v>2023</v>
      </c>
      <c r="K248" s="4">
        <v>182</v>
      </c>
      <c r="L248" s="3" t="s">
        <v>53</v>
      </c>
      <c r="M248" s="5">
        <v>33665618</v>
      </c>
      <c r="P248" s="4">
        <v>2014</v>
      </c>
      <c r="Q248" s="4">
        <v>250</v>
      </c>
      <c r="R248" s="3" t="s">
        <v>59</v>
      </c>
      <c r="S248" s="5">
        <v>25400209</v>
      </c>
    </row>
    <row r="249" spans="2:19" x14ac:dyDescent="0.3">
      <c r="B249" s="4">
        <v>2024</v>
      </c>
      <c r="C249" s="4">
        <v>182</v>
      </c>
      <c r="D249" s="3" t="s">
        <v>34</v>
      </c>
      <c r="E249" s="5">
        <v>473446187</v>
      </c>
      <c r="F249" s="5">
        <v>4017618</v>
      </c>
      <c r="G249" s="5">
        <v>371076</v>
      </c>
      <c r="J249" s="4">
        <v>2024</v>
      </c>
      <c r="K249" s="4">
        <v>182</v>
      </c>
      <c r="L249" s="3" t="s">
        <v>43</v>
      </c>
      <c r="M249" s="5">
        <v>138553656</v>
      </c>
      <c r="P249" s="4">
        <v>2014</v>
      </c>
      <c r="Q249" s="4">
        <v>250</v>
      </c>
      <c r="R249" s="3" t="s">
        <v>60</v>
      </c>
      <c r="S249" s="5">
        <v>241730943</v>
      </c>
    </row>
    <row r="250" spans="2:19" x14ac:dyDescent="0.3">
      <c r="B250" s="4">
        <v>2024</v>
      </c>
      <c r="C250" s="4">
        <v>182</v>
      </c>
      <c r="D250" s="3" t="s">
        <v>35</v>
      </c>
      <c r="E250" s="5">
        <v>1230333176</v>
      </c>
      <c r="F250" s="5">
        <v>13201444</v>
      </c>
      <c r="G250" s="5">
        <v>418963</v>
      </c>
      <c r="J250" s="4">
        <v>2024</v>
      </c>
      <c r="K250" s="4">
        <v>182</v>
      </c>
      <c r="L250" s="3" t="s">
        <v>44</v>
      </c>
      <c r="M250" s="5">
        <v>15771981</v>
      </c>
      <c r="P250" s="4">
        <v>2014</v>
      </c>
      <c r="Q250" s="4">
        <v>250</v>
      </c>
      <c r="R250" s="3" t="s">
        <v>61</v>
      </c>
      <c r="S250" s="5">
        <v>3569396</v>
      </c>
    </row>
    <row r="251" spans="2:19" x14ac:dyDescent="0.3">
      <c r="B251" s="4">
        <v>2024</v>
      </c>
      <c r="C251" s="4">
        <v>182</v>
      </c>
      <c r="D251" s="3" t="s">
        <v>36</v>
      </c>
      <c r="E251" s="5">
        <v>231161008</v>
      </c>
      <c r="F251" s="5">
        <v>3788593</v>
      </c>
      <c r="G251" s="5"/>
      <c r="J251" s="4">
        <v>2024</v>
      </c>
      <c r="K251" s="4">
        <v>182</v>
      </c>
      <c r="L251" s="3" t="s">
        <v>45</v>
      </c>
      <c r="M251" s="5">
        <v>45262795</v>
      </c>
      <c r="P251" s="4">
        <v>2014</v>
      </c>
      <c r="Q251" s="4">
        <v>250</v>
      </c>
      <c r="R251" s="3" t="s">
        <v>62</v>
      </c>
      <c r="S251" s="5">
        <v>130451217</v>
      </c>
    </row>
    <row r="252" spans="2:19" x14ac:dyDescent="0.3">
      <c r="B252" s="4">
        <v>2024</v>
      </c>
      <c r="C252" s="4">
        <v>182</v>
      </c>
      <c r="D252" s="3" t="s">
        <v>37</v>
      </c>
      <c r="E252" s="5">
        <v>1230333176</v>
      </c>
      <c r="F252" s="5">
        <v>13201444</v>
      </c>
      <c r="G252" s="5">
        <v>418963</v>
      </c>
      <c r="J252" s="4">
        <v>2024</v>
      </c>
      <c r="K252" s="4">
        <v>182</v>
      </c>
      <c r="L252" s="3" t="s">
        <v>46</v>
      </c>
      <c r="M252" s="5">
        <v>51764220</v>
      </c>
      <c r="P252" s="4">
        <v>2014</v>
      </c>
      <c r="Q252" s="4">
        <v>250</v>
      </c>
      <c r="R252" s="3" t="s">
        <v>63</v>
      </c>
      <c r="S252" s="5">
        <v>1926578668</v>
      </c>
    </row>
    <row r="253" spans="2:19" x14ac:dyDescent="0.3">
      <c r="B253" s="4">
        <v>2024</v>
      </c>
      <c r="C253" s="4">
        <v>182</v>
      </c>
      <c r="D253" s="3" t="s">
        <v>38</v>
      </c>
      <c r="E253" s="5">
        <v>999172168</v>
      </c>
      <c r="F253" s="5">
        <v>9412851</v>
      </c>
      <c r="G253" s="5">
        <v>418963</v>
      </c>
      <c r="J253" s="4">
        <v>2024</v>
      </c>
      <c r="K253" s="4">
        <v>182</v>
      </c>
      <c r="L253" s="3" t="s">
        <v>47</v>
      </c>
      <c r="M253" s="5">
        <v>111227168</v>
      </c>
      <c r="P253" s="4">
        <v>2014</v>
      </c>
      <c r="Q253" s="4">
        <v>250</v>
      </c>
      <c r="R253" s="3" t="s">
        <v>64</v>
      </c>
      <c r="S253" s="5">
        <v>1091797485</v>
      </c>
    </row>
    <row r="254" spans="2:19" x14ac:dyDescent="0.3">
      <c r="B254" s="4">
        <v>2024</v>
      </c>
      <c r="C254" s="4">
        <v>182</v>
      </c>
      <c r="D254" s="3" t="s">
        <v>39</v>
      </c>
      <c r="E254" s="5">
        <v>369033306</v>
      </c>
      <c r="F254" s="5">
        <v>3166267</v>
      </c>
      <c r="G254" s="5">
        <v>45794</v>
      </c>
      <c r="J254" s="4">
        <v>2024</v>
      </c>
      <c r="K254" s="4">
        <v>182</v>
      </c>
      <c r="L254" s="3" t="s">
        <v>48</v>
      </c>
      <c r="M254" s="5">
        <v>41962181</v>
      </c>
      <c r="P254" s="4">
        <v>2014</v>
      </c>
      <c r="Q254" s="4">
        <v>250</v>
      </c>
      <c r="R254" s="3" t="s">
        <v>65</v>
      </c>
      <c r="S254" s="5">
        <v>106846515</v>
      </c>
    </row>
    <row r="255" spans="2:19" x14ac:dyDescent="0.3">
      <c r="B255" s="4">
        <v>2025</v>
      </c>
      <c r="C255" s="4">
        <v>182</v>
      </c>
      <c r="D255" s="3" t="s">
        <v>30</v>
      </c>
      <c r="E255" s="5">
        <v>1371922864</v>
      </c>
      <c r="F255" s="5"/>
      <c r="G255" s="5"/>
      <c r="J255" s="4">
        <v>2024</v>
      </c>
      <c r="K255" s="4">
        <v>182</v>
      </c>
      <c r="L255" s="3" t="s">
        <v>55</v>
      </c>
      <c r="M255" s="5">
        <v>0</v>
      </c>
      <c r="P255" s="4">
        <v>2015</v>
      </c>
      <c r="Q255" s="4">
        <v>250</v>
      </c>
      <c r="R255" s="3" t="s">
        <v>59</v>
      </c>
      <c r="S255" s="5">
        <v>38364891</v>
      </c>
    </row>
    <row r="256" spans="2:19" x14ac:dyDescent="0.3">
      <c r="B256" s="4">
        <v>2025</v>
      </c>
      <c r="C256" s="4">
        <v>182</v>
      </c>
      <c r="D256" s="3" t="s">
        <v>31</v>
      </c>
      <c r="E256" s="5">
        <v>159472031</v>
      </c>
      <c r="F256" s="5">
        <v>2395469</v>
      </c>
      <c r="G256" s="5">
        <v>1159</v>
      </c>
      <c r="J256" s="4">
        <v>2024</v>
      </c>
      <c r="K256" s="4">
        <v>182</v>
      </c>
      <c r="L256" s="3" t="s">
        <v>49</v>
      </c>
      <c r="M256" s="5">
        <v>825517019</v>
      </c>
      <c r="P256" s="4">
        <v>2015</v>
      </c>
      <c r="Q256" s="4">
        <v>250</v>
      </c>
      <c r="R256" s="3" t="s">
        <v>60</v>
      </c>
      <c r="S256" s="5">
        <v>252397595</v>
      </c>
    </row>
    <row r="257" spans="2:19" x14ac:dyDescent="0.3">
      <c r="B257" s="4">
        <v>2025</v>
      </c>
      <c r="C257" s="4">
        <v>182</v>
      </c>
      <c r="D257" s="3" t="s">
        <v>32</v>
      </c>
      <c r="E257" s="5">
        <v>66135647</v>
      </c>
      <c r="F257" s="5"/>
      <c r="G257" s="5"/>
      <c r="J257" s="4">
        <v>2024</v>
      </c>
      <c r="K257" s="4">
        <v>182</v>
      </c>
      <c r="L257" s="3" t="s">
        <v>50</v>
      </c>
      <c r="M257" s="5">
        <v>537520542</v>
      </c>
      <c r="P257" s="4">
        <v>2015</v>
      </c>
      <c r="Q257" s="4">
        <v>250</v>
      </c>
      <c r="R257" s="3" t="s">
        <v>61</v>
      </c>
      <c r="S257" s="5">
        <v>5026773</v>
      </c>
    </row>
    <row r="258" spans="2:19" x14ac:dyDescent="0.3">
      <c r="B258" s="4">
        <v>2025</v>
      </c>
      <c r="C258" s="4">
        <v>182</v>
      </c>
      <c r="D258" s="3" t="s">
        <v>40</v>
      </c>
      <c r="E258" s="5">
        <v>9401186</v>
      </c>
      <c r="F258" s="5"/>
      <c r="G258" s="5"/>
      <c r="J258" s="4">
        <v>2024</v>
      </c>
      <c r="K258" s="4">
        <v>182</v>
      </c>
      <c r="L258" s="3" t="s">
        <v>54</v>
      </c>
      <c r="M258" s="5">
        <v>0</v>
      </c>
      <c r="P258" s="4">
        <v>2015</v>
      </c>
      <c r="Q258" s="4">
        <v>250</v>
      </c>
      <c r="R258" s="3" t="s">
        <v>62</v>
      </c>
      <c r="S258" s="5">
        <v>138565097</v>
      </c>
    </row>
    <row r="259" spans="2:19" x14ac:dyDescent="0.3">
      <c r="B259" s="4">
        <v>2025</v>
      </c>
      <c r="C259" s="4">
        <v>182</v>
      </c>
      <c r="D259" s="3" t="s">
        <v>33</v>
      </c>
      <c r="E259" s="5">
        <v>9464778</v>
      </c>
      <c r="F259" s="5">
        <v>14756</v>
      </c>
      <c r="G259" s="5">
        <v>761</v>
      </c>
      <c r="J259" s="4">
        <v>2024</v>
      </c>
      <c r="K259" s="4">
        <v>182</v>
      </c>
      <c r="L259" s="3" t="s">
        <v>51</v>
      </c>
      <c r="M259" s="5">
        <v>249851190</v>
      </c>
      <c r="P259" s="4">
        <v>2015</v>
      </c>
      <c r="Q259" s="4">
        <v>250</v>
      </c>
      <c r="R259" s="3" t="s">
        <v>63</v>
      </c>
      <c r="S259" s="5">
        <v>1914921070</v>
      </c>
    </row>
    <row r="260" spans="2:19" x14ac:dyDescent="0.3">
      <c r="B260" s="4">
        <v>2025</v>
      </c>
      <c r="C260" s="4">
        <v>182</v>
      </c>
      <c r="D260" s="3" t="s">
        <v>34</v>
      </c>
      <c r="E260" s="5">
        <v>550171226</v>
      </c>
      <c r="F260" s="5">
        <v>4113836</v>
      </c>
      <c r="G260" s="5">
        <v>376349</v>
      </c>
      <c r="J260" s="4">
        <v>2024</v>
      </c>
      <c r="K260" s="4">
        <v>182</v>
      </c>
      <c r="L260" s="3" t="s">
        <v>52</v>
      </c>
      <c r="M260" s="5">
        <v>0</v>
      </c>
      <c r="P260" s="4">
        <v>2015</v>
      </c>
      <c r="Q260" s="4">
        <v>250</v>
      </c>
      <c r="R260" s="3" t="s">
        <v>64</v>
      </c>
      <c r="S260" s="5">
        <v>1043679349</v>
      </c>
    </row>
    <row r="261" spans="2:19" x14ac:dyDescent="0.3">
      <c r="B261" s="4">
        <v>2025</v>
      </c>
      <c r="C261" s="4">
        <v>182</v>
      </c>
      <c r="D261" s="3" t="s">
        <v>35</v>
      </c>
      <c r="E261" s="5">
        <v>1305787217</v>
      </c>
      <c r="F261" s="5">
        <v>14310921</v>
      </c>
      <c r="G261" s="5">
        <v>424410</v>
      </c>
      <c r="J261" s="4">
        <v>2024</v>
      </c>
      <c r="K261" s="4">
        <v>182</v>
      </c>
      <c r="L261" s="3" t="s">
        <v>53</v>
      </c>
      <c r="M261" s="5">
        <v>36643825</v>
      </c>
      <c r="P261" s="4">
        <v>2015</v>
      </c>
      <c r="Q261" s="4">
        <v>250</v>
      </c>
      <c r="R261" s="3" t="s">
        <v>65</v>
      </c>
      <c r="S261" s="5">
        <v>114643947</v>
      </c>
    </row>
    <row r="262" spans="2:19" x14ac:dyDescent="0.3">
      <c r="B262" s="4">
        <v>2025</v>
      </c>
      <c r="C262" s="4">
        <v>182</v>
      </c>
      <c r="D262" s="3" t="s">
        <v>36</v>
      </c>
      <c r="E262" s="5">
        <v>191474612</v>
      </c>
      <c r="F262" s="5">
        <v>4554075</v>
      </c>
      <c r="G262" s="5"/>
      <c r="J262" s="4">
        <v>2025</v>
      </c>
      <c r="K262" s="4">
        <v>182</v>
      </c>
      <c r="L262" s="3" t="s">
        <v>43</v>
      </c>
      <c r="M262" s="5">
        <v>156230695</v>
      </c>
      <c r="P262" s="4">
        <v>2016</v>
      </c>
      <c r="Q262" s="4">
        <v>250</v>
      </c>
      <c r="R262" s="3" t="s">
        <v>59</v>
      </c>
      <c r="S262" s="5">
        <v>44097840</v>
      </c>
    </row>
    <row r="263" spans="2:19" x14ac:dyDescent="0.3">
      <c r="B263" s="4">
        <v>2025</v>
      </c>
      <c r="C263" s="4">
        <v>182</v>
      </c>
      <c r="D263" s="3" t="s">
        <v>37</v>
      </c>
      <c r="E263" s="5">
        <v>1315188403</v>
      </c>
      <c r="F263" s="5">
        <v>14310921</v>
      </c>
      <c r="G263" s="5">
        <v>424410</v>
      </c>
      <c r="J263" s="4">
        <v>2025</v>
      </c>
      <c r="K263" s="4">
        <v>182</v>
      </c>
      <c r="L263" s="3" t="s">
        <v>44</v>
      </c>
      <c r="M263" s="5">
        <v>15166101</v>
      </c>
      <c r="P263" s="4">
        <v>2016</v>
      </c>
      <c r="Q263" s="4">
        <v>250</v>
      </c>
      <c r="R263" s="3" t="s">
        <v>60</v>
      </c>
      <c r="S263" s="5">
        <v>266415570</v>
      </c>
    </row>
    <row r="264" spans="2:19" x14ac:dyDescent="0.3">
      <c r="B264" s="4">
        <v>2025</v>
      </c>
      <c r="C264" s="4">
        <v>182</v>
      </c>
      <c r="D264" s="3" t="s">
        <v>38</v>
      </c>
      <c r="E264" s="5">
        <v>1123713791</v>
      </c>
      <c r="F264" s="5">
        <v>9756846</v>
      </c>
      <c r="G264" s="5">
        <v>424410</v>
      </c>
      <c r="J264" s="4">
        <v>2025</v>
      </c>
      <c r="K264" s="4">
        <v>182</v>
      </c>
      <c r="L264" s="3" t="s">
        <v>45</v>
      </c>
      <c r="M264" s="5">
        <v>71347941</v>
      </c>
      <c r="P264" s="4">
        <v>2016</v>
      </c>
      <c r="Q264" s="4">
        <v>250</v>
      </c>
      <c r="R264" s="3" t="s">
        <v>61</v>
      </c>
      <c r="S264" s="5">
        <v>7087268</v>
      </c>
    </row>
    <row r="265" spans="2:19" x14ac:dyDescent="0.3">
      <c r="B265" s="4">
        <v>2025</v>
      </c>
      <c r="C265" s="4">
        <v>182</v>
      </c>
      <c r="D265" s="3" t="s">
        <v>39</v>
      </c>
      <c r="E265" s="5">
        <v>402390141</v>
      </c>
      <c r="F265" s="5">
        <v>3215706</v>
      </c>
      <c r="G265" s="5">
        <v>45959</v>
      </c>
      <c r="J265" s="4">
        <v>2025</v>
      </c>
      <c r="K265" s="4">
        <v>182</v>
      </c>
      <c r="L265" s="3" t="s">
        <v>46</v>
      </c>
      <c r="M265" s="5">
        <v>60369249</v>
      </c>
      <c r="P265" s="4">
        <v>2016</v>
      </c>
      <c r="Q265" s="4">
        <v>250</v>
      </c>
      <c r="R265" s="3" t="s">
        <v>62</v>
      </c>
      <c r="S265" s="5">
        <v>144242966</v>
      </c>
    </row>
    <row r="266" spans="2:19" x14ac:dyDescent="0.3">
      <c r="B266" s="4">
        <v>2014</v>
      </c>
      <c r="C266" s="4">
        <v>216</v>
      </c>
      <c r="D266" s="3" t="s">
        <v>30</v>
      </c>
      <c r="E266" s="5">
        <v>1277640977</v>
      </c>
      <c r="F266" s="5">
        <v>16312786</v>
      </c>
      <c r="G266" s="5">
        <v>511957</v>
      </c>
      <c r="J266" s="4">
        <v>2025</v>
      </c>
      <c r="K266" s="4">
        <v>182</v>
      </c>
      <c r="L266" s="3" t="s">
        <v>47</v>
      </c>
      <c r="M266" s="5">
        <v>110183092</v>
      </c>
      <c r="P266" s="4">
        <v>2016</v>
      </c>
      <c r="Q266" s="4">
        <v>250</v>
      </c>
      <c r="R266" s="3" t="s">
        <v>63</v>
      </c>
      <c r="S266" s="5">
        <v>1939166814</v>
      </c>
    </row>
    <row r="267" spans="2:19" x14ac:dyDescent="0.3">
      <c r="B267" s="4">
        <v>2014</v>
      </c>
      <c r="C267" s="4">
        <v>216</v>
      </c>
      <c r="D267" s="3" t="s">
        <v>31</v>
      </c>
      <c r="E267" s="5">
        <v>182675224</v>
      </c>
      <c r="F267" s="5">
        <v>3217070</v>
      </c>
      <c r="G267" s="5">
        <v>116</v>
      </c>
      <c r="J267" s="4">
        <v>2025</v>
      </c>
      <c r="K267" s="4">
        <v>182</v>
      </c>
      <c r="L267" s="3" t="s">
        <v>48</v>
      </c>
      <c r="M267" s="5">
        <v>42738354</v>
      </c>
      <c r="P267" s="4">
        <v>2016</v>
      </c>
      <c r="Q267" s="4">
        <v>250</v>
      </c>
      <c r="R267" s="3" t="s">
        <v>64</v>
      </c>
      <c r="S267" s="5">
        <v>1020207505</v>
      </c>
    </row>
    <row r="268" spans="2:19" x14ac:dyDescent="0.3">
      <c r="B268" s="4">
        <v>2014</v>
      </c>
      <c r="C268" s="4">
        <v>216</v>
      </c>
      <c r="D268" s="3" t="s">
        <v>32</v>
      </c>
      <c r="E268" s="5">
        <v>77838332</v>
      </c>
      <c r="F268" s="5"/>
      <c r="G268" s="5"/>
      <c r="J268" s="4">
        <v>2025</v>
      </c>
      <c r="K268" s="4">
        <v>182</v>
      </c>
      <c r="L268" s="3" t="s">
        <v>55</v>
      </c>
      <c r="M268" s="5">
        <v>0</v>
      </c>
      <c r="P268" s="4">
        <v>2016</v>
      </c>
      <c r="Q268" s="4">
        <v>250</v>
      </c>
      <c r="R268" s="3" t="s">
        <v>65</v>
      </c>
      <c r="S268" s="5">
        <v>117893057</v>
      </c>
    </row>
    <row r="269" spans="2:19" x14ac:dyDescent="0.3">
      <c r="B269" s="4">
        <v>2014</v>
      </c>
      <c r="C269" s="4">
        <v>216</v>
      </c>
      <c r="D269" s="3" t="s">
        <v>40</v>
      </c>
      <c r="E269" s="5">
        <v>18348408</v>
      </c>
      <c r="F269" s="5"/>
      <c r="G269" s="5"/>
      <c r="J269" s="4">
        <v>2025</v>
      </c>
      <c r="K269" s="4">
        <v>182</v>
      </c>
      <c r="L269" s="3" t="s">
        <v>49</v>
      </c>
      <c r="M269" s="5">
        <v>796457096</v>
      </c>
      <c r="P269" s="4">
        <v>2017</v>
      </c>
      <c r="Q269" s="4">
        <v>250</v>
      </c>
      <c r="R269" s="3" t="s">
        <v>59</v>
      </c>
      <c r="S269" s="5">
        <v>46134140</v>
      </c>
    </row>
    <row r="270" spans="2:19" x14ac:dyDescent="0.3">
      <c r="B270" s="4">
        <v>2014</v>
      </c>
      <c r="C270" s="4">
        <v>216</v>
      </c>
      <c r="D270" s="3" t="s">
        <v>33</v>
      </c>
      <c r="E270" s="5">
        <v>4133623</v>
      </c>
      <c r="F270" s="5">
        <v>32641</v>
      </c>
      <c r="G270" s="5">
        <v>2380</v>
      </c>
      <c r="J270" s="4">
        <v>2025</v>
      </c>
      <c r="K270" s="4">
        <v>182</v>
      </c>
      <c r="L270" s="3" t="s">
        <v>50</v>
      </c>
      <c r="M270" s="5">
        <v>442897377</v>
      </c>
      <c r="P270" s="4">
        <v>2017</v>
      </c>
      <c r="Q270" s="4">
        <v>250</v>
      </c>
      <c r="R270" s="3" t="s">
        <v>60</v>
      </c>
      <c r="S270" s="5">
        <v>290673780</v>
      </c>
    </row>
    <row r="271" spans="2:19" x14ac:dyDescent="0.3">
      <c r="B271" s="4">
        <v>2014</v>
      </c>
      <c r="C271" s="4">
        <v>216</v>
      </c>
      <c r="D271" s="3" t="s">
        <v>34</v>
      </c>
      <c r="E271" s="5">
        <v>500194726</v>
      </c>
      <c r="F271" s="5">
        <v>4965076</v>
      </c>
      <c r="G271" s="5">
        <v>425036</v>
      </c>
      <c r="J271" s="4">
        <v>2025</v>
      </c>
      <c r="K271" s="4">
        <v>182</v>
      </c>
      <c r="L271" s="3" t="s">
        <v>54</v>
      </c>
      <c r="M271" s="5">
        <v>0</v>
      </c>
      <c r="P271" s="4">
        <v>2017</v>
      </c>
      <c r="Q271" s="4">
        <v>250</v>
      </c>
      <c r="R271" s="3" t="s">
        <v>61</v>
      </c>
      <c r="S271" s="5">
        <v>6891509</v>
      </c>
    </row>
    <row r="272" spans="2:19" x14ac:dyDescent="0.3">
      <c r="B272" s="4">
        <v>2014</v>
      </c>
      <c r="C272" s="4">
        <v>216</v>
      </c>
      <c r="D272" s="3" t="s">
        <v>35</v>
      </c>
      <c r="E272" s="5">
        <v>1199802645</v>
      </c>
      <c r="F272" s="5">
        <v>16312786</v>
      </c>
      <c r="G272" s="5">
        <v>511957</v>
      </c>
      <c r="J272" s="4">
        <v>2025</v>
      </c>
      <c r="K272" s="4">
        <v>182</v>
      </c>
      <c r="L272" s="3" t="s">
        <v>51</v>
      </c>
      <c r="M272" s="5">
        <v>238995634</v>
      </c>
      <c r="P272" s="4">
        <v>2017</v>
      </c>
      <c r="Q272" s="4">
        <v>250</v>
      </c>
      <c r="R272" s="3" t="s">
        <v>62</v>
      </c>
      <c r="S272" s="5">
        <v>161260902</v>
      </c>
    </row>
    <row r="273" spans="2:19" x14ac:dyDescent="0.3">
      <c r="B273" s="4">
        <v>2014</v>
      </c>
      <c r="C273" s="4">
        <v>216</v>
      </c>
      <c r="D273" s="3" t="s">
        <v>36</v>
      </c>
      <c r="E273" s="5">
        <v>77164887</v>
      </c>
      <c r="F273" s="5">
        <v>2220419</v>
      </c>
      <c r="G273" s="5"/>
      <c r="J273" s="4">
        <v>2025</v>
      </c>
      <c r="K273" s="4">
        <v>182</v>
      </c>
      <c r="L273" s="3" t="s">
        <v>52</v>
      </c>
      <c r="M273" s="5">
        <v>0</v>
      </c>
      <c r="P273" s="4">
        <v>2017</v>
      </c>
      <c r="Q273" s="4">
        <v>250</v>
      </c>
      <c r="R273" s="3" t="s">
        <v>63</v>
      </c>
      <c r="S273" s="5">
        <v>2022693552</v>
      </c>
    </row>
    <row r="274" spans="2:19" x14ac:dyDescent="0.3">
      <c r="B274" s="4">
        <v>2014</v>
      </c>
      <c r="C274" s="4">
        <v>216</v>
      </c>
      <c r="D274" s="3" t="s">
        <v>37</v>
      </c>
      <c r="E274" s="5">
        <v>1218151053</v>
      </c>
      <c r="F274" s="5">
        <v>16312786</v>
      </c>
      <c r="G274" s="5">
        <v>511957</v>
      </c>
      <c r="J274" s="4">
        <v>2025</v>
      </c>
      <c r="K274" s="4">
        <v>182</v>
      </c>
      <c r="L274" s="3" t="s">
        <v>53</v>
      </c>
      <c r="M274" s="5">
        <v>50445733</v>
      </c>
      <c r="P274" s="4">
        <v>2017</v>
      </c>
      <c r="Q274" s="4">
        <v>250</v>
      </c>
      <c r="R274" s="3" t="s">
        <v>64</v>
      </c>
      <c r="S274" s="5">
        <v>1014564000</v>
      </c>
    </row>
    <row r="275" spans="2:19" x14ac:dyDescent="0.3">
      <c r="B275" s="4">
        <v>2014</v>
      </c>
      <c r="C275" s="4">
        <v>216</v>
      </c>
      <c r="D275" s="3" t="s">
        <v>38</v>
      </c>
      <c r="E275" s="5">
        <v>1140986166</v>
      </c>
      <c r="F275" s="5">
        <v>14092367</v>
      </c>
      <c r="G275" s="5">
        <v>511957</v>
      </c>
      <c r="J275" s="4">
        <v>2014</v>
      </c>
      <c r="K275" s="4">
        <v>216</v>
      </c>
      <c r="L275" s="3" t="s">
        <v>43</v>
      </c>
      <c r="M275" s="5">
        <v>155933199</v>
      </c>
      <c r="P275" s="4">
        <v>2017</v>
      </c>
      <c r="Q275" s="4">
        <v>250</v>
      </c>
      <c r="R275" s="3" t="s">
        <v>65</v>
      </c>
      <c r="S275" s="5">
        <v>121629678</v>
      </c>
    </row>
    <row r="276" spans="2:19" x14ac:dyDescent="0.3">
      <c r="B276" s="4">
        <v>2014</v>
      </c>
      <c r="C276" s="4">
        <v>216</v>
      </c>
      <c r="D276" s="3" t="s">
        <v>39</v>
      </c>
      <c r="E276" s="5">
        <v>453982593</v>
      </c>
      <c r="F276" s="5">
        <v>5877580</v>
      </c>
      <c r="G276" s="5">
        <v>84425</v>
      </c>
      <c r="J276" s="4">
        <v>2014</v>
      </c>
      <c r="K276" s="4">
        <v>216</v>
      </c>
      <c r="L276" s="3" t="s">
        <v>44</v>
      </c>
      <c r="M276" s="5">
        <v>25548777</v>
      </c>
      <c r="P276" s="4">
        <v>2018</v>
      </c>
      <c r="Q276" s="4">
        <v>250</v>
      </c>
      <c r="R276" s="3" t="s">
        <v>59</v>
      </c>
      <c r="S276" s="5">
        <v>58972528</v>
      </c>
    </row>
    <row r="277" spans="2:19" x14ac:dyDescent="0.3">
      <c r="B277" s="4">
        <v>2015</v>
      </c>
      <c r="C277" s="4">
        <v>216</v>
      </c>
      <c r="D277" s="3" t="s">
        <v>30</v>
      </c>
      <c r="E277" s="5">
        <v>1266201447</v>
      </c>
      <c r="F277" s="5">
        <v>15518629</v>
      </c>
      <c r="G277" s="5">
        <v>520546</v>
      </c>
      <c r="J277" s="4">
        <v>2014</v>
      </c>
      <c r="K277" s="4">
        <v>216</v>
      </c>
      <c r="L277" s="3" t="s">
        <v>45</v>
      </c>
      <c r="M277" s="5">
        <v>35814344</v>
      </c>
      <c r="P277" s="4">
        <v>2018</v>
      </c>
      <c r="Q277" s="4">
        <v>250</v>
      </c>
      <c r="R277" s="3" t="s">
        <v>60</v>
      </c>
      <c r="S277" s="5">
        <v>295871290</v>
      </c>
    </row>
    <row r="278" spans="2:19" x14ac:dyDescent="0.3">
      <c r="B278" s="4">
        <v>2015</v>
      </c>
      <c r="C278" s="4">
        <v>216</v>
      </c>
      <c r="D278" s="3" t="s">
        <v>31</v>
      </c>
      <c r="E278" s="5">
        <v>182254287</v>
      </c>
      <c r="F278" s="5">
        <v>3195786</v>
      </c>
      <c r="G278" s="5">
        <v>119</v>
      </c>
      <c r="J278" s="4">
        <v>2014</v>
      </c>
      <c r="K278" s="4">
        <v>216</v>
      </c>
      <c r="L278" s="3" t="s">
        <v>46</v>
      </c>
      <c r="M278" s="5">
        <v>46305331</v>
      </c>
      <c r="P278" s="4">
        <v>2018</v>
      </c>
      <c r="Q278" s="4">
        <v>250</v>
      </c>
      <c r="R278" s="3" t="s">
        <v>61</v>
      </c>
      <c r="S278" s="5">
        <v>6887693</v>
      </c>
    </row>
    <row r="279" spans="2:19" x14ac:dyDescent="0.3">
      <c r="B279" s="4">
        <v>2015</v>
      </c>
      <c r="C279" s="4">
        <v>216</v>
      </c>
      <c r="D279" s="3" t="s">
        <v>32</v>
      </c>
      <c r="E279" s="5">
        <v>84276132</v>
      </c>
      <c r="F279" s="5"/>
      <c r="G279" s="5"/>
      <c r="J279" s="4">
        <v>2014</v>
      </c>
      <c r="K279" s="4">
        <v>216</v>
      </c>
      <c r="L279" s="3" t="s">
        <v>47</v>
      </c>
      <c r="M279" s="5">
        <v>45068831</v>
      </c>
      <c r="P279" s="4">
        <v>2018</v>
      </c>
      <c r="Q279" s="4">
        <v>250</v>
      </c>
      <c r="R279" s="3" t="s">
        <v>62</v>
      </c>
      <c r="S279" s="5">
        <v>140546552</v>
      </c>
    </row>
    <row r="280" spans="2:19" x14ac:dyDescent="0.3">
      <c r="B280" s="4">
        <v>2015</v>
      </c>
      <c r="C280" s="4">
        <v>216</v>
      </c>
      <c r="D280" s="3" t="s">
        <v>40</v>
      </c>
      <c r="E280" s="5">
        <v>13865518</v>
      </c>
      <c r="F280" s="5"/>
      <c r="G280" s="5"/>
      <c r="J280" s="4">
        <v>2014</v>
      </c>
      <c r="K280" s="4">
        <v>216</v>
      </c>
      <c r="L280" s="3" t="s">
        <v>48</v>
      </c>
      <c r="M280" s="5">
        <v>156172175</v>
      </c>
      <c r="P280" s="4">
        <v>2018</v>
      </c>
      <c r="Q280" s="4">
        <v>250</v>
      </c>
      <c r="R280" s="3" t="s">
        <v>63</v>
      </c>
      <c r="S280" s="5">
        <v>2005110043</v>
      </c>
    </row>
    <row r="281" spans="2:19" x14ac:dyDescent="0.3">
      <c r="B281" s="4">
        <v>2015</v>
      </c>
      <c r="C281" s="4">
        <v>216</v>
      </c>
      <c r="D281" s="3" t="s">
        <v>33</v>
      </c>
      <c r="E281" s="5">
        <v>4039381</v>
      </c>
      <c r="F281" s="5">
        <v>32103</v>
      </c>
      <c r="G281" s="5">
        <v>2592</v>
      </c>
      <c r="J281" s="4">
        <v>2014</v>
      </c>
      <c r="K281" s="4">
        <v>216</v>
      </c>
      <c r="L281" s="3" t="s">
        <v>49</v>
      </c>
      <c r="M281" s="5">
        <v>848564840</v>
      </c>
      <c r="P281" s="4">
        <v>2018</v>
      </c>
      <c r="Q281" s="4">
        <v>250</v>
      </c>
      <c r="R281" s="3" t="s">
        <v>64</v>
      </c>
      <c r="S281" s="5">
        <v>1013130293</v>
      </c>
    </row>
    <row r="282" spans="2:19" x14ac:dyDescent="0.3">
      <c r="B282" s="4">
        <v>2015</v>
      </c>
      <c r="C282" s="4">
        <v>216</v>
      </c>
      <c r="D282" s="3" t="s">
        <v>34</v>
      </c>
      <c r="E282" s="5">
        <v>512068335</v>
      </c>
      <c r="F282" s="5">
        <v>4977176</v>
      </c>
      <c r="G282" s="5">
        <v>432275</v>
      </c>
      <c r="J282" s="4">
        <v>2014</v>
      </c>
      <c r="K282" s="4">
        <v>216</v>
      </c>
      <c r="L282" s="3" t="s">
        <v>50</v>
      </c>
      <c r="M282" s="5">
        <v>557627529</v>
      </c>
      <c r="P282" s="4">
        <v>2018</v>
      </c>
      <c r="Q282" s="4">
        <v>250</v>
      </c>
      <c r="R282" s="3" t="s">
        <v>65</v>
      </c>
      <c r="S282" s="5">
        <v>126448833</v>
      </c>
    </row>
    <row r="283" spans="2:19" x14ac:dyDescent="0.3">
      <c r="B283" s="4">
        <v>2015</v>
      </c>
      <c r="C283" s="4">
        <v>216</v>
      </c>
      <c r="D283" s="3" t="s">
        <v>35</v>
      </c>
      <c r="E283" s="5">
        <v>1181925315</v>
      </c>
      <c r="F283" s="5">
        <v>15518629</v>
      </c>
      <c r="G283" s="5">
        <v>520546</v>
      </c>
      <c r="J283" s="4">
        <v>2014</v>
      </c>
      <c r="K283" s="4">
        <v>216</v>
      </c>
      <c r="L283" s="3" t="s">
        <v>51</v>
      </c>
      <c r="M283" s="5">
        <v>237121899</v>
      </c>
      <c r="P283" s="4">
        <v>2019</v>
      </c>
      <c r="Q283" s="4">
        <v>250</v>
      </c>
      <c r="R283" s="3" t="s">
        <v>59</v>
      </c>
      <c r="S283" s="5">
        <v>64406427</v>
      </c>
    </row>
    <row r="284" spans="2:19" x14ac:dyDescent="0.3">
      <c r="B284" s="4">
        <v>2015</v>
      </c>
      <c r="C284" s="4">
        <v>216</v>
      </c>
      <c r="D284" s="3" t="s">
        <v>36</v>
      </c>
      <c r="E284" s="5">
        <v>30887261</v>
      </c>
      <c r="F284" s="5">
        <v>1254136</v>
      </c>
      <c r="G284" s="5"/>
      <c r="J284" s="4">
        <v>2014</v>
      </c>
      <c r="K284" s="4">
        <v>216</v>
      </c>
      <c r="L284" s="3" t="s">
        <v>53</v>
      </c>
      <c r="M284" s="5">
        <v>27335660</v>
      </c>
      <c r="P284" s="4">
        <v>2019</v>
      </c>
      <c r="Q284" s="4">
        <v>250</v>
      </c>
      <c r="R284" s="3" t="s">
        <v>60</v>
      </c>
      <c r="S284" s="5">
        <v>307699071</v>
      </c>
    </row>
    <row r="285" spans="2:19" x14ac:dyDescent="0.3">
      <c r="B285" s="4">
        <v>2015</v>
      </c>
      <c r="C285" s="4">
        <v>216</v>
      </c>
      <c r="D285" s="3" t="s">
        <v>37</v>
      </c>
      <c r="E285" s="5">
        <v>1195790833</v>
      </c>
      <c r="F285" s="5">
        <v>15518629</v>
      </c>
      <c r="G285" s="5">
        <v>520546</v>
      </c>
      <c r="J285" s="4">
        <v>2015</v>
      </c>
      <c r="K285" s="4">
        <v>216</v>
      </c>
      <c r="L285" s="3" t="s">
        <v>43</v>
      </c>
      <c r="M285" s="5">
        <v>140370401</v>
      </c>
      <c r="P285" s="4">
        <v>2019</v>
      </c>
      <c r="Q285" s="4">
        <v>250</v>
      </c>
      <c r="R285" s="3" t="s">
        <v>61</v>
      </c>
      <c r="S285" s="5">
        <v>6887698</v>
      </c>
    </row>
    <row r="286" spans="2:19" x14ac:dyDescent="0.3">
      <c r="B286" s="4">
        <v>2015</v>
      </c>
      <c r="C286" s="4">
        <v>216</v>
      </c>
      <c r="D286" s="3" t="s">
        <v>38</v>
      </c>
      <c r="E286" s="5">
        <v>1164903572</v>
      </c>
      <c r="F286" s="5">
        <v>14264493</v>
      </c>
      <c r="G286" s="5">
        <v>520546</v>
      </c>
      <c r="J286" s="4">
        <v>2015</v>
      </c>
      <c r="K286" s="4">
        <v>216</v>
      </c>
      <c r="L286" s="3" t="s">
        <v>44</v>
      </c>
      <c r="M286" s="5">
        <v>21156549</v>
      </c>
      <c r="P286" s="4">
        <v>2019</v>
      </c>
      <c r="Q286" s="4">
        <v>250</v>
      </c>
      <c r="R286" s="3" t="s">
        <v>62</v>
      </c>
      <c r="S286" s="5">
        <v>156494275</v>
      </c>
    </row>
    <row r="287" spans="2:19" x14ac:dyDescent="0.3">
      <c r="B287" s="4">
        <v>2015</v>
      </c>
      <c r="C287" s="4">
        <v>216</v>
      </c>
      <c r="D287" s="3" t="s">
        <v>39</v>
      </c>
      <c r="E287" s="5">
        <v>466541569</v>
      </c>
      <c r="F287" s="5">
        <v>6059428</v>
      </c>
      <c r="G287" s="5">
        <v>85560</v>
      </c>
      <c r="J287" s="4">
        <v>2015</v>
      </c>
      <c r="K287" s="4">
        <v>216</v>
      </c>
      <c r="L287" s="3" t="s">
        <v>45</v>
      </c>
      <c r="M287" s="5">
        <v>39574934</v>
      </c>
      <c r="P287" s="4">
        <v>2019</v>
      </c>
      <c r="Q287" s="4">
        <v>250</v>
      </c>
      <c r="R287" s="3" t="s">
        <v>63</v>
      </c>
      <c r="S287" s="5">
        <v>2147982409</v>
      </c>
    </row>
    <row r="288" spans="2:19" x14ac:dyDescent="0.3">
      <c r="B288" s="4">
        <v>2016</v>
      </c>
      <c r="C288" s="4">
        <v>216</v>
      </c>
      <c r="D288" s="3" t="s">
        <v>30</v>
      </c>
      <c r="E288" s="5">
        <v>1255298799</v>
      </c>
      <c r="F288" s="5">
        <v>15381629</v>
      </c>
      <c r="G288" s="5">
        <v>529901</v>
      </c>
      <c r="J288" s="4">
        <v>2015</v>
      </c>
      <c r="K288" s="4">
        <v>216</v>
      </c>
      <c r="L288" s="3" t="s">
        <v>46</v>
      </c>
      <c r="M288" s="5">
        <v>48358117</v>
      </c>
      <c r="P288" s="4">
        <v>2019</v>
      </c>
      <c r="Q288" s="4">
        <v>250</v>
      </c>
      <c r="R288" s="3" t="s">
        <v>64</v>
      </c>
      <c r="S288" s="5">
        <v>1109201823</v>
      </c>
    </row>
    <row r="289" spans="2:19" x14ac:dyDescent="0.3">
      <c r="B289" s="4">
        <v>2016</v>
      </c>
      <c r="C289" s="4">
        <v>216</v>
      </c>
      <c r="D289" s="3" t="s">
        <v>31</v>
      </c>
      <c r="E289" s="5">
        <v>182590036</v>
      </c>
      <c r="F289" s="5">
        <v>3243344</v>
      </c>
      <c r="G289" s="5">
        <v>121</v>
      </c>
      <c r="J289" s="4">
        <v>2015</v>
      </c>
      <c r="K289" s="4">
        <v>216</v>
      </c>
      <c r="L289" s="3" t="s">
        <v>47</v>
      </c>
      <c r="M289" s="5">
        <v>54944643</v>
      </c>
      <c r="P289" s="4">
        <v>2019</v>
      </c>
      <c r="Q289" s="4">
        <v>250</v>
      </c>
      <c r="R289" s="3" t="s">
        <v>65</v>
      </c>
      <c r="S289" s="5">
        <v>132404584</v>
      </c>
    </row>
    <row r="290" spans="2:19" x14ac:dyDescent="0.3">
      <c r="B290" s="4">
        <v>2016</v>
      </c>
      <c r="C290" s="4">
        <v>216</v>
      </c>
      <c r="D290" s="3" t="s">
        <v>32</v>
      </c>
      <c r="E290" s="5">
        <v>84100642</v>
      </c>
      <c r="F290" s="5"/>
      <c r="G290" s="5"/>
      <c r="J290" s="4">
        <v>2015</v>
      </c>
      <c r="K290" s="4">
        <v>216</v>
      </c>
      <c r="L290" s="3" t="s">
        <v>48</v>
      </c>
      <c r="M290" s="5">
        <v>131286356</v>
      </c>
      <c r="P290" s="4">
        <v>2020</v>
      </c>
      <c r="Q290" s="4">
        <v>250</v>
      </c>
      <c r="R290" s="3" t="s">
        <v>59</v>
      </c>
      <c r="S290" s="5">
        <v>64345245</v>
      </c>
    </row>
    <row r="291" spans="2:19" x14ac:dyDescent="0.3">
      <c r="B291" s="4">
        <v>2016</v>
      </c>
      <c r="C291" s="4">
        <v>216</v>
      </c>
      <c r="D291" s="3" t="s">
        <v>40</v>
      </c>
      <c r="E291" s="5">
        <v>10706040</v>
      </c>
      <c r="F291" s="5"/>
      <c r="G291" s="5"/>
      <c r="J291" s="4">
        <v>2015</v>
      </c>
      <c r="K291" s="4">
        <v>216</v>
      </c>
      <c r="L291" s="3" t="s">
        <v>49</v>
      </c>
      <c r="M291" s="5">
        <v>800524503</v>
      </c>
      <c r="P291" s="4">
        <v>2020</v>
      </c>
      <c r="Q291" s="4">
        <v>250</v>
      </c>
      <c r="R291" s="3" t="s">
        <v>60</v>
      </c>
      <c r="S291" s="5">
        <v>315333112</v>
      </c>
    </row>
    <row r="292" spans="2:19" x14ac:dyDescent="0.3">
      <c r="B292" s="4">
        <v>2016</v>
      </c>
      <c r="C292" s="4">
        <v>216</v>
      </c>
      <c r="D292" s="3" t="s">
        <v>33</v>
      </c>
      <c r="E292" s="5">
        <v>3996825</v>
      </c>
      <c r="F292" s="5">
        <v>31405</v>
      </c>
      <c r="G292" s="5">
        <v>2797</v>
      </c>
      <c r="J292" s="4">
        <v>2015</v>
      </c>
      <c r="K292" s="4">
        <v>216</v>
      </c>
      <c r="L292" s="3" t="s">
        <v>50</v>
      </c>
      <c r="M292" s="5">
        <v>523631525</v>
      </c>
      <c r="P292" s="4">
        <v>2020</v>
      </c>
      <c r="Q292" s="4">
        <v>250</v>
      </c>
      <c r="R292" s="3" t="s">
        <v>61</v>
      </c>
      <c r="S292" s="5">
        <v>-3966273</v>
      </c>
    </row>
    <row r="293" spans="2:19" x14ac:dyDescent="0.3">
      <c r="B293" s="4">
        <v>2016</v>
      </c>
      <c r="C293" s="4">
        <v>216</v>
      </c>
      <c r="D293" s="3" t="s">
        <v>34</v>
      </c>
      <c r="E293" s="5">
        <v>514953833</v>
      </c>
      <c r="F293" s="5">
        <v>5004352</v>
      </c>
      <c r="G293" s="5">
        <v>440362</v>
      </c>
      <c r="J293" s="4">
        <v>2015</v>
      </c>
      <c r="K293" s="4">
        <v>216</v>
      </c>
      <c r="L293" s="3" t="s">
        <v>51</v>
      </c>
      <c r="M293" s="5">
        <v>217596604</v>
      </c>
      <c r="P293" s="4">
        <v>2020</v>
      </c>
      <c r="Q293" s="4">
        <v>250</v>
      </c>
      <c r="R293" s="3" t="s">
        <v>62</v>
      </c>
      <c r="S293" s="5">
        <v>138006630</v>
      </c>
    </row>
    <row r="294" spans="2:19" x14ac:dyDescent="0.3">
      <c r="B294" s="4">
        <v>2016</v>
      </c>
      <c r="C294" s="4">
        <v>216</v>
      </c>
      <c r="D294" s="3" t="s">
        <v>35</v>
      </c>
      <c r="E294" s="5">
        <v>1171198157</v>
      </c>
      <c r="F294" s="5">
        <v>15381629</v>
      </c>
      <c r="G294" s="5">
        <v>529901</v>
      </c>
      <c r="J294" s="4">
        <v>2015</v>
      </c>
      <c r="K294" s="4">
        <v>216</v>
      </c>
      <c r="L294" s="3" t="s">
        <v>52</v>
      </c>
      <c r="M294" s="5">
        <v>79720</v>
      </c>
      <c r="P294" s="4">
        <v>2020</v>
      </c>
      <c r="Q294" s="4">
        <v>250</v>
      </c>
      <c r="R294" s="3" t="s">
        <v>63</v>
      </c>
      <c r="S294" s="5">
        <v>2157212368</v>
      </c>
    </row>
    <row r="295" spans="2:19" x14ac:dyDescent="0.3">
      <c r="B295" s="4">
        <v>2016</v>
      </c>
      <c r="C295" s="4">
        <v>216</v>
      </c>
      <c r="D295" s="3" t="s">
        <v>36</v>
      </c>
      <c r="E295" s="5">
        <v>25204985</v>
      </c>
      <c r="F295" s="5">
        <v>1185879</v>
      </c>
      <c r="G295" s="5"/>
      <c r="J295" s="4">
        <v>2015</v>
      </c>
      <c r="K295" s="4">
        <v>216</v>
      </c>
      <c r="L295" s="3" t="s">
        <v>53</v>
      </c>
      <c r="M295" s="5">
        <v>27353257</v>
      </c>
      <c r="P295" s="4">
        <v>2020</v>
      </c>
      <c r="Q295" s="4">
        <v>250</v>
      </c>
      <c r="R295" s="3" t="s">
        <v>64</v>
      </c>
      <c r="S295" s="5">
        <v>1174454586</v>
      </c>
    </row>
    <row r="296" spans="2:19" x14ac:dyDescent="0.3">
      <c r="B296" s="4">
        <v>2016</v>
      </c>
      <c r="C296" s="4">
        <v>216</v>
      </c>
      <c r="D296" s="3" t="s">
        <v>37</v>
      </c>
      <c r="E296" s="5">
        <v>1181904197</v>
      </c>
      <c r="F296" s="5">
        <v>15381629</v>
      </c>
      <c r="G296" s="5">
        <v>529901</v>
      </c>
      <c r="J296" s="4">
        <v>2016</v>
      </c>
      <c r="K296" s="4">
        <v>216</v>
      </c>
      <c r="L296" s="3" t="s">
        <v>43</v>
      </c>
      <c r="M296" s="5">
        <v>146887131</v>
      </c>
      <c r="P296" s="4">
        <v>2020</v>
      </c>
      <c r="Q296" s="4">
        <v>250</v>
      </c>
      <c r="R296" s="3" t="s">
        <v>65</v>
      </c>
      <c r="S296" s="5">
        <v>136443033</v>
      </c>
    </row>
    <row r="297" spans="2:19" x14ac:dyDescent="0.3">
      <c r="B297" s="4">
        <v>2016</v>
      </c>
      <c r="C297" s="4">
        <v>216</v>
      </c>
      <c r="D297" s="3" t="s">
        <v>38</v>
      </c>
      <c r="E297" s="5">
        <v>1156699212</v>
      </c>
      <c r="F297" s="5">
        <v>14195750</v>
      </c>
      <c r="G297" s="5">
        <v>529901</v>
      </c>
      <c r="J297" s="4">
        <v>2016</v>
      </c>
      <c r="K297" s="4">
        <v>216</v>
      </c>
      <c r="L297" s="3" t="s">
        <v>44</v>
      </c>
      <c r="M297" s="5">
        <v>20844622</v>
      </c>
      <c r="P297" s="4">
        <v>2021</v>
      </c>
      <c r="Q297" s="4">
        <v>250</v>
      </c>
      <c r="R297" s="3" t="s">
        <v>59</v>
      </c>
      <c r="S297" s="5">
        <v>57981551</v>
      </c>
    </row>
    <row r="298" spans="2:19" x14ac:dyDescent="0.3">
      <c r="B298" s="4">
        <v>2016</v>
      </c>
      <c r="C298" s="4">
        <v>216</v>
      </c>
      <c r="D298" s="3" t="s">
        <v>39</v>
      </c>
      <c r="E298" s="5">
        <v>455158518</v>
      </c>
      <c r="F298" s="5">
        <v>5916649</v>
      </c>
      <c r="G298" s="5">
        <v>86621</v>
      </c>
      <c r="J298" s="4">
        <v>2016</v>
      </c>
      <c r="K298" s="4">
        <v>216</v>
      </c>
      <c r="L298" s="3" t="s">
        <v>45</v>
      </c>
      <c r="M298" s="5">
        <v>42924299</v>
      </c>
      <c r="P298" s="4">
        <v>2021</v>
      </c>
      <c r="Q298" s="4">
        <v>250</v>
      </c>
      <c r="R298" s="3" t="s">
        <v>60</v>
      </c>
      <c r="S298" s="5">
        <v>318796594</v>
      </c>
    </row>
    <row r="299" spans="2:19" x14ac:dyDescent="0.3">
      <c r="B299" s="4">
        <v>2017</v>
      </c>
      <c r="C299" s="4">
        <v>216</v>
      </c>
      <c r="D299" s="3" t="s">
        <v>30</v>
      </c>
      <c r="E299" s="5">
        <v>1340860404</v>
      </c>
      <c r="F299" s="5">
        <v>16706603</v>
      </c>
      <c r="G299" s="5">
        <v>539590</v>
      </c>
      <c r="J299" s="4">
        <v>2016</v>
      </c>
      <c r="K299" s="4">
        <v>216</v>
      </c>
      <c r="L299" s="3" t="s">
        <v>46</v>
      </c>
      <c r="M299" s="5">
        <v>50033074</v>
      </c>
      <c r="P299" s="4">
        <v>2021</v>
      </c>
      <c r="Q299" s="4">
        <v>250</v>
      </c>
      <c r="R299" s="3" t="s">
        <v>61</v>
      </c>
      <c r="S299" s="5">
        <v>2813130</v>
      </c>
    </row>
    <row r="300" spans="2:19" x14ac:dyDescent="0.3">
      <c r="B300" s="4">
        <v>2017</v>
      </c>
      <c r="C300" s="4">
        <v>216</v>
      </c>
      <c r="D300" s="3" t="s">
        <v>31</v>
      </c>
      <c r="E300" s="5">
        <v>195124244</v>
      </c>
      <c r="F300" s="5">
        <v>3345712</v>
      </c>
      <c r="G300" s="5">
        <v>120</v>
      </c>
      <c r="J300" s="4">
        <v>2016</v>
      </c>
      <c r="K300" s="4">
        <v>216</v>
      </c>
      <c r="L300" s="3" t="s">
        <v>47</v>
      </c>
      <c r="M300" s="5">
        <v>41802251</v>
      </c>
      <c r="P300" s="4">
        <v>2021</v>
      </c>
      <c r="Q300" s="4">
        <v>250</v>
      </c>
      <c r="R300" s="3" t="s">
        <v>62</v>
      </c>
      <c r="S300" s="5">
        <v>165907236</v>
      </c>
    </row>
    <row r="301" spans="2:19" x14ac:dyDescent="0.3">
      <c r="B301" s="4">
        <v>2017</v>
      </c>
      <c r="C301" s="4">
        <v>216</v>
      </c>
      <c r="D301" s="3" t="s">
        <v>32</v>
      </c>
      <c r="E301" s="5">
        <v>101502298</v>
      </c>
      <c r="F301" s="5"/>
      <c r="G301" s="5"/>
      <c r="J301" s="4">
        <v>2016</v>
      </c>
      <c r="K301" s="4">
        <v>216</v>
      </c>
      <c r="L301" s="3" t="s">
        <v>48</v>
      </c>
      <c r="M301" s="5">
        <v>137688753</v>
      </c>
      <c r="P301" s="4">
        <v>2021</v>
      </c>
      <c r="Q301" s="4">
        <v>250</v>
      </c>
      <c r="R301" s="3" t="s">
        <v>63</v>
      </c>
      <c r="S301" s="5">
        <v>2415154366</v>
      </c>
    </row>
    <row r="302" spans="2:19" x14ac:dyDescent="0.3">
      <c r="B302" s="4">
        <v>2017</v>
      </c>
      <c r="C302" s="4">
        <v>216</v>
      </c>
      <c r="D302" s="3" t="s">
        <v>40</v>
      </c>
      <c r="E302" s="5">
        <v>10706040</v>
      </c>
      <c r="F302" s="5"/>
      <c r="G302" s="5"/>
      <c r="J302" s="4">
        <v>2016</v>
      </c>
      <c r="K302" s="4">
        <v>216</v>
      </c>
      <c r="L302" s="3" t="s">
        <v>49</v>
      </c>
      <c r="M302" s="5">
        <v>801502841</v>
      </c>
      <c r="P302" s="4">
        <v>2021</v>
      </c>
      <c r="Q302" s="4">
        <v>250</v>
      </c>
      <c r="R302" s="3" t="s">
        <v>64</v>
      </c>
      <c r="S302" s="5">
        <v>1335310689</v>
      </c>
    </row>
    <row r="303" spans="2:19" x14ac:dyDescent="0.3">
      <c r="B303" s="4">
        <v>2017</v>
      </c>
      <c r="C303" s="4">
        <v>216</v>
      </c>
      <c r="D303" s="3" t="s">
        <v>33</v>
      </c>
      <c r="E303" s="5">
        <v>4079095</v>
      </c>
      <c r="F303" s="5">
        <v>31812</v>
      </c>
      <c r="G303" s="5">
        <v>2995</v>
      </c>
      <c r="J303" s="4">
        <v>2016</v>
      </c>
      <c r="K303" s="4">
        <v>216</v>
      </c>
      <c r="L303" s="3" t="s">
        <v>50</v>
      </c>
      <c r="M303" s="5">
        <v>515405429</v>
      </c>
      <c r="P303" s="4">
        <v>2021</v>
      </c>
      <c r="Q303" s="4">
        <v>250</v>
      </c>
      <c r="R303" s="3" t="s">
        <v>65</v>
      </c>
      <c r="S303" s="5">
        <v>143889438</v>
      </c>
    </row>
    <row r="304" spans="2:19" x14ac:dyDescent="0.3">
      <c r="B304" s="4">
        <v>2017</v>
      </c>
      <c r="C304" s="4">
        <v>216</v>
      </c>
      <c r="D304" s="3" t="s">
        <v>34</v>
      </c>
      <c r="E304" s="5">
        <v>552333276</v>
      </c>
      <c r="F304" s="5">
        <v>5354568</v>
      </c>
      <c r="G304" s="5">
        <v>448800</v>
      </c>
      <c r="J304" s="4">
        <v>2016</v>
      </c>
      <c r="K304" s="4">
        <v>216</v>
      </c>
      <c r="L304" s="3" t="s">
        <v>51</v>
      </c>
      <c r="M304" s="5">
        <v>240208728</v>
      </c>
      <c r="P304" s="4">
        <v>2022</v>
      </c>
      <c r="Q304" s="4">
        <v>250</v>
      </c>
      <c r="R304" s="3" t="s">
        <v>59</v>
      </c>
      <c r="S304" s="5">
        <v>60100949</v>
      </c>
    </row>
    <row r="305" spans="2:19" x14ac:dyDescent="0.3">
      <c r="B305" s="4">
        <v>2017</v>
      </c>
      <c r="C305" s="4">
        <v>216</v>
      </c>
      <c r="D305" s="3" t="s">
        <v>35</v>
      </c>
      <c r="E305" s="5">
        <v>1239358106</v>
      </c>
      <c r="F305" s="5">
        <v>16706603</v>
      </c>
      <c r="G305" s="5">
        <v>539590</v>
      </c>
      <c r="J305" s="4">
        <v>2016</v>
      </c>
      <c r="K305" s="4">
        <v>216</v>
      </c>
      <c r="L305" s="3" t="s">
        <v>52</v>
      </c>
      <c r="M305" s="5">
        <v>24</v>
      </c>
      <c r="P305" s="4">
        <v>2022</v>
      </c>
      <c r="Q305" s="4">
        <v>250</v>
      </c>
      <c r="R305" s="3" t="s">
        <v>60</v>
      </c>
      <c r="S305" s="5">
        <v>335206965</v>
      </c>
    </row>
    <row r="306" spans="2:19" x14ac:dyDescent="0.3">
      <c r="B306" s="4">
        <v>2017</v>
      </c>
      <c r="C306" s="4">
        <v>216</v>
      </c>
      <c r="D306" s="3" t="s">
        <v>36</v>
      </c>
      <c r="E306" s="5">
        <v>33381940</v>
      </c>
      <c r="F306" s="5">
        <v>2135649</v>
      </c>
      <c r="G306" s="5"/>
      <c r="J306" s="4">
        <v>2016</v>
      </c>
      <c r="K306" s="4">
        <v>216</v>
      </c>
      <c r="L306" s="3" t="s">
        <v>53</v>
      </c>
      <c r="M306" s="5">
        <v>25408262</v>
      </c>
      <c r="P306" s="4">
        <v>2022</v>
      </c>
      <c r="Q306" s="4">
        <v>250</v>
      </c>
      <c r="R306" s="3" t="s">
        <v>61</v>
      </c>
      <c r="S306" s="5">
        <v>3555122</v>
      </c>
    </row>
    <row r="307" spans="2:19" x14ac:dyDescent="0.3">
      <c r="B307" s="4">
        <v>2017</v>
      </c>
      <c r="C307" s="4">
        <v>216</v>
      </c>
      <c r="D307" s="3" t="s">
        <v>37</v>
      </c>
      <c r="E307" s="5">
        <v>1250064146</v>
      </c>
      <c r="F307" s="5">
        <v>16706603</v>
      </c>
      <c r="G307" s="5">
        <v>539590</v>
      </c>
      <c r="J307" s="4">
        <v>2017</v>
      </c>
      <c r="K307" s="4">
        <v>216</v>
      </c>
      <c r="L307" s="3" t="s">
        <v>43</v>
      </c>
      <c r="M307" s="5">
        <v>142691013</v>
      </c>
      <c r="P307" s="4">
        <v>2022</v>
      </c>
      <c r="Q307" s="4">
        <v>250</v>
      </c>
      <c r="R307" s="3" t="s">
        <v>62</v>
      </c>
      <c r="S307" s="5">
        <v>203629987</v>
      </c>
    </row>
    <row r="308" spans="2:19" x14ac:dyDescent="0.3">
      <c r="B308" s="4">
        <v>2017</v>
      </c>
      <c r="C308" s="4">
        <v>216</v>
      </c>
      <c r="D308" s="3" t="s">
        <v>38</v>
      </c>
      <c r="E308" s="5">
        <v>1216682206</v>
      </c>
      <c r="F308" s="5">
        <v>14570954</v>
      </c>
      <c r="G308" s="5">
        <v>539590</v>
      </c>
      <c r="J308" s="4">
        <v>2017</v>
      </c>
      <c r="K308" s="4">
        <v>216</v>
      </c>
      <c r="L308" s="3" t="s">
        <v>44</v>
      </c>
      <c r="M308" s="5">
        <v>22427893</v>
      </c>
      <c r="P308" s="4">
        <v>2022</v>
      </c>
      <c r="Q308" s="4">
        <v>250</v>
      </c>
      <c r="R308" s="3" t="s">
        <v>63</v>
      </c>
      <c r="S308" s="5">
        <v>2702424185</v>
      </c>
    </row>
    <row r="309" spans="2:19" x14ac:dyDescent="0.3">
      <c r="B309" s="4">
        <v>2017</v>
      </c>
      <c r="C309" s="4">
        <v>216</v>
      </c>
      <c r="D309" s="3" t="s">
        <v>39</v>
      </c>
      <c r="E309" s="5">
        <v>465145591</v>
      </c>
      <c r="F309" s="5">
        <v>5838862</v>
      </c>
      <c r="G309" s="5">
        <v>87675</v>
      </c>
      <c r="J309" s="4">
        <v>2017</v>
      </c>
      <c r="K309" s="4">
        <v>216</v>
      </c>
      <c r="L309" s="3" t="s">
        <v>45</v>
      </c>
      <c r="M309" s="5">
        <v>46084048</v>
      </c>
      <c r="P309" s="4">
        <v>2022</v>
      </c>
      <c r="Q309" s="4">
        <v>250</v>
      </c>
      <c r="R309" s="3" t="s">
        <v>64</v>
      </c>
      <c r="S309" s="5">
        <v>1536397416</v>
      </c>
    </row>
    <row r="310" spans="2:19" x14ac:dyDescent="0.3">
      <c r="B310" s="4">
        <v>2018</v>
      </c>
      <c r="C310" s="4">
        <v>216</v>
      </c>
      <c r="D310" s="3" t="s">
        <v>30</v>
      </c>
      <c r="E310" s="5">
        <v>1361957450</v>
      </c>
      <c r="F310" s="5">
        <v>17450159</v>
      </c>
      <c r="G310" s="5">
        <v>551455</v>
      </c>
      <c r="J310" s="4">
        <v>2017</v>
      </c>
      <c r="K310" s="4">
        <v>216</v>
      </c>
      <c r="L310" s="3" t="s">
        <v>46</v>
      </c>
      <c r="M310" s="5">
        <v>50643073</v>
      </c>
      <c r="P310" s="4">
        <v>2022</v>
      </c>
      <c r="Q310" s="4">
        <v>250</v>
      </c>
      <c r="R310" s="3" t="s">
        <v>65</v>
      </c>
      <c r="S310" s="5">
        <v>154021039</v>
      </c>
    </row>
    <row r="311" spans="2:19" x14ac:dyDescent="0.3">
      <c r="B311" s="4">
        <v>2018</v>
      </c>
      <c r="C311" s="4">
        <v>216</v>
      </c>
      <c r="D311" s="3" t="s">
        <v>31</v>
      </c>
      <c r="E311" s="5">
        <v>191175361</v>
      </c>
      <c r="F311" s="5">
        <v>3370566</v>
      </c>
      <c r="G311" s="5">
        <v>118</v>
      </c>
      <c r="J311" s="4">
        <v>2017</v>
      </c>
      <c r="K311" s="4">
        <v>216</v>
      </c>
      <c r="L311" s="3" t="s">
        <v>47</v>
      </c>
      <c r="M311" s="5">
        <v>37935165</v>
      </c>
      <c r="P311" s="4">
        <v>2023</v>
      </c>
      <c r="Q311" s="4">
        <v>250</v>
      </c>
      <c r="R311" s="3" t="s">
        <v>59</v>
      </c>
      <c r="S311" s="5">
        <v>65864461</v>
      </c>
    </row>
    <row r="312" spans="2:19" x14ac:dyDescent="0.3">
      <c r="B312" s="4">
        <v>2018</v>
      </c>
      <c r="C312" s="4">
        <v>216</v>
      </c>
      <c r="D312" s="3" t="s">
        <v>32</v>
      </c>
      <c r="E312" s="5">
        <v>108301920</v>
      </c>
      <c r="F312" s="5"/>
      <c r="G312" s="5"/>
      <c r="J312" s="4">
        <v>2017</v>
      </c>
      <c r="K312" s="4">
        <v>216</v>
      </c>
      <c r="L312" s="3" t="s">
        <v>48</v>
      </c>
      <c r="M312" s="5">
        <v>107893663</v>
      </c>
      <c r="P312" s="4">
        <v>2023</v>
      </c>
      <c r="Q312" s="4">
        <v>250</v>
      </c>
      <c r="R312" s="3" t="s">
        <v>60</v>
      </c>
      <c r="S312" s="5">
        <v>361540625</v>
      </c>
    </row>
    <row r="313" spans="2:19" x14ac:dyDescent="0.3">
      <c r="B313" s="4">
        <v>2018</v>
      </c>
      <c r="C313" s="4">
        <v>216</v>
      </c>
      <c r="D313" s="3" t="s">
        <v>40</v>
      </c>
      <c r="E313" s="5">
        <v>19972541</v>
      </c>
      <c r="F313" s="5"/>
      <c r="G313" s="5"/>
      <c r="J313" s="4">
        <v>2017</v>
      </c>
      <c r="K313" s="4">
        <v>216</v>
      </c>
      <c r="L313" s="3" t="s">
        <v>49</v>
      </c>
      <c r="M313" s="5">
        <v>830783214</v>
      </c>
      <c r="P313" s="4">
        <v>2023</v>
      </c>
      <c r="Q313" s="4">
        <v>250</v>
      </c>
      <c r="R313" s="3" t="s">
        <v>61</v>
      </c>
      <c r="S313" s="5">
        <v>3635829</v>
      </c>
    </row>
    <row r="314" spans="2:19" x14ac:dyDescent="0.3">
      <c r="B314" s="4">
        <v>2018</v>
      </c>
      <c r="C314" s="4">
        <v>216</v>
      </c>
      <c r="D314" s="3" t="s">
        <v>33</v>
      </c>
      <c r="E314" s="5">
        <v>4032545</v>
      </c>
      <c r="F314" s="5">
        <v>32224</v>
      </c>
      <c r="G314" s="5">
        <v>3280</v>
      </c>
      <c r="J314" s="4">
        <v>2017</v>
      </c>
      <c r="K314" s="4">
        <v>216</v>
      </c>
      <c r="L314" s="3" t="s">
        <v>50</v>
      </c>
      <c r="M314" s="5">
        <v>543658369</v>
      </c>
      <c r="P314" s="4">
        <v>2023</v>
      </c>
      <c r="Q314" s="4">
        <v>250</v>
      </c>
      <c r="R314" s="3" t="s">
        <v>62</v>
      </c>
      <c r="S314" s="5">
        <v>222811863</v>
      </c>
    </row>
    <row r="315" spans="2:19" x14ac:dyDescent="0.3">
      <c r="B315" s="4">
        <v>2018</v>
      </c>
      <c r="C315" s="4">
        <v>216</v>
      </c>
      <c r="D315" s="3" t="s">
        <v>34</v>
      </c>
      <c r="E315" s="5">
        <v>533062028</v>
      </c>
      <c r="F315" s="5">
        <v>5134576</v>
      </c>
      <c r="G315" s="5">
        <v>459128</v>
      </c>
      <c r="J315" s="4">
        <v>2017</v>
      </c>
      <c r="K315" s="4">
        <v>216</v>
      </c>
      <c r="L315" s="3" t="s">
        <v>51</v>
      </c>
      <c r="M315" s="5">
        <v>244381204</v>
      </c>
      <c r="P315" s="4">
        <v>2023</v>
      </c>
      <c r="Q315" s="4">
        <v>250</v>
      </c>
      <c r="R315" s="3" t="s">
        <v>63</v>
      </c>
      <c r="S315" s="5">
        <v>2966551020</v>
      </c>
    </row>
    <row r="316" spans="2:19" x14ac:dyDescent="0.3">
      <c r="B316" s="4">
        <v>2018</v>
      </c>
      <c r="C316" s="4">
        <v>216</v>
      </c>
      <c r="D316" s="3" t="s">
        <v>35</v>
      </c>
      <c r="E316" s="5">
        <v>1253655530</v>
      </c>
      <c r="F316" s="5">
        <v>17450159</v>
      </c>
      <c r="G316" s="5">
        <v>551455</v>
      </c>
      <c r="J316" s="4">
        <v>2017</v>
      </c>
      <c r="K316" s="4">
        <v>216</v>
      </c>
      <c r="L316" s="3" t="s">
        <v>53</v>
      </c>
      <c r="M316" s="5">
        <v>25278818</v>
      </c>
      <c r="P316" s="4">
        <v>2023</v>
      </c>
      <c r="Q316" s="4">
        <v>250</v>
      </c>
      <c r="R316" s="3" t="s">
        <v>64</v>
      </c>
      <c r="S316" s="5">
        <v>1739144236</v>
      </c>
    </row>
    <row r="317" spans="2:19" x14ac:dyDescent="0.3">
      <c r="B317" s="4">
        <v>2018</v>
      </c>
      <c r="C317" s="4">
        <v>216</v>
      </c>
      <c r="D317" s="3" t="s">
        <v>36</v>
      </c>
      <c r="E317" s="5">
        <v>79156537</v>
      </c>
      <c r="F317" s="5">
        <v>2863637</v>
      </c>
      <c r="G317" s="5"/>
      <c r="J317" s="4">
        <v>2018</v>
      </c>
      <c r="K317" s="4">
        <v>216</v>
      </c>
      <c r="L317" s="3" t="s">
        <v>43</v>
      </c>
      <c r="M317" s="5">
        <v>159158800</v>
      </c>
      <c r="P317" s="4">
        <v>2023</v>
      </c>
      <c r="Q317" s="4">
        <v>250</v>
      </c>
      <c r="R317" s="3" t="s">
        <v>65</v>
      </c>
      <c r="S317" s="5">
        <v>161434174</v>
      </c>
    </row>
    <row r="318" spans="2:19" x14ac:dyDescent="0.3">
      <c r="B318" s="4">
        <v>2018</v>
      </c>
      <c r="C318" s="4">
        <v>216</v>
      </c>
      <c r="D318" s="3" t="s">
        <v>37</v>
      </c>
      <c r="E318" s="5">
        <v>1273628071</v>
      </c>
      <c r="F318" s="5">
        <v>17450159</v>
      </c>
      <c r="G318" s="5">
        <v>551455</v>
      </c>
      <c r="J318" s="4">
        <v>2018</v>
      </c>
      <c r="K318" s="4">
        <v>216</v>
      </c>
      <c r="L318" s="3" t="s">
        <v>44</v>
      </c>
      <c r="M318" s="5">
        <v>20208233</v>
      </c>
      <c r="P318" s="4">
        <v>2024</v>
      </c>
      <c r="Q318" s="4">
        <v>250</v>
      </c>
      <c r="R318" s="3" t="s">
        <v>59</v>
      </c>
      <c r="S318" s="5">
        <v>79219629</v>
      </c>
    </row>
    <row r="319" spans="2:19" x14ac:dyDescent="0.3">
      <c r="B319" s="4">
        <v>2018</v>
      </c>
      <c r="C319" s="4">
        <v>216</v>
      </c>
      <c r="D319" s="3" t="s">
        <v>38</v>
      </c>
      <c r="E319" s="5">
        <v>1194471534</v>
      </c>
      <c r="F319" s="5">
        <v>14586522</v>
      </c>
      <c r="G319" s="5">
        <v>551455</v>
      </c>
      <c r="J319" s="4">
        <v>2018</v>
      </c>
      <c r="K319" s="4">
        <v>216</v>
      </c>
      <c r="L319" s="3" t="s">
        <v>45</v>
      </c>
      <c r="M319" s="5">
        <v>44258306</v>
      </c>
      <c r="P319" s="4">
        <v>2024</v>
      </c>
      <c r="Q319" s="4">
        <v>250</v>
      </c>
      <c r="R319" s="3" t="s">
        <v>60</v>
      </c>
      <c r="S319" s="5">
        <v>392816166</v>
      </c>
    </row>
    <row r="320" spans="2:19" x14ac:dyDescent="0.3">
      <c r="B320" s="4">
        <v>2018</v>
      </c>
      <c r="C320" s="4">
        <v>216</v>
      </c>
      <c r="D320" s="3" t="s">
        <v>39</v>
      </c>
      <c r="E320" s="5">
        <v>466201600</v>
      </c>
      <c r="F320" s="5">
        <v>6049156</v>
      </c>
      <c r="G320" s="5">
        <v>88929</v>
      </c>
      <c r="J320" s="4">
        <v>2018</v>
      </c>
      <c r="K320" s="4">
        <v>216</v>
      </c>
      <c r="L320" s="3" t="s">
        <v>46</v>
      </c>
      <c r="M320" s="5">
        <v>54871416</v>
      </c>
      <c r="P320" s="4">
        <v>2024</v>
      </c>
      <c r="Q320" s="4">
        <v>250</v>
      </c>
      <c r="R320" s="3" t="s">
        <v>61</v>
      </c>
      <c r="S320" s="5">
        <v>13420449</v>
      </c>
    </row>
    <row r="321" spans="2:19" x14ac:dyDescent="0.3">
      <c r="B321" s="4">
        <v>2019</v>
      </c>
      <c r="C321" s="4">
        <v>216</v>
      </c>
      <c r="D321" s="3" t="s">
        <v>30</v>
      </c>
      <c r="E321" s="5">
        <v>1343223427</v>
      </c>
      <c r="F321" s="5">
        <v>17387636</v>
      </c>
      <c r="G321" s="5">
        <v>565077</v>
      </c>
      <c r="J321" s="4">
        <v>2018</v>
      </c>
      <c r="K321" s="4">
        <v>216</v>
      </c>
      <c r="L321" s="3" t="s">
        <v>47</v>
      </c>
      <c r="M321" s="5">
        <v>17673949</v>
      </c>
      <c r="P321" s="4">
        <v>2024</v>
      </c>
      <c r="Q321" s="4">
        <v>250</v>
      </c>
      <c r="R321" s="3" t="s">
        <v>62</v>
      </c>
      <c r="S321" s="5">
        <v>274450195</v>
      </c>
    </row>
    <row r="322" spans="2:19" x14ac:dyDescent="0.3">
      <c r="B322" s="4">
        <v>2019</v>
      </c>
      <c r="C322" s="4">
        <v>216</v>
      </c>
      <c r="D322" s="3" t="s">
        <v>31</v>
      </c>
      <c r="E322" s="5">
        <v>181871403</v>
      </c>
      <c r="F322" s="5">
        <v>3412410</v>
      </c>
      <c r="G322" s="5">
        <v>127</v>
      </c>
      <c r="J322" s="4">
        <v>2018</v>
      </c>
      <c r="K322" s="4">
        <v>216</v>
      </c>
      <c r="L322" s="3" t="s">
        <v>48</v>
      </c>
      <c r="M322" s="5">
        <v>115523971</v>
      </c>
      <c r="P322" s="4">
        <v>2024</v>
      </c>
      <c r="Q322" s="4">
        <v>250</v>
      </c>
      <c r="R322" s="3" t="s">
        <v>63</v>
      </c>
      <c r="S322" s="5">
        <v>3460714742</v>
      </c>
    </row>
    <row r="323" spans="2:19" x14ac:dyDescent="0.3">
      <c r="B323" s="4">
        <v>2019</v>
      </c>
      <c r="C323" s="4">
        <v>216</v>
      </c>
      <c r="D323" s="3" t="s">
        <v>32</v>
      </c>
      <c r="E323" s="5">
        <v>106507582</v>
      </c>
      <c r="F323" s="5"/>
      <c r="G323" s="5"/>
      <c r="J323" s="4">
        <v>2018</v>
      </c>
      <c r="K323" s="4">
        <v>216</v>
      </c>
      <c r="L323" s="3" t="s">
        <v>49</v>
      </c>
      <c r="M323" s="5">
        <v>869170580</v>
      </c>
      <c r="P323" s="4">
        <v>2024</v>
      </c>
      <c r="Q323" s="4">
        <v>250</v>
      </c>
      <c r="R323" s="3" t="s">
        <v>64</v>
      </c>
      <c r="S323" s="5">
        <v>2003804192</v>
      </c>
    </row>
    <row r="324" spans="2:19" x14ac:dyDescent="0.3">
      <c r="B324" s="4">
        <v>2019</v>
      </c>
      <c r="C324" s="4">
        <v>216</v>
      </c>
      <c r="D324" s="3" t="s">
        <v>40</v>
      </c>
      <c r="E324" s="5">
        <v>8440245</v>
      </c>
      <c r="F324" s="5"/>
      <c r="G324" s="5"/>
      <c r="J324" s="4">
        <v>2018</v>
      </c>
      <c r="K324" s="4">
        <v>216</v>
      </c>
      <c r="L324" s="3" t="s">
        <v>50</v>
      </c>
      <c r="M324" s="5">
        <v>567218744</v>
      </c>
      <c r="P324" s="4">
        <v>2024</v>
      </c>
      <c r="Q324" s="4">
        <v>250</v>
      </c>
      <c r="R324" s="3" t="s">
        <v>65</v>
      </c>
      <c r="S324" s="5">
        <v>173230151</v>
      </c>
    </row>
    <row r="325" spans="2:19" x14ac:dyDescent="0.3">
      <c r="B325" s="4">
        <v>2019</v>
      </c>
      <c r="C325" s="4">
        <v>216</v>
      </c>
      <c r="D325" s="3" t="s">
        <v>33</v>
      </c>
      <c r="E325" s="5">
        <v>3850765</v>
      </c>
      <c r="F325" s="5">
        <v>31652</v>
      </c>
      <c r="G325" s="5">
        <v>3488</v>
      </c>
      <c r="J325" s="4">
        <v>2018</v>
      </c>
      <c r="K325" s="4">
        <v>216</v>
      </c>
      <c r="L325" s="3" t="s">
        <v>51</v>
      </c>
      <c r="M325" s="5">
        <v>287762141</v>
      </c>
      <c r="P325" s="4">
        <v>2025</v>
      </c>
      <c r="Q325" s="4">
        <v>250</v>
      </c>
      <c r="R325" s="3" t="s">
        <v>59</v>
      </c>
      <c r="S325" s="5">
        <v>3842149</v>
      </c>
    </row>
    <row r="326" spans="2:19" x14ac:dyDescent="0.3">
      <c r="B326" s="4">
        <v>2019</v>
      </c>
      <c r="C326" s="4">
        <v>216</v>
      </c>
      <c r="D326" s="3" t="s">
        <v>34</v>
      </c>
      <c r="E326" s="5">
        <v>528572308</v>
      </c>
      <c r="F326" s="5">
        <v>5272659</v>
      </c>
      <c r="G326" s="5">
        <v>471298</v>
      </c>
      <c r="J326" s="4">
        <v>2018</v>
      </c>
      <c r="K326" s="4">
        <v>216</v>
      </c>
      <c r="L326" s="3" t="s">
        <v>53</v>
      </c>
      <c r="M326" s="5">
        <v>23043358</v>
      </c>
      <c r="P326" s="4">
        <v>2025</v>
      </c>
      <c r="Q326" s="4">
        <v>250</v>
      </c>
      <c r="R326" s="3" t="s">
        <v>60</v>
      </c>
      <c r="S326" s="5">
        <v>525171285</v>
      </c>
    </row>
    <row r="327" spans="2:19" x14ac:dyDescent="0.3">
      <c r="B327" s="4">
        <v>2019</v>
      </c>
      <c r="C327" s="4">
        <v>216</v>
      </c>
      <c r="D327" s="3" t="s">
        <v>35</v>
      </c>
      <c r="E327" s="5">
        <v>1236715845</v>
      </c>
      <c r="F327" s="5">
        <v>17387636</v>
      </c>
      <c r="G327" s="5">
        <v>565077</v>
      </c>
      <c r="J327" s="4">
        <v>2019</v>
      </c>
      <c r="K327" s="4">
        <v>216</v>
      </c>
      <c r="L327" s="3" t="s">
        <v>43</v>
      </c>
      <c r="M327" s="5">
        <v>157876364</v>
      </c>
      <c r="P327" s="4">
        <v>2025</v>
      </c>
      <c r="Q327" s="4">
        <v>250</v>
      </c>
      <c r="R327" s="3" t="s">
        <v>61</v>
      </c>
      <c r="S327" s="5">
        <v>1431028</v>
      </c>
    </row>
    <row r="328" spans="2:19" x14ac:dyDescent="0.3">
      <c r="B328" s="4">
        <v>2019</v>
      </c>
      <c r="C328" s="4">
        <v>216</v>
      </c>
      <c r="D328" s="3" t="s">
        <v>36</v>
      </c>
      <c r="E328" s="5">
        <v>101908387</v>
      </c>
      <c r="F328" s="5">
        <v>2850922</v>
      </c>
      <c r="G328" s="5"/>
      <c r="J328" s="4">
        <v>2019</v>
      </c>
      <c r="K328" s="4">
        <v>216</v>
      </c>
      <c r="L328" s="3" t="s">
        <v>44</v>
      </c>
      <c r="M328" s="5">
        <v>18226019</v>
      </c>
      <c r="P328" s="4">
        <v>2025</v>
      </c>
      <c r="Q328" s="4">
        <v>250</v>
      </c>
      <c r="R328" s="3" t="s">
        <v>62</v>
      </c>
      <c r="S328" s="5">
        <v>326003423</v>
      </c>
    </row>
    <row r="329" spans="2:19" x14ac:dyDescent="0.3">
      <c r="B329" s="4">
        <v>2019</v>
      </c>
      <c r="C329" s="4">
        <v>216</v>
      </c>
      <c r="D329" s="3" t="s">
        <v>37</v>
      </c>
      <c r="E329" s="5">
        <v>1245156090</v>
      </c>
      <c r="F329" s="5">
        <v>17387636</v>
      </c>
      <c r="G329" s="5">
        <v>565077</v>
      </c>
      <c r="J329" s="4">
        <v>2019</v>
      </c>
      <c r="K329" s="4">
        <v>216</v>
      </c>
      <c r="L329" s="3" t="s">
        <v>45</v>
      </c>
      <c r="M329" s="5">
        <v>48761392</v>
      </c>
      <c r="P329" s="4">
        <v>2025</v>
      </c>
      <c r="Q329" s="4">
        <v>250</v>
      </c>
      <c r="R329" s="3" t="s">
        <v>63</v>
      </c>
      <c r="S329" s="5">
        <v>3548184245</v>
      </c>
    </row>
    <row r="330" spans="2:19" x14ac:dyDescent="0.3">
      <c r="B330" s="4">
        <v>2019</v>
      </c>
      <c r="C330" s="4">
        <v>216</v>
      </c>
      <c r="D330" s="3" t="s">
        <v>38</v>
      </c>
      <c r="E330" s="5">
        <v>1143247703</v>
      </c>
      <c r="F330" s="5">
        <v>14536714</v>
      </c>
      <c r="G330" s="5">
        <v>565077</v>
      </c>
      <c r="J330" s="4">
        <v>2019</v>
      </c>
      <c r="K330" s="4">
        <v>216</v>
      </c>
      <c r="L330" s="3" t="s">
        <v>46</v>
      </c>
      <c r="M330" s="5">
        <v>51783537</v>
      </c>
      <c r="P330" s="4">
        <v>2025</v>
      </c>
      <c r="Q330" s="4">
        <v>250</v>
      </c>
      <c r="R330" s="3" t="s">
        <v>64</v>
      </c>
      <c r="S330" s="5">
        <v>1961359620</v>
      </c>
    </row>
    <row r="331" spans="2:19" x14ac:dyDescent="0.3">
      <c r="B331" s="4">
        <v>2019</v>
      </c>
      <c r="C331" s="4">
        <v>216</v>
      </c>
      <c r="D331" s="3" t="s">
        <v>39</v>
      </c>
      <c r="E331" s="5">
        <v>428953227</v>
      </c>
      <c r="F331" s="5">
        <v>5819993</v>
      </c>
      <c r="G331" s="5">
        <v>90164</v>
      </c>
      <c r="J331" s="4">
        <v>2019</v>
      </c>
      <c r="K331" s="4">
        <v>216</v>
      </c>
      <c r="L331" s="3" t="s">
        <v>47</v>
      </c>
      <c r="M331" s="5">
        <v>51615143</v>
      </c>
      <c r="P331" s="4">
        <v>2025</v>
      </c>
      <c r="Q331" s="4">
        <v>250</v>
      </c>
      <c r="R331" s="3" t="s">
        <v>65</v>
      </c>
      <c r="S331" s="5">
        <v>187937578</v>
      </c>
    </row>
    <row r="332" spans="2:19" x14ac:dyDescent="0.3">
      <c r="B332" s="4">
        <v>2020</v>
      </c>
      <c r="C332" s="4">
        <v>216</v>
      </c>
      <c r="D332" s="3" t="s">
        <v>30</v>
      </c>
      <c r="E332" s="5">
        <v>1347383706</v>
      </c>
      <c r="F332" s="5">
        <v>16715399</v>
      </c>
      <c r="G332" s="5">
        <v>579796</v>
      </c>
      <c r="J332" s="4">
        <v>2019</v>
      </c>
      <c r="K332" s="4">
        <v>216</v>
      </c>
      <c r="L332" s="3" t="s">
        <v>48</v>
      </c>
      <c r="M332" s="5">
        <v>105256975</v>
      </c>
      <c r="P332" s="4">
        <v>2014</v>
      </c>
      <c r="Q332" s="4">
        <v>303</v>
      </c>
      <c r="R332" s="3" t="s">
        <v>59</v>
      </c>
      <c r="S332" s="5">
        <v>40709374</v>
      </c>
    </row>
    <row r="333" spans="2:19" x14ac:dyDescent="0.3">
      <c r="B333" s="4">
        <v>2020</v>
      </c>
      <c r="C333" s="4">
        <v>216</v>
      </c>
      <c r="D333" s="3" t="s">
        <v>31</v>
      </c>
      <c r="E333" s="5">
        <v>181631234</v>
      </c>
      <c r="F333" s="5">
        <v>3369260</v>
      </c>
      <c r="G333" s="5">
        <v>127</v>
      </c>
      <c r="J333" s="4">
        <v>2019</v>
      </c>
      <c r="K333" s="4">
        <v>216</v>
      </c>
      <c r="L333" s="3" t="s">
        <v>49</v>
      </c>
      <c r="M333" s="5">
        <v>839659736</v>
      </c>
      <c r="P333" s="4">
        <v>2014</v>
      </c>
      <c r="Q333" s="4">
        <v>303</v>
      </c>
      <c r="R333" s="3" t="s">
        <v>60</v>
      </c>
      <c r="S333" s="5">
        <v>663171827</v>
      </c>
    </row>
    <row r="334" spans="2:19" x14ac:dyDescent="0.3">
      <c r="B334" s="4">
        <v>2020</v>
      </c>
      <c r="C334" s="4">
        <v>216</v>
      </c>
      <c r="D334" s="3" t="s">
        <v>32</v>
      </c>
      <c r="E334" s="5">
        <v>109110328</v>
      </c>
      <c r="F334" s="5"/>
      <c r="G334" s="5"/>
      <c r="J334" s="4">
        <v>2019</v>
      </c>
      <c r="K334" s="4">
        <v>216</v>
      </c>
      <c r="L334" s="3" t="s">
        <v>50</v>
      </c>
      <c r="M334" s="5">
        <v>539454356</v>
      </c>
      <c r="P334" s="4">
        <v>2014</v>
      </c>
      <c r="Q334" s="4">
        <v>303</v>
      </c>
      <c r="R334" s="3" t="s">
        <v>62</v>
      </c>
      <c r="S334" s="5">
        <v>437565258</v>
      </c>
    </row>
    <row r="335" spans="2:19" x14ac:dyDescent="0.3">
      <c r="B335" s="4">
        <v>2020</v>
      </c>
      <c r="C335" s="4">
        <v>216</v>
      </c>
      <c r="D335" s="3" t="s">
        <v>40</v>
      </c>
      <c r="E335" s="5">
        <v>7774230</v>
      </c>
      <c r="F335" s="5"/>
      <c r="G335" s="5"/>
      <c r="J335" s="4">
        <v>2019</v>
      </c>
      <c r="K335" s="4">
        <v>216</v>
      </c>
      <c r="L335" s="3" t="s">
        <v>51</v>
      </c>
      <c r="M335" s="5">
        <v>280320697</v>
      </c>
      <c r="P335" s="4">
        <v>2014</v>
      </c>
      <c r="Q335" s="4">
        <v>303</v>
      </c>
      <c r="R335" s="3" t="s">
        <v>63</v>
      </c>
      <c r="S335" s="5">
        <v>5267001125</v>
      </c>
    </row>
    <row r="336" spans="2:19" x14ac:dyDescent="0.3">
      <c r="B336" s="4">
        <v>2020</v>
      </c>
      <c r="C336" s="4">
        <v>216</v>
      </c>
      <c r="D336" s="3" t="s">
        <v>33</v>
      </c>
      <c r="E336" s="5">
        <v>3816533</v>
      </c>
      <c r="F336" s="5">
        <v>30187</v>
      </c>
      <c r="G336" s="5">
        <v>3767</v>
      </c>
      <c r="J336" s="4">
        <v>2019</v>
      </c>
      <c r="K336" s="4">
        <v>216</v>
      </c>
      <c r="L336" s="3" t="s">
        <v>53</v>
      </c>
      <c r="M336" s="5">
        <v>22946814</v>
      </c>
      <c r="P336" s="4">
        <v>2014</v>
      </c>
      <c r="Q336" s="4">
        <v>303</v>
      </c>
      <c r="R336" s="3" t="s">
        <v>64</v>
      </c>
      <c r="S336" s="5">
        <v>2632619056</v>
      </c>
    </row>
    <row r="337" spans="2:19" x14ac:dyDescent="0.3">
      <c r="B337" s="4">
        <v>2020</v>
      </c>
      <c r="C337" s="4">
        <v>216</v>
      </c>
      <c r="D337" s="3" t="s">
        <v>34</v>
      </c>
      <c r="E337" s="5">
        <v>548813944</v>
      </c>
      <c r="F337" s="5">
        <v>5462557</v>
      </c>
      <c r="G337" s="5">
        <v>484432</v>
      </c>
      <c r="J337" s="4">
        <v>2020</v>
      </c>
      <c r="K337" s="4">
        <v>216</v>
      </c>
      <c r="L337" s="3" t="s">
        <v>43</v>
      </c>
      <c r="M337" s="5">
        <v>153914280</v>
      </c>
      <c r="P337" s="4">
        <v>2014</v>
      </c>
      <c r="Q337" s="4">
        <v>303</v>
      </c>
      <c r="R337" s="3" t="s">
        <v>65</v>
      </c>
      <c r="S337" s="5">
        <v>171415396</v>
      </c>
    </row>
    <row r="338" spans="2:19" x14ac:dyDescent="0.3">
      <c r="B338" s="4">
        <v>2020</v>
      </c>
      <c r="C338" s="4">
        <v>216</v>
      </c>
      <c r="D338" s="3" t="s">
        <v>35</v>
      </c>
      <c r="E338" s="5">
        <v>1238273378</v>
      </c>
      <c r="F338" s="5">
        <v>16715399</v>
      </c>
      <c r="G338" s="5">
        <v>579796</v>
      </c>
      <c r="J338" s="4">
        <v>2020</v>
      </c>
      <c r="K338" s="4">
        <v>216</v>
      </c>
      <c r="L338" s="3" t="s">
        <v>44</v>
      </c>
      <c r="M338" s="5">
        <v>22631364</v>
      </c>
      <c r="P338" s="4">
        <v>2015</v>
      </c>
      <c r="Q338" s="4">
        <v>303</v>
      </c>
      <c r="R338" s="3" t="s">
        <v>59</v>
      </c>
      <c r="S338" s="5">
        <v>37690560</v>
      </c>
    </row>
    <row r="339" spans="2:19" x14ac:dyDescent="0.3">
      <c r="B339" s="4">
        <v>2020</v>
      </c>
      <c r="C339" s="4">
        <v>216</v>
      </c>
      <c r="D339" s="3" t="s">
        <v>36</v>
      </c>
      <c r="E339" s="5">
        <v>66090671</v>
      </c>
      <c r="F339" s="5">
        <v>1887139</v>
      </c>
      <c r="G339" s="5"/>
      <c r="J339" s="4">
        <v>2020</v>
      </c>
      <c r="K339" s="4">
        <v>216</v>
      </c>
      <c r="L339" s="3" t="s">
        <v>45</v>
      </c>
      <c r="M339" s="5">
        <v>51175506</v>
      </c>
      <c r="P339" s="4">
        <v>2015</v>
      </c>
      <c r="Q339" s="4">
        <v>303</v>
      </c>
      <c r="R339" s="3" t="s">
        <v>60</v>
      </c>
      <c r="S339" s="5">
        <v>697031280</v>
      </c>
    </row>
    <row r="340" spans="2:19" x14ac:dyDescent="0.3">
      <c r="B340" s="4">
        <v>2020</v>
      </c>
      <c r="C340" s="4">
        <v>216</v>
      </c>
      <c r="D340" s="3" t="s">
        <v>37</v>
      </c>
      <c r="E340" s="5">
        <v>1246047608</v>
      </c>
      <c r="F340" s="5">
        <v>16715399</v>
      </c>
      <c r="G340" s="5">
        <v>579796</v>
      </c>
      <c r="J340" s="4">
        <v>2020</v>
      </c>
      <c r="K340" s="4">
        <v>216</v>
      </c>
      <c r="L340" s="3" t="s">
        <v>46</v>
      </c>
      <c r="M340" s="5">
        <v>50999666</v>
      </c>
      <c r="P340" s="4">
        <v>2015</v>
      </c>
      <c r="Q340" s="4">
        <v>303</v>
      </c>
      <c r="R340" s="3" t="s">
        <v>62</v>
      </c>
      <c r="S340" s="5">
        <v>422197831</v>
      </c>
    </row>
    <row r="341" spans="2:19" x14ac:dyDescent="0.3">
      <c r="B341" s="4">
        <v>2020</v>
      </c>
      <c r="C341" s="4">
        <v>216</v>
      </c>
      <c r="D341" s="3" t="s">
        <v>38</v>
      </c>
      <c r="E341" s="5">
        <v>1179956937</v>
      </c>
      <c r="F341" s="5">
        <v>14828260</v>
      </c>
      <c r="G341" s="5">
        <v>579796</v>
      </c>
      <c r="J341" s="4">
        <v>2020</v>
      </c>
      <c r="K341" s="4">
        <v>216</v>
      </c>
      <c r="L341" s="3" t="s">
        <v>47</v>
      </c>
      <c r="M341" s="5">
        <v>53062458</v>
      </c>
      <c r="P341" s="4">
        <v>2015</v>
      </c>
      <c r="Q341" s="4">
        <v>303</v>
      </c>
      <c r="R341" s="3" t="s">
        <v>63</v>
      </c>
      <c r="S341" s="5">
        <v>5235309367</v>
      </c>
    </row>
    <row r="342" spans="2:19" x14ac:dyDescent="0.3">
      <c r="B342" s="4">
        <v>2020</v>
      </c>
      <c r="C342" s="4">
        <v>216</v>
      </c>
      <c r="D342" s="3" t="s">
        <v>39</v>
      </c>
      <c r="E342" s="5">
        <v>445695226</v>
      </c>
      <c r="F342" s="5">
        <v>5966256</v>
      </c>
      <c r="G342" s="5">
        <v>91470</v>
      </c>
      <c r="J342" s="4">
        <v>2020</v>
      </c>
      <c r="K342" s="4">
        <v>216</v>
      </c>
      <c r="L342" s="3" t="s">
        <v>48</v>
      </c>
      <c r="M342" s="5">
        <v>119677855</v>
      </c>
      <c r="P342" s="4">
        <v>2015</v>
      </c>
      <c r="Q342" s="4">
        <v>303</v>
      </c>
      <c r="R342" s="3" t="s">
        <v>64</v>
      </c>
      <c r="S342" s="5">
        <v>2565045913</v>
      </c>
    </row>
    <row r="343" spans="2:19" x14ac:dyDescent="0.3">
      <c r="B343" s="4">
        <v>2021</v>
      </c>
      <c r="C343" s="4">
        <v>216</v>
      </c>
      <c r="D343" s="3" t="s">
        <v>30</v>
      </c>
      <c r="E343" s="5">
        <v>1456168287</v>
      </c>
      <c r="F343" s="5"/>
      <c r="G343" s="5"/>
      <c r="J343" s="4">
        <v>2020</v>
      </c>
      <c r="K343" s="4">
        <v>216</v>
      </c>
      <c r="L343" s="3" t="s">
        <v>49</v>
      </c>
      <c r="M343" s="5">
        <v>830516144</v>
      </c>
      <c r="P343" s="4">
        <v>2015</v>
      </c>
      <c r="Q343" s="4">
        <v>303</v>
      </c>
      <c r="R343" s="3" t="s">
        <v>65</v>
      </c>
      <c r="S343" s="5">
        <v>185302308</v>
      </c>
    </row>
    <row r="344" spans="2:19" x14ac:dyDescent="0.3">
      <c r="B344" s="4">
        <v>2021</v>
      </c>
      <c r="C344" s="4">
        <v>216</v>
      </c>
      <c r="D344" s="3" t="s">
        <v>31</v>
      </c>
      <c r="E344" s="5">
        <v>196176848</v>
      </c>
      <c r="F344" s="5">
        <v>3471486</v>
      </c>
      <c r="G344" s="5">
        <v>127</v>
      </c>
      <c r="J344" s="4">
        <v>2020</v>
      </c>
      <c r="K344" s="4">
        <v>216</v>
      </c>
      <c r="L344" s="3" t="s">
        <v>50</v>
      </c>
      <c r="M344" s="5">
        <v>526040454</v>
      </c>
      <c r="P344" s="4">
        <v>2016</v>
      </c>
      <c r="Q344" s="4">
        <v>303</v>
      </c>
      <c r="R344" s="3" t="s">
        <v>59</v>
      </c>
      <c r="S344" s="5">
        <v>38577000</v>
      </c>
    </row>
    <row r="345" spans="2:19" x14ac:dyDescent="0.3">
      <c r="B345" s="4">
        <v>2021</v>
      </c>
      <c r="C345" s="4">
        <v>216</v>
      </c>
      <c r="D345" s="3" t="s">
        <v>32</v>
      </c>
      <c r="E345" s="5">
        <v>108687976</v>
      </c>
      <c r="F345" s="5"/>
      <c r="G345" s="5"/>
      <c r="J345" s="4">
        <v>2020</v>
      </c>
      <c r="K345" s="4">
        <v>216</v>
      </c>
      <c r="L345" s="3" t="s">
        <v>51</v>
      </c>
      <c r="M345" s="5">
        <v>292909857</v>
      </c>
      <c r="P345" s="4">
        <v>2016</v>
      </c>
      <c r="Q345" s="4">
        <v>303</v>
      </c>
      <c r="R345" s="3" t="s">
        <v>60</v>
      </c>
      <c r="S345" s="5">
        <v>709094974</v>
      </c>
    </row>
    <row r="346" spans="2:19" x14ac:dyDescent="0.3">
      <c r="B346" s="4">
        <v>2021</v>
      </c>
      <c r="C346" s="4">
        <v>216</v>
      </c>
      <c r="D346" s="3" t="s">
        <v>40</v>
      </c>
      <c r="E346" s="5">
        <v>9348898</v>
      </c>
      <c r="F346" s="5"/>
      <c r="G346" s="5"/>
      <c r="J346" s="4">
        <v>2020</v>
      </c>
      <c r="K346" s="4">
        <v>216</v>
      </c>
      <c r="L346" s="3" t="s">
        <v>53</v>
      </c>
      <c r="M346" s="5">
        <v>25239288</v>
      </c>
      <c r="P346" s="4">
        <v>2016</v>
      </c>
      <c r="Q346" s="4">
        <v>303</v>
      </c>
      <c r="R346" s="3" t="s">
        <v>62</v>
      </c>
      <c r="S346" s="5">
        <v>399131517</v>
      </c>
    </row>
    <row r="347" spans="2:19" x14ac:dyDescent="0.3">
      <c r="B347" s="4">
        <v>2021</v>
      </c>
      <c r="C347" s="4">
        <v>216</v>
      </c>
      <c r="D347" s="3" t="s">
        <v>33</v>
      </c>
      <c r="E347" s="5">
        <v>3946139</v>
      </c>
      <c r="F347" s="5">
        <v>28062</v>
      </c>
      <c r="G347" s="5">
        <v>4118</v>
      </c>
      <c r="J347" s="4">
        <v>2021</v>
      </c>
      <c r="K347" s="4">
        <v>216</v>
      </c>
      <c r="L347" s="3" t="s">
        <v>43</v>
      </c>
      <c r="M347" s="5">
        <v>162042477</v>
      </c>
      <c r="P347" s="4">
        <v>2016</v>
      </c>
      <c r="Q347" s="4">
        <v>303</v>
      </c>
      <c r="R347" s="3" t="s">
        <v>63</v>
      </c>
      <c r="S347" s="5">
        <v>5201080711</v>
      </c>
    </row>
    <row r="348" spans="2:19" x14ac:dyDescent="0.3">
      <c r="B348" s="4">
        <v>2021</v>
      </c>
      <c r="C348" s="4">
        <v>216</v>
      </c>
      <c r="D348" s="3" t="s">
        <v>34</v>
      </c>
      <c r="E348" s="5">
        <v>584718584</v>
      </c>
      <c r="F348" s="5">
        <v>5644996</v>
      </c>
      <c r="G348" s="5">
        <v>499216</v>
      </c>
      <c r="J348" s="4">
        <v>2021</v>
      </c>
      <c r="K348" s="4">
        <v>216</v>
      </c>
      <c r="L348" s="3" t="s">
        <v>44</v>
      </c>
      <c r="M348" s="5">
        <v>19077480</v>
      </c>
      <c r="P348" s="4">
        <v>2016</v>
      </c>
      <c r="Q348" s="4">
        <v>303</v>
      </c>
      <c r="R348" s="3" t="s">
        <v>64</v>
      </c>
      <c r="S348" s="5">
        <v>2446363957</v>
      </c>
    </row>
    <row r="349" spans="2:19" x14ac:dyDescent="0.3">
      <c r="B349" s="4">
        <v>2021</v>
      </c>
      <c r="C349" s="4">
        <v>216</v>
      </c>
      <c r="D349" s="3" t="s">
        <v>35</v>
      </c>
      <c r="E349" s="5">
        <v>1347480311</v>
      </c>
      <c r="F349" s="5">
        <v>16744888</v>
      </c>
      <c r="G349" s="5">
        <v>596393</v>
      </c>
      <c r="J349" s="4">
        <v>2021</v>
      </c>
      <c r="K349" s="4">
        <v>216</v>
      </c>
      <c r="L349" s="3" t="s">
        <v>45</v>
      </c>
      <c r="M349" s="5">
        <v>38406390</v>
      </c>
      <c r="P349" s="4">
        <v>2016</v>
      </c>
      <c r="Q349" s="4">
        <v>303</v>
      </c>
      <c r="R349" s="3" t="s">
        <v>65</v>
      </c>
      <c r="S349" s="5">
        <v>189632535</v>
      </c>
    </row>
    <row r="350" spans="2:19" x14ac:dyDescent="0.3">
      <c r="B350" s="4">
        <v>2021</v>
      </c>
      <c r="C350" s="4">
        <v>216</v>
      </c>
      <c r="D350" s="3" t="s">
        <v>36</v>
      </c>
      <c r="E350" s="5">
        <v>90426613</v>
      </c>
      <c r="F350" s="5">
        <v>1339089</v>
      </c>
      <c r="G350" s="5"/>
      <c r="J350" s="4">
        <v>2021</v>
      </c>
      <c r="K350" s="4">
        <v>216</v>
      </c>
      <c r="L350" s="3" t="s">
        <v>46</v>
      </c>
      <c r="M350" s="5">
        <v>54208113</v>
      </c>
      <c r="P350" s="4">
        <v>2017</v>
      </c>
      <c r="Q350" s="4">
        <v>303</v>
      </c>
      <c r="R350" s="3" t="s">
        <v>59</v>
      </c>
      <c r="S350" s="5">
        <v>41396782</v>
      </c>
    </row>
    <row r="351" spans="2:19" x14ac:dyDescent="0.3">
      <c r="B351" s="4">
        <v>2021</v>
      </c>
      <c r="C351" s="4">
        <v>216</v>
      </c>
      <c r="D351" s="3" t="s">
        <v>37</v>
      </c>
      <c r="E351" s="5">
        <v>1356829209</v>
      </c>
      <c r="F351" s="5">
        <v>16744888</v>
      </c>
      <c r="G351" s="5">
        <v>596393</v>
      </c>
      <c r="J351" s="4">
        <v>2021</v>
      </c>
      <c r="K351" s="4">
        <v>216</v>
      </c>
      <c r="L351" s="3" t="s">
        <v>47</v>
      </c>
      <c r="M351" s="5">
        <v>85225955</v>
      </c>
      <c r="P351" s="4">
        <v>2017</v>
      </c>
      <c r="Q351" s="4">
        <v>303</v>
      </c>
      <c r="R351" s="3" t="s">
        <v>60</v>
      </c>
      <c r="S351" s="5">
        <v>727650690</v>
      </c>
    </row>
    <row r="352" spans="2:19" x14ac:dyDescent="0.3">
      <c r="B352" s="4">
        <v>2021</v>
      </c>
      <c r="C352" s="4">
        <v>216</v>
      </c>
      <c r="D352" s="3" t="s">
        <v>38</v>
      </c>
      <c r="E352" s="5">
        <v>1266402596</v>
      </c>
      <c r="F352" s="5">
        <v>15405799</v>
      </c>
      <c r="G352" s="5">
        <v>596393</v>
      </c>
      <c r="J352" s="4">
        <v>2021</v>
      </c>
      <c r="K352" s="4">
        <v>216</v>
      </c>
      <c r="L352" s="3" t="s">
        <v>48</v>
      </c>
      <c r="M352" s="5">
        <v>95323833</v>
      </c>
      <c r="P352" s="4">
        <v>2017</v>
      </c>
      <c r="Q352" s="4">
        <v>303</v>
      </c>
      <c r="R352" s="3" t="s">
        <v>62</v>
      </c>
      <c r="S352" s="5">
        <v>400069497</v>
      </c>
    </row>
    <row r="353" spans="2:19" x14ac:dyDescent="0.3">
      <c r="B353" s="4">
        <v>2021</v>
      </c>
      <c r="C353" s="4">
        <v>216</v>
      </c>
      <c r="D353" s="3" t="s">
        <v>39</v>
      </c>
      <c r="E353" s="5">
        <v>481561025</v>
      </c>
      <c r="F353" s="5">
        <v>6261255</v>
      </c>
      <c r="G353" s="5">
        <v>92932</v>
      </c>
      <c r="J353" s="4">
        <v>2021</v>
      </c>
      <c r="K353" s="4">
        <v>216</v>
      </c>
      <c r="L353" s="3" t="s">
        <v>55</v>
      </c>
      <c r="M353" s="5">
        <v>0</v>
      </c>
      <c r="P353" s="4">
        <v>2017</v>
      </c>
      <c r="Q353" s="4">
        <v>303</v>
      </c>
      <c r="R353" s="3" t="s">
        <v>63</v>
      </c>
      <c r="S353" s="5">
        <v>5242965626</v>
      </c>
    </row>
    <row r="354" spans="2:19" x14ac:dyDescent="0.3">
      <c r="B354" s="4">
        <v>2022</v>
      </c>
      <c r="C354" s="4">
        <v>216</v>
      </c>
      <c r="D354" s="3" t="s">
        <v>30</v>
      </c>
      <c r="E354" s="5">
        <v>1642534019</v>
      </c>
      <c r="F354" s="5"/>
      <c r="G354" s="5"/>
      <c r="J354" s="4">
        <v>2021</v>
      </c>
      <c r="K354" s="4">
        <v>216</v>
      </c>
      <c r="L354" s="3" t="s">
        <v>49</v>
      </c>
      <c r="M354" s="5">
        <v>917515192</v>
      </c>
      <c r="P354" s="4">
        <v>2017</v>
      </c>
      <c r="Q354" s="4">
        <v>303</v>
      </c>
      <c r="R354" s="3" t="s">
        <v>64</v>
      </c>
      <c r="S354" s="5">
        <v>2425109768</v>
      </c>
    </row>
    <row r="355" spans="2:19" x14ac:dyDescent="0.3">
      <c r="B355" s="4">
        <v>2022</v>
      </c>
      <c r="C355" s="4">
        <v>216</v>
      </c>
      <c r="D355" s="3" t="s">
        <v>31</v>
      </c>
      <c r="E355" s="5">
        <v>218518077</v>
      </c>
      <c r="F355" s="5">
        <v>3509694</v>
      </c>
      <c r="G355" s="5">
        <v>126</v>
      </c>
      <c r="J355" s="4">
        <v>2021</v>
      </c>
      <c r="K355" s="4">
        <v>216</v>
      </c>
      <c r="L355" s="3" t="s">
        <v>50</v>
      </c>
      <c r="M355" s="5">
        <v>614556294</v>
      </c>
      <c r="P355" s="4">
        <v>2017</v>
      </c>
      <c r="Q355" s="4">
        <v>303</v>
      </c>
      <c r="R355" s="3" t="s">
        <v>65</v>
      </c>
      <c r="S355" s="5">
        <v>196653710</v>
      </c>
    </row>
    <row r="356" spans="2:19" x14ac:dyDescent="0.3">
      <c r="B356" s="4">
        <v>2022</v>
      </c>
      <c r="C356" s="4">
        <v>216</v>
      </c>
      <c r="D356" s="3" t="s">
        <v>32</v>
      </c>
      <c r="E356" s="5">
        <v>118571648</v>
      </c>
      <c r="F356" s="5"/>
      <c r="G356" s="5"/>
      <c r="J356" s="4">
        <v>2021</v>
      </c>
      <c r="K356" s="4">
        <v>216</v>
      </c>
      <c r="L356" s="3" t="s">
        <v>51</v>
      </c>
      <c r="M356" s="5">
        <v>386658508</v>
      </c>
      <c r="P356" s="4">
        <v>2018</v>
      </c>
      <c r="Q356" s="4">
        <v>303</v>
      </c>
      <c r="R356" s="3" t="s">
        <v>59</v>
      </c>
      <c r="S356" s="5">
        <v>46883718</v>
      </c>
    </row>
    <row r="357" spans="2:19" x14ac:dyDescent="0.3">
      <c r="B357" s="4">
        <v>2022</v>
      </c>
      <c r="C357" s="4">
        <v>216</v>
      </c>
      <c r="D357" s="3" t="s">
        <v>40</v>
      </c>
      <c r="E357" s="5">
        <v>8780127</v>
      </c>
      <c r="F357" s="5"/>
      <c r="G357" s="5"/>
      <c r="J357" s="4">
        <v>2021</v>
      </c>
      <c r="K357" s="4">
        <v>216</v>
      </c>
      <c r="L357" s="3" t="s">
        <v>52</v>
      </c>
      <c r="M357" s="5">
        <v>0</v>
      </c>
      <c r="P357" s="4">
        <v>2018</v>
      </c>
      <c r="Q357" s="4">
        <v>303</v>
      </c>
      <c r="R357" s="3" t="s">
        <v>60</v>
      </c>
      <c r="S357" s="5">
        <v>908461901</v>
      </c>
    </row>
    <row r="358" spans="2:19" x14ac:dyDescent="0.3">
      <c r="B358" s="4">
        <v>2022</v>
      </c>
      <c r="C358" s="4">
        <v>216</v>
      </c>
      <c r="D358" s="3" t="s">
        <v>33</v>
      </c>
      <c r="E358" s="5">
        <v>4035747</v>
      </c>
      <c r="F358" s="5">
        <v>25950</v>
      </c>
      <c r="G358" s="5">
        <v>4431</v>
      </c>
      <c r="J358" s="4">
        <v>2021</v>
      </c>
      <c r="K358" s="4">
        <v>216</v>
      </c>
      <c r="L358" s="3" t="s">
        <v>53</v>
      </c>
      <c r="M358" s="5">
        <v>28491755</v>
      </c>
      <c r="P358" s="4">
        <v>2018</v>
      </c>
      <c r="Q358" s="4">
        <v>303</v>
      </c>
      <c r="R358" s="3" t="s">
        <v>62</v>
      </c>
      <c r="S358" s="5">
        <v>413932883</v>
      </c>
    </row>
    <row r="359" spans="2:19" x14ac:dyDescent="0.3">
      <c r="B359" s="4">
        <v>2022</v>
      </c>
      <c r="C359" s="4">
        <v>216</v>
      </c>
      <c r="D359" s="3" t="s">
        <v>34</v>
      </c>
      <c r="E359" s="5">
        <v>647174173</v>
      </c>
      <c r="F359" s="5">
        <v>6056124</v>
      </c>
      <c r="G359" s="5">
        <v>512803</v>
      </c>
      <c r="J359" s="4">
        <v>2022</v>
      </c>
      <c r="K359" s="4">
        <v>216</v>
      </c>
      <c r="L359" s="3" t="s">
        <v>43</v>
      </c>
      <c r="M359" s="5">
        <v>168736643</v>
      </c>
      <c r="P359" s="4">
        <v>2018</v>
      </c>
      <c r="Q359" s="4">
        <v>303</v>
      </c>
      <c r="R359" s="3" t="s">
        <v>63</v>
      </c>
      <c r="S359" s="5">
        <v>5090358956</v>
      </c>
    </row>
    <row r="360" spans="2:19" x14ac:dyDescent="0.3">
      <c r="B360" s="4">
        <v>2022</v>
      </c>
      <c r="C360" s="4">
        <v>216</v>
      </c>
      <c r="D360" s="3" t="s">
        <v>35</v>
      </c>
      <c r="E360" s="5">
        <v>1523962371</v>
      </c>
      <c r="F360" s="5">
        <v>17140587</v>
      </c>
      <c r="G360" s="5">
        <v>611597</v>
      </c>
      <c r="J360" s="4">
        <v>2022</v>
      </c>
      <c r="K360" s="4">
        <v>216</v>
      </c>
      <c r="L360" s="3" t="s">
        <v>44</v>
      </c>
      <c r="M360" s="5">
        <v>20773771</v>
      </c>
      <c r="P360" s="4">
        <v>2018</v>
      </c>
      <c r="Q360" s="4">
        <v>303</v>
      </c>
      <c r="R360" s="3" t="s">
        <v>64</v>
      </c>
      <c r="S360" s="5">
        <v>2470313861</v>
      </c>
    </row>
    <row r="361" spans="2:19" x14ac:dyDescent="0.3">
      <c r="B361" s="4">
        <v>2022</v>
      </c>
      <c r="C361" s="4">
        <v>216</v>
      </c>
      <c r="D361" s="3" t="s">
        <v>36</v>
      </c>
      <c r="E361" s="5">
        <v>145798279</v>
      </c>
      <c r="F361" s="5">
        <v>1318132</v>
      </c>
      <c r="G361" s="5"/>
      <c r="J361" s="4">
        <v>2022</v>
      </c>
      <c r="K361" s="4">
        <v>216</v>
      </c>
      <c r="L361" s="3" t="s">
        <v>45</v>
      </c>
      <c r="M361" s="5">
        <v>42534700</v>
      </c>
      <c r="P361" s="4">
        <v>2018</v>
      </c>
      <c r="Q361" s="4">
        <v>303</v>
      </c>
      <c r="R361" s="3" t="s">
        <v>65</v>
      </c>
      <c r="S361" s="5">
        <v>201255354</v>
      </c>
    </row>
    <row r="362" spans="2:19" x14ac:dyDescent="0.3">
      <c r="B362" s="4">
        <v>2022</v>
      </c>
      <c r="C362" s="4">
        <v>216</v>
      </c>
      <c r="D362" s="3" t="s">
        <v>37</v>
      </c>
      <c r="E362" s="5">
        <v>1532742498</v>
      </c>
      <c r="F362" s="5">
        <v>17140587</v>
      </c>
      <c r="G362" s="5">
        <v>611597</v>
      </c>
      <c r="J362" s="4">
        <v>2022</v>
      </c>
      <c r="K362" s="4">
        <v>216</v>
      </c>
      <c r="L362" s="3" t="s">
        <v>46</v>
      </c>
      <c r="M362" s="5">
        <v>63472208</v>
      </c>
      <c r="P362" s="4">
        <v>2019</v>
      </c>
      <c r="Q362" s="4">
        <v>303</v>
      </c>
      <c r="R362" s="3" t="s">
        <v>59</v>
      </c>
      <c r="S362" s="5">
        <v>49689883</v>
      </c>
    </row>
    <row r="363" spans="2:19" x14ac:dyDescent="0.3">
      <c r="B363" s="4">
        <v>2022</v>
      </c>
      <c r="C363" s="4">
        <v>216</v>
      </c>
      <c r="D363" s="3" t="s">
        <v>38</v>
      </c>
      <c r="E363" s="5">
        <v>1386944219</v>
      </c>
      <c r="F363" s="5">
        <v>15822455</v>
      </c>
      <c r="G363" s="5">
        <v>611597</v>
      </c>
      <c r="J363" s="4">
        <v>2022</v>
      </c>
      <c r="K363" s="4">
        <v>216</v>
      </c>
      <c r="L363" s="3" t="s">
        <v>47</v>
      </c>
      <c r="M363" s="5">
        <v>124658377</v>
      </c>
      <c r="P363" s="4">
        <v>2019</v>
      </c>
      <c r="Q363" s="4">
        <v>303</v>
      </c>
      <c r="R363" s="3" t="s">
        <v>60</v>
      </c>
      <c r="S363" s="5">
        <v>879989526</v>
      </c>
    </row>
    <row r="364" spans="2:19" x14ac:dyDescent="0.3">
      <c r="B364" s="4">
        <v>2022</v>
      </c>
      <c r="C364" s="4">
        <v>216</v>
      </c>
      <c r="D364" s="3" t="s">
        <v>39</v>
      </c>
      <c r="E364" s="5">
        <v>517216222</v>
      </c>
      <c r="F364" s="5">
        <v>6230687</v>
      </c>
      <c r="G364" s="5">
        <v>94237</v>
      </c>
      <c r="J364" s="4">
        <v>2022</v>
      </c>
      <c r="K364" s="4">
        <v>216</v>
      </c>
      <c r="L364" s="3" t="s">
        <v>48</v>
      </c>
      <c r="M364" s="5">
        <v>105551917</v>
      </c>
      <c r="P364" s="4">
        <v>2019</v>
      </c>
      <c r="Q364" s="4">
        <v>303</v>
      </c>
      <c r="R364" s="3" t="s">
        <v>62</v>
      </c>
      <c r="S364" s="5">
        <v>404986660</v>
      </c>
    </row>
    <row r="365" spans="2:19" x14ac:dyDescent="0.3">
      <c r="B365" s="4">
        <v>2023</v>
      </c>
      <c r="C365" s="4">
        <v>216</v>
      </c>
      <c r="D365" s="3" t="s">
        <v>30</v>
      </c>
      <c r="E365" s="5">
        <v>1763488760</v>
      </c>
      <c r="F365" s="5"/>
      <c r="G365" s="5"/>
      <c r="J365" s="4">
        <v>2022</v>
      </c>
      <c r="K365" s="4">
        <v>216</v>
      </c>
      <c r="L365" s="3" t="s">
        <v>55</v>
      </c>
      <c r="M365" s="5">
        <v>0</v>
      </c>
      <c r="P365" s="4">
        <v>2019</v>
      </c>
      <c r="Q365" s="4">
        <v>303</v>
      </c>
      <c r="R365" s="3" t="s">
        <v>63</v>
      </c>
      <c r="S365" s="5">
        <v>5065712793</v>
      </c>
    </row>
    <row r="366" spans="2:19" x14ac:dyDescent="0.3">
      <c r="B366" s="4">
        <v>2023</v>
      </c>
      <c r="C366" s="4">
        <v>216</v>
      </c>
      <c r="D366" s="3" t="s">
        <v>31</v>
      </c>
      <c r="E366" s="5">
        <v>245662658</v>
      </c>
      <c r="F366" s="5">
        <v>3537648</v>
      </c>
      <c r="G366" s="5">
        <v>131</v>
      </c>
      <c r="J366" s="4">
        <v>2022</v>
      </c>
      <c r="K366" s="4">
        <v>216</v>
      </c>
      <c r="L366" s="3" t="s">
        <v>49</v>
      </c>
      <c r="M366" s="5">
        <v>1103041646</v>
      </c>
      <c r="P366" s="4">
        <v>2019</v>
      </c>
      <c r="Q366" s="4">
        <v>303</v>
      </c>
      <c r="R366" s="3" t="s">
        <v>64</v>
      </c>
      <c r="S366" s="5">
        <v>2427820299</v>
      </c>
    </row>
    <row r="367" spans="2:19" x14ac:dyDescent="0.3">
      <c r="B367" s="4">
        <v>2023</v>
      </c>
      <c r="C367" s="4">
        <v>216</v>
      </c>
      <c r="D367" s="3" t="s">
        <v>32</v>
      </c>
      <c r="E367" s="5">
        <v>117737446</v>
      </c>
      <c r="F367" s="5"/>
      <c r="G367" s="5"/>
      <c r="J367" s="4">
        <v>2022</v>
      </c>
      <c r="K367" s="4">
        <v>216</v>
      </c>
      <c r="L367" s="3" t="s">
        <v>50</v>
      </c>
      <c r="M367" s="5">
        <v>771174009</v>
      </c>
      <c r="P367" s="4">
        <v>2019</v>
      </c>
      <c r="Q367" s="4">
        <v>303</v>
      </c>
      <c r="R367" s="3" t="s">
        <v>65</v>
      </c>
      <c r="S367" s="5">
        <v>199137026</v>
      </c>
    </row>
    <row r="368" spans="2:19" x14ac:dyDescent="0.3">
      <c r="B368" s="4">
        <v>2023</v>
      </c>
      <c r="C368" s="4">
        <v>216</v>
      </c>
      <c r="D368" s="3" t="s">
        <v>40</v>
      </c>
      <c r="E368" s="5">
        <v>8780127</v>
      </c>
      <c r="F368" s="5"/>
      <c r="G368" s="5"/>
      <c r="J368" s="4">
        <v>2022</v>
      </c>
      <c r="K368" s="4">
        <v>216</v>
      </c>
      <c r="L368" s="3" t="s">
        <v>51</v>
      </c>
      <c r="M368" s="5">
        <v>533032204</v>
      </c>
      <c r="P368" s="4">
        <v>2020</v>
      </c>
      <c r="Q368" s="4">
        <v>303</v>
      </c>
      <c r="R368" s="3" t="s">
        <v>59</v>
      </c>
      <c r="S368" s="5">
        <v>48015712</v>
      </c>
    </row>
    <row r="369" spans="2:19" x14ac:dyDescent="0.3">
      <c r="B369" s="4">
        <v>2023</v>
      </c>
      <c r="C369" s="4">
        <v>216</v>
      </c>
      <c r="D369" s="3" t="s">
        <v>33</v>
      </c>
      <c r="E369" s="5">
        <v>4183813</v>
      </c>
      <c r="F369" s="5">
        <v>24783</v>
      </c>
      <c r="G369" s="5">
        <v>4677</v>
      </c>
      <c r="J369" s="4">
        <v>2022</v>
      </c>
      <c r="K369" s="4">
        <v>216</v>
      </c>
      <c r="L369" s="3" t="s">
        <v>52</v>
      </c>
      <c r="M369" s="5">
        <v>0</v>
      </c>
      <c r="P369" s="4">
        <v>2020</v>
      </c>
      <c r="Q369" s="4">
        <v>303</v>
      </c>
      <c r="R369" s="3" t="s">
        <v>60</v>
      </c>
      <c r="S369" s="5">
        <v>1132669721</v>
      </c>
    </row>
    <row r="370" spans="2:19" x14ac:dyDescent="0.3">
      <c r="B370" s="4">
        <v>2023</v>
      </c>
      <c r="C370" s="4">
        <v>216</v>
      </c>
      <c r="D370" s="3" t="s">
        <v>34</v>
      </c>
      <c r="E370" s="5">
        <v>686508368</v>
      </c>
      <c r="F370" s="5">
        <v>5902715</v>
      </c>
      <c r="G370" s="5">
        <v>525110</v>
      </c>
      <c r="J370" s="4">
        <v>2022</v>
      </c>
      <c r="K370" s="4">
        <v>216</v>
      </c>
      <c r="L370" s="3" t="s">
        <v>53</v>
      </c>
      <c r="M370" s="5">
        <v>35663435</v>
      </c>
      <c r="P370" s="4">
        <v>2020</v>
      </c>
      <c r="Q370" s="4">
        <v>303</v>
      </c>
      <c r="R370" s="3" t="s">
        <v>62</v>
      </c>
      <c r="S370" s="5">
        <v>425975941</v>
      </c>
    </row>
    <row r="371" spans="2:19" x14ac:dyDescent="0.3">
      <c r="B371" s="4">
        <v>2023</v>
      </c>
      <c r="C371" s="4">
        <v>216</v>
      </c>
      <c r="D371" s="3" t="s">
        <v>35</v>
      </c>
      <c r="E371" s="5">
        <v>1645751314</v>
      </c>
      <c r="F371" s="5">
        <v>17610137</v>
      </c>
      <c r="G371" s="5">
        <v>625440</v>
      </c>
      <c r="J371" s="4">
        <v>2023</v>
      </c>
      <c r="K371" s="4">
        <v>216</v>
      </c>
      <c r="L371" s="3" t="s">
        <v>43</v>
      </c>
      <c r="M371" s="5">
        <v>174739005</v>
      </c>
      <c r="P371" s="4">
        <v>2020</v>
      </c>
      <c r="Q371" s="4">
        <v>303</v>
      </c>
      <c r="R371" s="3" t="s">
        <v>63</v>
      </c>
      <c r="S371" s="5">
        <v>5333490161</v>
      </c>
    </row>
    <row r="372" spans="2:19" x14ac:dyDescent="0.3">
      <c r="B372" s="4">
        <v>2023</v>
      </c>
      <c r="C372" s="4">
        <v>216</v>
      </c>
      <c r="D372" s="3" t="s">
        <v>36</v>
      </c>
      <c r="E372" s="5">
        <v>167834037</v>
      </c>
      <c r="F372" s="5">
        <v>2095145</v>
      </c>
      <c r="G372" s="5"/>
      <c r="J372" s="4">
        <v>2023</v>
      </c>
      <c r="K372" s="4">
        <v>216</v>
      </c>
      <c r="L372" s="3" t="s">
        <v>44</v>
      </c>
      <c r="M372" s="5">
        <v>22992868</v>
      </c>
      <c r="P372" s="4">
        <v>2020</v>
      </c>
      <c r="Q372" s="4">
        <v>303</v>
      </c>
      <c r="R372" s="3" t="s">
        <v>64</v>
      </c>
      <c r="S372" s="5">
        <v>2600315603</v>
      </c>
    </row>
    <row r="373" spans="2:19" x14ac:dyDescent="0.3">
      <c r="B373" s="4">
        <v>2023</v>
      </c>
      <c r="C373" s="4">
        <v>216</v>
      </c>
      <c r="D373" s="3" t="s">
        <v>37</v>
      </c>
      <c r="E373" s="5">
        <v>1654531441</v>
      </c>
      <c r="F373" s="5">
        <v>17610137</v>
      </c>
      <c r="G373" s="5">
        <v>625440</v>
      </c>
      <c r="J373" s="4">
        <v>2023</v>
      </c>
      <c r="K373" s="4">
        <v>216</v>
      </c>
      <c r="L373" s="3" t="s">
        <v>45</v>
      </c>
      <c r="M373" s="5">
        <v>41941467</v>
      </c>
      <c r="P373" s="4">
        <v>2020</v>
      </c>
      <c r="Q373" s="4">
        <v>303</v>
      </c>
      <c r="R373" s="3" t="s">
        <v>65</v>
      </c>
      <c r="S373" s="5">
        <v>208904338</v>
      </c>
    </row>
    <row r="374" spans="2:19" x14ac:dyDescent="0.3">
      <c r="B374" s="4">
        <v>2023</v>
      </c>
      <c r="C374" s="4">
        <v>216</v>
      </c>
      <c r="D374" s="3" t="s">
        <v>38</v>
      </c>
      <c r="E374" s="5">
        <v>1486697404</v>
      </c>
      <c r="F374" s="5">
        <v>15514992</v>
      </c>
      <c r="G374" s="5">
        <v>625440</v>
      </c>
      <c r="J374" s="4">
        <v>2023</v>
      </c>
      <c r="K374" s="4">
        <v>216</v>
      </c>
      <c r="L374" s="3" t="s">
        <v>46</v>
      </c>
      <c r="M374" s="5">
        <v>60864077</v>
      </c>
      <c r="P374" s="4">
        <v>2021</v>
      </c>
      <c r="Q374" s="4">
        <v>303</v>
      </c>
      <c r="R374" s="3" t="s">
        <v>59</v>
      </c>
      <c r="S374" s="5">
        <v>58932504</v>
      </c>
    </row>
    <row r="375" spans="2:19" x14ac:dyDescent="0.3">
      <c r="B375" s="4">
        <v>2023</v>
      </c>
      <c r="C375" s="4">
        <v>216</v>
      </c>
      <c r="D375" s="3" t="s">
        <v>39</v>
      </c>
      <c r="E375" s="5">
        <v>550342565</v>
      </c>
      <c r="F375" s="5">
        <v>6049846</v>
      </c>
      <c r="G375" s="5">
        <v>95522</v>
      </c>
      <c r="J375" s="4">
        <v>2023</v>
      </c>
      <c r="K375" s="4">
        <v>216</v>
      </c>
      <c r="L375" s="3" t="s">
        <v>47</v>
      </c>
      <c r="M375" s="5">
        <v>179905516</v>
      </c>
      <c r="P375" s="4">
        <v>2021</v>
      </c>
      <c r="Q375" s="4">
        <v>303</v>
      </c>
      <c r="R375" s="3" t="s">
        <v>60</v>
      </c>
      <c r="S375" s="5">
        <v>986207765</v>
      </c>
    </row>
    <row r="376" spans="2:19" x14ac:dyDescent="0.3">
      <c r="B376" s="4">
        <v>2024</v>
      </c>
      <c r="C376" s="4">
        <v>216</v>
      </c>
      <c r="D376" s="3" t="s">
        <v>30</v>
      </c>
      <c r="E376" s="5">
        <v>1818832846</v>
      </c>
      <c r="F376" s="5"/>
      <c r="G376" s="5"/>
      <c r="J376" s="4">
        <v>2023</v>
      </c>
      <c r="K376" s="4">
        <v>216</v>
      </c>
      <c r="L376" s="3" t="s">
        <v>48</v>
      </c>
      <c r="M376" s="5">
        <v>95499326</v>
      </c>
      <c r="P376" s="4">
        <v>2021</v>
      </c>
      <c r="Q376" s="4">
        <v>303</v>
      </c>
      <c r="R376" s="3" t="s">
        <v>61</v>
      </c>
      <c r="S376" s="5">
        <v>0</v>
      </c>
    </row>
    <row r="377" spans="2:19" x14ac:dyDescent="0.3">
      <c r="B377" s="4">
        <v>2024</v>
      </c>
      <c r="C377" s="4">
        <v>216</v>
      </c>
      <c r="D377" s="3" t="s">
        <v>31</v>
      </c>
      <c r="E377" s="5">
        <v>267210241</v>
      </c>
      <c r="F377" s="5">
        <v>3680289</v>
      </c>
      <c r="G377" s="5">
        <v>138</v>
      </c>
      <c r="J377" s="4">
        <v>2023</v>
      </c>
      <c r="K377" s="4">
        <v>216</v>
      </c>
      <c r="L377" s="3" t="s">
        <v>55</v>
      </c>
      <c r="M377" s="5">
        <v>0</v>
      </c>
      <c r="P377" s="4">
        <v>2021</v>
      </c>
      <c r="Q377" s="4">
        <v>303</v>
      </c>
      <c r="R377" s="3" t="s">
        <v>62</v>
      </c>
      <c r="S377" s="5">
        <v>382291665</v>
      </c>
    </row>
    <row r="378" spans="2:19" x14ac:dyDescent="0.3">
      <c r="B378" s="4">
        <v>2024</v>
      </c>
      <c r="C378" s="4">
        <v>216</v>
      </c>
      <c r="D378" s="3" t="s">
        <v>32</v>
      </c>
      <c r="E378" s="5">
        <v>123138829</v>
      </c>
      <c r="F378" s="5"/>
      <c r="G378" s="5"/>
      <c r="J378" s="4">
        <v>2023</v>
      </c>
      <c r="K378" s="4">
        <v>216</v>
      </c>
      <c r="L378" s="3" t="s">
        <v>49</v>
      </c>
      <c r="M378" s="5">
        <v>1209638999</v>
      </c>
      <c r="P378" s="4">
        <v>2021</v>
      </c>
      <c r="Q378" s="4">
        <v>303</v>
      </c>
      <c r="R378" s="3" t="s">
        <v>63</v>
      </c>
      <c r="S378" s="5">
        <v>5292889125</v>
      </c>
    </row>
    <row r="379" spans="2:19" x14ac:dyDescent="0.3">
      <c r="B379" s="4">
        <v>2024</v>
      </c>
      <c r="C379" s="4">
        <v>216</v>
      </c>
      <c r="D379" s="3" t="s">
        <v>40</v>
      </c>
      <c r="E379" s="5">
        <v>8225395</v>
      </c>
      <c r="F379" s="5"/>
      <c r="G379" s="5"/>
      <c r="J379" s="4">
        <v>2023</v>
      </c>
      <c r="K379" s="4">
        <v>216</v>
      </c>
      <c r="L379" s="3" t="s">
        <v>50</v>
      </c>
      <c r="M379" s="5">
        <v>873239337</v>
      </c>
      <c r="P379" s="4">
        <v>2021</v>
      </c>
      <c r="Q379" s="4">
        <v>303</v>
      </c>
      <c r="R379" s="3" t="s">
        <v>64</v>
      </c>
      <c r="S379" s="5">
        <v>2523615762</v>
      </c>
    </row>
    <row r="380" spans="2:19" x14ac:dyDescent="0.3">
      <c r="B380" s="4">
        <v>2024</v>
      </c>
      <c r="C380" s="4">
        <v>216</v>
      </c>
      <c r="D380" s="3" t="s">
        <v>33</v>
      </c>
      <c r="E380" s="5">
        <v>4349086</v>
      </c>
      <c r="F380" s="5">
        <v>24611</v>
      </c>
      <c r="G380" s="5">
        <v>4931</v>
      </c>
      <c r="J380" s="4">
        <v>2023</v>
      </c>
      <c r="K380" s="4">
        <v>216</v>
      </c>
      <c r="L380" s="3" t="s">
        <v>51</v>
      </c>
      <c r="M380" s="5">
        <v>490480562</v>
      </c>
      <c r="P380" s="4">
        <v>2021</v>
      </c>
      <c r="Q380" s="4">
        <v>303</v>
      </c>
      <c r="R380" s="3" t="s">
        <v>65</v>
      </c>
      <c r="S380" s="5">
        <v>213406731</v>
      </c>
    </row>
    <row r="381" spans="2:19" x14ac:dyDescent="0.3">
      <c r="B381" s="4">
        <v>2024</v>
      </c>
      <c r="C381" s="4">
        <v>216</v>
      </c>
      <c r="D381" s="3" t="s">
        <v>34</v>
      </c>
      <c r="E381" s="5">
        <v>700402010</v>
      </c>
      <c r="F381" s="5">
        <v>5963609</v>
      </c>
      <c r="G381" s="5">
        <v>539849</v>
      </c>
      <c r="J381" s="4">
        <v>2023</v>
      </c>
      <c r="K381" s="4">
        <v>216</v>
      </c>
      <c r="L381" s="3" t="s">
        <v>52</v>
      </c>
      <c r="M381" s="5">
        <v>0</v>
      </c>
      <c r="P381" s="4">
        <v>2022</v>
      </c>
      <c r="Q381" s="4">
        <v>303</v>
      </c>
      <c r="R381" s="3" t="s">
        <v>59</v>
      </c>
      <c r="S381" s="5">
        <v>64937656</v>
      </c>
    </row>
    <row r="382" spans="2:19" x14ac:dyDescent="0.3">
      <c r="B382" s="4">
        <v>2024</v>
      </c>
      <c r="C382" s="4">
        <v>216</v>
      </c>
      <c r="D382" s="3" t="s">
        <v>35</v>
      </c>
      <c r="E382" s="5">
        <v>1695694017</v>
      </c>
      <c r="F382" s="5">
        <v>18788477</v>
      </c>
      <c r="G382" s="5">
        <v>641566</v>
      </c>
      <c r="J382" s="4">
        <v>2023</v>
      </c>
      <c r="K382" s="4">
        <v>216</v>
      </c>
      <c r="L382" s="3" t="s">
        <v>53</v>
      </c>
      <c r="M382" s="5">
        <v>35159222</v>
      </c>
      <c r="P382" s="4">
        <v>2022</v>
      </c>
      <c r="Q382" s="4">
        <v>303</v>
      </c>
      <c r="R382" s="3" t="s">
        <v>60</v>
      </c>
      <c r="S382" s="5">
        <v>1016353629</v>
      </c>
    </row>
    <row r="383" spans="2:19" x14ac:dyDescent="0.3">
      <c r="B383" s="4">
        <v>2024</v>
      </c>
      <c r="C383" s="4">
        <v>216</v>
      </c>
      <c r="D383" s="3" t="s">
        <v>36</v>
      </c>
      <c r="E383" s="5">
        <v>142669958</v>
      </c>
      <c r="F383" s="5">
        <v>2817443</v>
      </c>
      <c r="G383" s="5"/>
      <c r="J383" s="4">
        <v>2024</v>
      </c>
      <c r="K383" s="4">
        <v>216</v>
      </c>
      <c r="L383" s="3" t="s">
        <v>43</v>
      </c>
      <c r="M383" s="5">
        <v>211838351</v>
      </c>
      <c r="P383" s="4">
        <v>2022</v>
      </c>
      <c r="Q383" s="4">
        <v>303</v>
      </c>
      <c r="R383" s="3" t="s">
        <v>61</v>
      </c>
      <c r="S383" s="5">
        <v>0</v>
      </c>
    </row>
    <row r="384" spans="2:19" x14ac:dyDescent="0.3">
      <c r="B384" s="4">
        <v>2024</v>
      </c>
      <c r="C384" s="4">
        <v>216</v>
      </c>
      <c r="D384" s="3" t="s">
        <v>37</v>
      </c>
      <c r="E384" s="5">
        <v>1703919412</v>
      </c>
      <c r="F384" s="5">
        <v>18788477</v>
      </c>
      <c r="G384" s="5">
        <v>641566</v>
      </c>
      <c r="J384" s="4">
        <v>2024</v>
      </c>
      <c r="K384" s="4">
        <v>216</v>
      </c>
      <c r="L384" s="3" t="s">
        <v>44</v>
      </c>
      <c r="M384" s="5">
        <v>24946138</v>
      </c>
      <c r="P384" s="4">
        <v>2022</v>
      </c>
      <c r="Q384" s="4">
        <v>303</v>
      </c>
      <c r="R384" s="3" t="s">
        <v>62</v>
      </c>
      <c r="S384" s="5">
        <v>420905231</v>
      </c>
    </row>
    <row r="385" spans="2:19" x14ac:dyDescent="0.3">
      <c r="B385" s="4">
        <v>2024</v>
      </c>
      <c r="C385" s="4">
        <v>216</v>
      </c>
      <c r="D385" s="3" t="s">
        <v>38</v>
      </c>
      <c r="E385" s="5">
        <v>1561249454</v>
      </c>
      <c r="F385" s="5">
        <v>15971034</v>
      </c>
      <c r="G385" s="5">
        <v>641566</v>
      </c>
      <c r="J385" s="4">
        <v>2024</v>
      </c>
      <c r="K385" s="4">
        <v>216</v>
      </c>
      <c r="L385" s="3" t="s">
        <v>45</v>
      </c>
      <c r="M385" s="5">
        <v>39798601</v>
      </c>
      <c r="P385" s="4">
        <v>2022</v>
      </c>
      <c r="Q385" s="4">
        <v>303</v>
      </c>
      <c r="R385" s="3" t="s">
        <v>63</v>
      </c>
      <c r="S385" s="5">
        <v>5666541404</v>
      </c>
    </row>
    <row r="386" spans="2:19" x14ac:dyDescent="0.3">
      <c r="B386" s="4">
        <v>2024</v>
      </c>
      <c r="C386" s="4">
        <v>216</v>
      </c>
      <c r="D386" s="3" t="s">
        <v>39</v>
      </c>
      <c r="E386" s="5">
        <v>589288117</v>
      </c>
      <c r="F386" s="5">
        <v>6302525</v>
      </c>
      <c r="G386" s="5">
        <v>96648</v>
      </c>
      <c r="J386" s="4">
        <v>2024</v>
      </c>
      <c r="K386" s="4">
        <v>216</v>
      </c>
      <c r="L386" s="3" t="s">
        <v>46</v>
      </c>
      <c r="M386" s="5">
        <v>81894482</v>
      </c>
      <c r="P386" s="4">
        <v>2022</v>
      </c>
      <c r="Q386" s="4">
        <v>303</v>
      </c>
      <c r="R386" s="3" t="s">
        <v>64</v>
      </c>
      <c r="S386" s="5">
        <v>2824097503</v>
      </c>
    </row>
    <row r="387" spans="2:19" x14ac:dyDescent="0.3">
      <c r="B387" s="4">
        <v>2025</v>
      </c>
      <c r="C387" s="4">
        <v>216</v>
      </c>
      <c r="D387" s="3" t="s">
        <v>30</v>
      </c>
      <c r="E387" s="5">
        <v>1804403419</v>
      </c>
      <c r="F387" s="5"/>
      <c r="G387" s="5"/>
      <c r="J387" s="4">
        <v>2024</v>
      </c>
      <c r="K387" s="4">
        <v>216</v>
      </c>
      <c r="L387" s="3" t="s">
        <v>47</v>
      </c>
      <c r="M387" s="5">
        <v>161776803</v>
      </c>
      <c r="P387" s="4">
        <v>2022</v>
      </c>
      <c r="Q387" s="4">
        <v>303</v>
      </c>
      <c r="R387" s="3" t="s">
        <v>65</v>
      </c>
      <c r="S387" s="5">
        <v>194545089</v>
      </c>
    </row>
    <row r="388" spans="2:19" x14ac:dyDescent="0.3">
      <c r="B388" s="4">
        <v>2025</v>
      </c>
      <c r="C388" s="4">
        <v>216</v>
      </c>
      <c r="D388" s="3" t="s">
        <v>31</v>
      </c>
      <c r="E388" s="5">
        <v>270596771</v>
      </c>
      <c r="F388" s="5">
        <v>3778206</v>
      </c>
      <c r="G388" s="5">
        <v>149</v>
      </c>
      <c r="J388" s="4">
        <v>2024</v>
      </c>
      <c r="K388" s="4">
        <v>216</v>
      </c>
      <c r="L388" s="3" t="s">
        <v>48</v>
      </c>
      <c r="M388" s="5">
        <v>97426834</v>
      </c>
      <c r="P388" s="4">
        <v>2023</v>
      </c>
      <c r="Q388" s="4">
        <v>303</v>
      </c>
      <c r="R388" s="3" t="s">
        <v>59</v>
      </c>
      <c r="S388" s="5">
        <v>62649787</v>
      </c>
    </row>
    <row r="389" spans="2:19" x14ac:dyDescent="0.3">
      <c r="B389" s="4">
        <v>2025</v>
      </c>
      <c r="C389" s="4">
        <v>216</v>
      </c>
      <c r="D389" s="3" t="s">
        <v>32</v>
      </c>
      <c r="E389" s="5">
        <v>123442227</v>
      </c>
      <c r="F389" s="5"/>
      <c r="G389" s="5"/>
      <c r="J389" s="4">
        <v>2024</v>
      </c>
      <c r="K389" s="4">
        <v>216</v>
      </c>
      <c r="L389" s="3" t="s">
        <v>55</v>
      </c>
      <c r="M389" s="5">
        <v>0</v>
      </c>
      <c r="P389" s="4">
        <v>2023</v>
      </c>
      <c r="Q389" s="4">
        <v>303</v>
      </c>
      <c r="R389" s="3" t="s">
        <v>60</v>
      </c>
      <c r="S389" s="5">
        <v>1023482570</v>
      </c>
    </row>
    <row r="390" spans="2:19" x14ac:dyDescent="0.3">
      <c r="B390" s="4">
        <v>2025</v>
      </c>
      <c r="C390" s="4">
        <v>216</v>
      </c>
      <c r="D390" s="3" t="s">
        <v>40</v>
      </c>
      <c r="E390" s="5">
        <v>15119961</v>
      </c>
      <c r="F390" s="5"/>
      <c r="G390" s="5"/>
      <c r="J390" s="4">
        <v>2024</v>
      </c>
      <c r="K390" s="4">
        <v>216</v>
      </c>
      <c r="L390" s="3" t="s">
        <v>49</v>
      </c>
      <c r="M390" s="5">
        <v>1253865965</v>
      </c>
      <c r="P390" s="4">
        <v>2023</v>
      </c>
      <c r="Q390" s="4">
        <v>303</v>
      </c>
      <c r="R390" s="3" t="s">
        <v>61</v>
      </c>
      <c r="S390" s="5">
        <v>0</v>
      </c>
    </row>
    <row r="391" spans="2:19" x14ac:dyDescent="0.3">
      <c r="B391" s="4">
        <v>2025</v>
      </c>
      <c r="C391" s="4">
        <v>216</v>
      </c>
      <c r="D391" s="3" t="s">
        <v>33</v>
      </c>
      <c r="E391" s="5">
        <v>4516904</v>
      </c>
      <c r="F391" s="5">
        <v>25247</v>
      </c>
      <c r="G391" s="5">
        <v>5229</v>
      </c>
      <c r="J391" s="4">
        <v>2024</v>
      </c>
      <c r="K391" s="4">
        <v>216</v>
      </c>
      <c r="L391" s="3" t="s">
        <v>50</v>
      </c>
      <c r="M391" s="5">
        <v>855896983</v>
      </c>
      <c r="P391" s="4">
        <v>2023</v>
      </c>
      <c r="Q391" s="4">
        <v>303</v>
      </c>
      <c r="R391" s="3" t="s">
        <v>62</v>
      </c>
      <c r="S391" s="5">
        <v>577845897</v>
      </c>
    </row>
    <row r="392" spans="2:19" x14ac:dyDescent="0.3">
      <c r="B392" s="4">
        <v>2025</v>
      </c>
      <c r="C392" s="4">
        <v>216</v>
      </c>
      <c r="D392" s="3" t="s">
        <v>34</v>
      </c>
      <c r="E392" s="5">
        <v>708143132</v>
      </c>
      <c r="F392" s="5">
        <v>6010290</v>
      </c>
      <c r="G392" s="5">
        <v>554211</v>
      </c>
      <c r="J392" s="4">
        <v>2024</v>
      </c>
      <c r="K392" s="4">
        <v>216</v>
      </c>
      <c r="L392" s="3" t="s">
        <v>51</v>
      </c>
      <c r="M392" s="5">
        <v>411969444</v>
      </c>
      <c r="P392" s="4">
        <v>2023</v>
      </c>
      <c r="Q392" s="4">
        <v>303</v>
      </c>
      <c r="R392" s="3" t="s">
        <v>63</v>
      </c>
      <c r="S392" s="5">
        <v>5930844038</v>
      </c>
    </row>
    <row r="393" spans="2:19" x14ac:dyDescent="0.3">
      <c r="B393" s="4">
        <v>2025</v>
      </c>
      <c r="C393" s="4">
        <v>216</v>
      </c>
      <c r="D393" s="3" t="s">
        <v>35</v>
      </c>
      <c r="E393" s="5">
        <v>1680961192</v>
      </c>
      <c r="F393" s="5">
        <v>19076309</v>
      </c>
      <c r="G393" s="5">
        <v>657261</v>
      </c>
      <c r="J393" s="4">
        <v>2024</v>
      </c>
      <c r="K393" s="4">
        <v>216</v>
      </c>
      <c r="L393" s="3" t="s">
        <v>52</v>
      </c>
      <c r="M393" s="5">
        <v>0</v>
      </c>
      <c r="P393" s="4">
        <v>2023</v>
      </c>
      <c r="Q393" s="4">
        <v>303</v>
      </c>
      <c r="R393" s="3" t="s">
        <v>64</v>
      </c>
      <c r="S393" s="5">
        <v>4860680613</v>
      </c>
    </row>
    <row r="394" spans="2:19" x14ac:dyDescent="0.3">
      <c r="B394" s="4">
        <v>2025</v>
      </c>
      <c r="C394" s="4">
        <v>216</v>
      </c>
      <c r="D394" s="3" t="s">
        <v>36</v>
      </c>
      <c r="E394" s="5">
        <v>124539480</v>
      </c>
      <c r="F394" s="5">
        <v>2896549</v>
      </c>
      <c r="G394" s="5"/>
      <c r="J394" s="4">
        <v>2024</v>
      </c>
      <c r="K394" s="4">
        <v>216</v>
      </c>
      <c r="L394" s="3" t="s">
        <v>53</v>
      </c>
      <c r="M394" s="5">
        <v>38938678</v>
      </c>
      <c r="P394" s="4">
        <v>2023</v>
      </c>
      <c r="Q394" s="4">
        <v>303</v>
      </c>
      <c r="R394" s="3" t="s">
        <v>65</v>
      </c>
      <c r="S394" s="5">
        <v>215228266</v>
      </c>
    </row>
    <row r="395" spans="2:19" x14ac:dyDescent="0.3">
      <c r="B395" s="4">
        <v>2025</v>
      </c>
      <c r="C395" s="4">
        <v>216</v>
      </c>
      <c r="D395" s="3" t="s">
        <v>37</v>
      </c>
      <c r="E395" s="5">
        <v>1696081153</v>
      </c>
      <c r="F395" s="5">
        <v>19076309</v>
      </c>
      <c r="G395" s="5">
        <v>657261</v>
      </c>
      <c r="J395" s="4">
        <v>2025</v>
      </c>
      <c r="K395" s="4">
        <v>216</v>
      </c>
      <c r="L395" s="3" t="s">
        <v>43</v>
      </c>
      <c r="M395" s="5">
        <v>222668993</v>
      </c>
      <c r="P395" s="4">
        <v>2024</v>
      </c>
      <c r="Q395" s="4">
        <v>303</v>
      </c>
      <c r="R395" s="3" t="s">
        <v>59</v>
      </c>
      <c r="S395" s="5">
        <v>69382163</v>
      </c>
    </row>
    <row r="396" spans="2:19" x14ac:dyDescent="0.3">
      <c r="B396" s="4">
        <v>2025</v>
      </c>
      <c r="C396" s="4">
        <v>216</v>
      </c>
      <c r="D396" s="3" t="s">
        <v>38</v>
      </c>
      <c r="E396" s="5">
        <v>1571541674</v>
      </c>
      <c r="F396" s="5">
        <v>16179760</v>
      </c>
      <c r="G396" s="5">
        <v>657261</v>
      </c>
      <c r="J396" s="4">
        <v>2025</v>
      </c>
      <c r="K396" s="4">
        <v>216</v>
      </c>
      <c r="L396" s="3" t="s">
        <v>44</v>
      </c>
      <c r="M396" s="5">
        <v>20747497</v>
      </c>
      <c r="P396" s="4">
        <v>2024</v>
      </c>
      <c r="Q396" s="4">
        <v>303</v>
      </c>
      <c r="R396" s="3" t="s">
        <v>60</v>
      </c>
      <c r="S396" s="5">
        <v>1045757086</v>
      </c>
    </row>
    <row r="397" spans="2:19" x14ac:dyDescent="0.3">
      <c r="B397" s="4">
        <v>2025</v>
      </c>
      <c r="C397" s="4">
        <v>216</v>
      </c>
      <c r="D397" s="3" t="s">
        <v>39</v>
      </c>
      <c r="E397" s="5">
        <v>588284867</v>
      </c>
      <c r="F397" s="5">
        <v>6366016</v>
      </c>
      <c r="G397" s="5">
        <v>97672</v>
      </c>
      <c r="J397" s="4">
        <v>2025</v>
      </c>
      <c r="K397" s="4">
        <v>216</v>
      </c>
      <c r="L397" s="3" t="s">
        <v>45</v>
      </c>
      <c r="M397" s="5">
        <v>42795137</v>
      </c>
      <c r="P397" s="4">
        <v>2024</v>
      </c>
      <c r="Q397" s="4">
        <v>303</v>
      </c>
      <c r="R397" s="3" t="s">
        <v>61</v>
      </c>
      <c r="S397" s="5">
        <v>0</v>
      </c>
    </row>
    <row r="398" spans="2:19" x14ac:dyDescent="0.3">
      <c r="B398" s="4">
        <v>2014</v>
      </c>
      <c r="C398" s="4">
        <v>250</v>
      </c>
      <c r="D398" s="3" t="s">
        <v>30</v>
      </c>
      <c r="E398" s="5">
        <v>1926578668</v>
      </c>
      <c r="F398" s="5">
        <v>21080082</v>
      </c>
      <c r="G398" s="5">
        <v>841033</v>
      </c>
      <c r="J398" s="4">
        <v>2025</v>
      </c>
      <c r="K398" s="4">
        <v>216</v>
      </c>
      <c r="L398" s="3" t="s">
        <v>46</v>
      </c>
      <c r="M398" s="5">
        <v>85573620</v>
      </c>
      <c r="P398" s="4">
        <v>2024</v>
      </c>
      <c r="Q398" s="4">
        <v>303</v>
      </c>
      <c r="R398" s="3" t="s">
        <v>62</v>
      </c>
      <c r="S398" s="5">
        <v>607876783</v>
      </c>
    </row>
    <row r="399" spans="2:19" x14ac:dyDescent="0.3">
      <c r="B399" s="4">
        <v>2014</v>
      </c>
      <c r="C399" s="4">
        <v>250</v>
      </c>
      <c r="D399" s="3" t="s">
        <v>31</v>
      </c>
      <c r="E399" s="5">
        <v>221298764</v>
      </c>
      <c r="F399" s="5">
        <v>3210619</v>
      </c>
      <c r="G399" s="5">
        <v>260</v>
      </c>
      <c r="J399" s="4">
        <v>2025</v>
      </c>
      <c r="K399" s="4">
        <v>216</v>
      </c>
      <c r="L399" s="3" t="s">
        <v>47</v>
      </c>
      <c r="M399" s="5">
        <v>137312521</v>
      </c>
      <c r="P399" s="4">
        <v>2024</v>
      </c>
      <c r="Q399" s="4">
        <v>303</v>
      </c>
      <c r="R399" s="3" t="s">
        <v>63</v>
      </c>
      <c r="S399" s="5">
        <v>6587229882</v>
      </c>
    </row>
    <row r="400" spans="2:19" x14ac:dyDescent="0.3">
      <c r="B400" s="4">
        <v>2014</v>
      </c>
      <c r="C400" s="4">
        <v>250</v>
      </c>
      <c r="D400" s="3" t="s">
        <v>32</v>
      </c>
      <c r="E400" s="5">
        <v>78961758</v>
      </c>
      <c r="F400" s="5"/>
      <c r="G400" s="5"/>
      <c r="J400" s="4">
        <v>2025</v>
      </c>
      <c r="K400" s="4">
        <v>216</v>
      </c>
      <c r="L400" s="3" t="s">
        <v>56</v>
      </c>
      <c r="M400" s="5">
        <v>0</v>
      </c>
      <c r="P400" s="4">
        <v>2024</v>
      </c>
      <c r="Q400" s="4">
        <v>303</v>
      </c>
      <c r="R400" s="3" t="s">
        <v>64</v>
      </c>
      <c r="S400" s="5">
        <v>4097168720</v>
      </c>
    </row>
    <row r="401" spans="2:19" x14ac:dyDescent="0.3">
      <c r="B401" s="4">
        <v>2014</v>
      </c>
      <c r="C401" s="4">
        <v>250</v>
      </c>
      <c r="D401" s="3" t="s">
        <v>40</v>
      </c>
      <c r="E401" s="5">
        <v>3398715</v>
      </c>
      <c r="F401" s="5"/>
      <c r="G401" s="5"/>
      <c r="J401" s="4">
        <v>2025</v>
      </c>
      <c r="K401" s="4">
        <v>216</v>
      </c>
      <c r="L401" s="3" t="s">
        <v>48</v>
      </c>
      <c r="M401" s="5">
        <v>115924068</v>
      </c>
      <c r="P401" s="4">
        <v>2024</v>
      </c>
      <c r="Q401" s="4">
        <v>303</v>
      </c>
      <c r="R401" s="3" t="s">
        <v>65</v>
      </c>
      <c r="S401" s="5">
        <v>217834522</v>
      </c>
    </row>
    <row r="402" spans="2:19" x14ac:dyDescent="0.3">
      <c r="B402" s="4">
        <v>2014</v>
      </c>
      <c r="C402" s="4">
        <v>250</v>
      </c>
      <c r="D402" s="3" t="s">
        <v>33</v>
      </c>
      <c r="E402" s="5">
        <v>17151203</v>
      </c>
      <c r="F402" s="5">
        <v>97100</v>
      </c>
      <c r="G402" s="5">
        <v>211</v>
      </c>
      <c r="J402" s="4">
        <v>2025</v>
      </c>
      <c r="K402" s="4">
        <v>216</v>
      </c>
      <c r="L402" s="3" t="s">
        <v>55</v>
      </c>
      <c r="M402" s="5">
        <v>0</v>
      </c>
      <c r="P402" s="4">
        <v>2025</v>
      </c>
      <c r="Q402" s="4">
        <v>303</v>
      </c>
      <c r="R402" s="3" t="s">
        <v>59</v>
      </c>
      <c r="S402" s="5">
        <v>9557343</v>
      </c>
    </row>
    <row r="403" spans="2:19" x14ac:dyDescent="0.3">
      <c r="B403" s="4">
        <v>2014</v>
      </c>
      <c r="C403" s="4">
        <v>250</v>
      </c>
      <c r="D403" s="3" t="s">
        <v>34</v>
      </c>
      <c r="E403" s="5">
        <v>848594155</v>
      </c>
      <c r="F403" s="5">
        <v>7461863</v>
      </c>
      <c r="G403" s="5">
        <v>735502</v>
      </c>
      <c r="J403" s="4">
        <v>2025</v>
      </c>
      <c r="K403" s="4">
        <v>216</v>
      </c>
      <c r="L403" s="3" t="s">
        <v>49</v>
      </c>
      <c r="M403" s="5">
        <v>1172812473</v>
      </c>
      <c r="P403" s="4">
        <v>2025</v>
      </c>
      <c r="Q403" s="4">
        <v>303</v>
      </c>
      <c r="R403" s="3" t="s">
        <v>60</v>
      </c>
      <c r="S403" s="5">
        <v>1245953331</v>
      </c>
    </row>
    <row r="404" spans="2:19" x14ac:dyDescent="0.3">
      <c r="B404" s="4">
        <v>2014</v>
      </c>
      <c r="C404" s="4">
        <v>250</v>
      </c>
      <c r="D404" s="3" t="s">
        <v>35</v>
      </c>
      <c r="E404" s="5">
        <v>1847616910</v>
      </c>
      <c r="F404" s="5">
        <v>21080082</v>
      </c>
      <c r="G404" s="5">
        <v>841033</v>
      </c>
      <c r="J404" s="4">
        <v>2025</v>
      </c>
      <c r="K404" s="4">
        <v>216</v>
      </c>
      <c r="L404" s="3" t="s">
        <v>50</v>
      </c>
      <c r="M404" s="5">
        <v>752622372</v>
      </c>
      <c r="P404" s="4">
        <v>2025</v>
      </c>
      <c r="Q404" s="4">
        <v>303</v>
      </c>
      <c r="R404" s="3" t="s">
        <v>61</v>
      </c>
      <c r="S404" s="5">
        <v>0</v>
      </c>
    </row>
    <row r="405" spans="2:19" x14ac:dyDescent="0.3">
      <c r="B405" s="4">
        <v>2014</v>
      </c>
      <c r="C405" s="4">
        <v>250</v>
      </c>
      <c r="D405" s="3" t="s">
        <v>36</v>
      </c>
      <c r="E405" s="5">
        <v>130021814</v>
      </c>
      <c r="F405" s="5">
        <v>3476895</v>
      </c>
      <c r="G405" s="5">
        <v>40</v>
      </c>
      <c r="J405" s="4">
        <v>2025</v>
      </c>
      <c r="K405" s="4">
        <v>216</v>
      </c>
      <c r="L405" s="3" t="s">
        <v>54</v>
      </c>
      <c r="M405" s="5">
        <v>0</v>
      </c>
      <c r="P405" s="4">
        <v>2025</v>
      </c>
      <c r="Q405" s="4">
        <v>303</v>
      </c>
      <c r="R405" s="3" t="s">
        <v>62</v>
      </c>
      <c r="S405" s="5">
        <v>620364485</v>
      </c>
    </row>
    <row r="406" spans="2:19" x14ac:dyDescent="0.3">
      <c r="B406" s="4">
        <v>2014</v>
      </c>
      <c r="C406" s="4">
        <v>250</v>
      </c>
      <c r="D406" s="3" t="s">
        <v>37</v>
      </c>
      <c r="E406" s="5">
        <v>1851015625</v>
      </c>
      <c r="F406" s="5">
        <v>21080082</v>
      </c>
      <c r="G406" s="5">
        <v>841033</v>
      </c>
      <c r="J406" s="4">
        <v>2025</v>
      </c>
      <c r="K406" s="4">
        <v>216</v>
      </c>
      <c r="L406" s="3" t="s">
        <v>51</v>
      </c>
      <c r="M406" s="5">
        <v>380182702</v>
      </c>
      <c r="P406" s="4">
        <v>2025</v>
      </c>
      <c r="Q406" s="4">
        <v>303</v>
      </c>
      <c r="R406" s="3" t="s">
        <v>63</v>
      </c>
      <c r="S406" s="5">
        <v>7440615463</v>
      </c>
    </row>
    <row r="407" spans="2:19" x14ac:dyDescent="0.3">
      <c r="B407" s="4">
        <v>2014</v>
      </c>
      <c r="C407" s="4">
        <v>250</v>
      </c>
      <c r="D407" s="3" t="s">
        <v>38</v>
      </c>
      <c r="E407" s="5">
        <v>1720993811</v>
      </c>
      <c r="F407" s="5">
        <v>17603187</v>
      </c>
      <c r="G407" s="5">
        <v>840993</v>
      </c>
      <c r="J407" s="4">
        <v>2025</v>
      </c>
      <c r="K407" s="4">
        <v>216</v>
      </c>
      <c r="L407" s="3" t="s">
        <v>52</v>
      </c>
      <c r="M407" s="5">
        <v>0</v>
      </c>
      <c r="P407" s="4">
        <v>2025</v>
      </c>
      <c r="Q407" s="4">
        <v>303</v>
      </c>
      <c r="R407" s="3" t="s">
        <v>64</v>
      </c>
      <c r="S407" s="5">
        <v>4473188770</v>
      </c>
    </row>
    <row r="408" spans="2:19" x14ac:dyDescent="0.3">
      <c r="B408" s="4">
        <v>2014</v>
      </c>
      <c r="C408" s="4">
        <v>250</v>
      </c>
      <c r="D408" s="3" t="s">
        <v>39</v>
      </c>
      <c r="E408" s="5">
        <v>633949689</v>
      </c>
      <c r="F408" s="5">
        <v>6833605</v>
      </c>
      <c r="G408" s="5">
        <v>105020</v>
      </c>
      <c r="J408" s="4">
        <v>2025</v>
      </c>
      <c r="K408" s="4">
        <v>216</v>
      </c>
      <c r="L408" s="3" t="s">
        <v>57</v>
      </c>
      <c r="M408" s="5">
        <v>0</v>
      </c>
      <c r="P408" s="4">
        <v>2025</v>
      </c>
      <c r="Q408" s="4">
        <v>303</v>
      </c>
      <c r="R408" s="3" t="s">
        <v>65</v>
      </c>
      <c r="S408" s="5">
        <v>238675192</v>
      </c>
    </row>
    <row r="409" spans="2:19" x14ac:dyDescent="0.3">
      <c r="B409" s="4">
        <v>2015</v>
      </c>
      <c r="C409" s="4">
        <v>250</v>
      </c>
      <c r="D409" s="3" t="s">
        <v>30</v>
      </c>
      <c r="E409" s="5">
        <v>1914921070</v>
      </c>
      <c r="F409" s="5">
        <v>20859230</v>
      </c>
      <c r="G409" s="5">
        <v>848564</v>
      </c>
      <c r="J409" s="4">
        <v>2025</v>
      </c>
      <c r="K409" s="4">
        <v>216</v>
      </c>
      <c r="L409" s="3" t="s">
        <v>53</v>
      </c>
      <c r="M409" s="5">
        <v>33196902</v>
      </c>
    </row>
    <row r="410" spans="2:19" x14ac:dyDescent="0.3">
      <c r="B410" s="4">
        <v>2015</v>
      </c>
      <c r="C410" s="4">
        <v>250</v>
      </c>
      <c r="D410" s="3" t="s">
        <v>31</v>
      </c>
      <c r="E410" s="5">
        <v>227985121</v>
      </c>
      <c r="F410" s="5">
        <v>3369215</v>
      </c>
      <c r="G410" s="5">
        <v>255</v>
      </c>
      <c r="J410" s="4">
        <v>2014</v>
      </c>
      <c r="K410" s="4">
        <v>250</v>
      </c>
      <c r="L410" s="3" t="s">
        <v>43</v>
      </c>
      <c r="M410" s="5">
        <v>161772278</v>
      </c>
    </row>
    <row r="411" spans="2:19" x14ac:dyDescent="0.3">
      <c r="B411" s="4">
        <v>2015</v>
      </c>
      <c r="C411" s="4">
        <v>250</v>
      </c>
      <c r="D411" s="3" t="s">
        <v>32</v>
      </c>
      <c r="E411" s="5">
        <v>68384771</v>
      </c>
      <c r="F411" s="5"/>
      <c r="G411" s="5"/>
      <c r="J411" s="4">
        <v>2014</v>
      </c>
      <c r="K411" s="4">
        <v>250</v>
      </c>
      <c r="L411" s="3" t="s">
        <v>44</v>
      </c>
      <c r="M411" s="5">
        <v>51830914</v>
      </c>
    </row>
    <row r="412" spans="2:19" x14ac:dyDescent="0.3">
      <c r="B412" s="4">
        <v>2015</v>
      </c>
      <c r="C412" s="4">
        <v>250</v>
      </c>
      <c r="D412" s="3" t="s">
        <v>40</v>
      </c>
      <c r="E412" s="5">
        <v>-1197209</v>
      </c>
      <c r="F412" s="5"/>
      <c r="G412" s="5"/>
      <c r="J412" s="4">
        <v>2014</v>
      </c>
      <c r="K412" s="4">
        <v>250</v>
      </c>
      <c r="L412" s="3" t="s">
        <v>45</v>
      </c>
      <c r="M412" s="5">
        <v>14178611</v>
      </c>
    </row>
    <row r="413" spans="2:19" x14ac:dyDescent="0.3">
      <c r="B413" s="4">
        <v>2015</v>
      </c>
      <c r="C413" s="4">
        <v>250</v>
      </c>
      <c r="D413" s="3" t="s">
        <v>33</v>
      </c>
      <c r="E413" s="5">
        <v>15385088</v>
      </c>
      <c r="F413" s="5">
        <v>83112</v>
      </c>
      <c r="G413" s="5">
        <v>220</v>
      </c>
      <c r="J413" s="4">
        <v>2014</v>
      </c>
      <c r="K413" s="4">
        <v>250</v>
      </c>
      <c r="L413" s="3" t="s">
        <v>46</v>
      </c>
      <c r="M413" s="5">
        <v>99839203</v>
      </c>
    </row>
    <row r="414" spans="2:19" x14ac:dyDescent="0.3">
      <c r="B414" s="4">
        <v>2015</v>
      </c>
      <c r="C414" s="4">
        <v>250</v>
      </c>
      <c r="D414" s="3" t="s">
        <v>34</v>
      </c>
      <c r="E414" s="5">
        <v>845906182</v>
      </c>
      <c r="F414" s="5">
        <v>7325314</v>
      </c>
      <c r="G414" s="5">
        <v>742467</v>
      </c>
      <c r="J414" s="4">
        <v>2014</v>
      </c>
      <c r="K414" s="4">
        <v>250</v>
      </c>
      <c r="L414" s="3" t="s">
        <v>47</v>
      </c>
      <c r="M414" s="5">
        <v>156007795</v>
      </c>
    </row>
    <row r="415" spans="2:19" x14ac:dyDescent="0.3">
      <c r="B415" s="4">
        <v>2015</v>
      </c>
      <c r="C415" s="4">
        <v>250</v>
      </c>
      <c r="D415" s="3" t="s">
        <v>35</v>
      </c>
      <c r="E415" s="5">
        <v>1846536299</v>
      </c>
      <c r="F415" s="5">
        <v>20859230</v>
      </c>
      <c r="G415" s="5">
        <v>848564</v>
      </c>
      <c r="J415" s="4">
        <v>2014</v>
      </c>
      <c r="K415" s="4">
        <v>250</v>
      </c>
      <c r="L415" s="3" t="s">
        <v>48</v>
      </c>
      <c r="M415" s="5">
        <v>95128264</v>
      </c>
    </row>
    <row r="416" spans="2:19" x14ac:dyDescent="0.3">
      <c r="B416" s="4">
        <v>2015</v>
      </c>
      <c r="C416" s="4">
        <v>250</v>
      </c>
      <c r="D416" s="3" t="s">
        <v>36</v>
      </c>
      <c r="E416" s="5">
        <v>109756221</v>
      </c>
      <c r="F416" s="5">
        <v>3162844</v>
      </c>
      <c r="G416" s="5">
        <v>40</v>
      </c>
      <c r="J416" s="4">
        <v>2014</v>
      </c>
      <c r="K416" s="4">
        <v>250</v>
      </c>
      <c r="L416" s="3" t="s">
        <v>49</v>
      </c>
      <c r="M416" s="5">
        <v>1222248702</v>
      </c>
    </row>
    <row r="417" spans="2:13" x14ac:dyDescent="0.3">
      <c r="B417" s="4">
        <v>2015</v>
      </c>
      <c r="C417" s="4">
        <v>250</v>
      </c>
      <c r="D417" s="3" t="s">
        <v>37</v>
      </c>
      <c r="E417" s="5">
        <v>1845339090</v>
      </c>
      <c r="F417" s="5">
        <v>20859230</v>
      </c>
      <c r="G417" s="5">
        <v>848564</v>
      </c>
      <c r="J417" s="4">
        <v>2014</v>
      </c>
      <c r="K417" s="4">
        <v>250</v>
      </c>
      <c r="L417" s="3" t="s">
        <v>50</v>
      </c>
      <c r="M417" s="5">
        <v>798060471</v>
      </c>
    </row>
    <row r="418" spans="2:13" x14ac:dyDescent="0.3">
      <c r="B418" s="4">
        <v>2015</v>
      </c>
      <c r="C418" s="4">
        <v>250</v>
      </c>
      <c r="D418" s="3" t="s">
        <v>38</v>
      </c>
      <c r="E418" s="5">
        <v>1735582869</v>
      </c>
      <c r="F418" s="5">
        <v>17696386</v>
      </c>
      <c r="G418" s="5">
        <v>848524</v>
      </c>
      <c r="J418" s="4">
        <v>2014</v>
      </c>
      <c r="K418" s="4">
        <v>250</v>
      </c>
      <c r="L418" s="3" t="s">
        <v>51</v>
      </c>
      <c r="M418" s="5">
        <v>414524300</v>
      </c>
    </row>
    <row r="419" spans="2:13" x14ac:dyDescent="0.3">
      <c r="B419" s="4">
        <v>2015</v>
      </c>
      <c r="C419" s="4">
        <v>250</v>
      </c>
      <c r="D419" s="3" t="s">
        <v>39</v>
      </c>
      <c r="E419" s="5">
        <v>646306478</v>
      </c>
      <c r="F419" s="5">
        <v>6918745</v>
      </c>
      <c r="G419" s="5">
        <v>105582</v>
      </c>
      <c r="J419" s="4">
        <v>2014</v>
      </c>
      <c r="K419" s="4">
        <v>250</v>
      </c>
      <c r="L419" s="3" t="s">
        <v>53</v>
      </c>
      <c r="M419" s="5">
        <v>96567225</v>
      </c>
    </row>
    <row r="420" spans="2:13" x14ac:dyDescent="0.3">
      <c r="B420" s="4">
        <v>2016</v>
      </c>
      <c r="C420" s="4">
        <v>250</v>
      </c>
      <c r="D420" s="3" t="s">
        <v>30</v>
      </c>
      <c r="E420" s="5">
        <v>1939166814</v>
      </c>
      <c r="F420" s="5">
        <v>21247271</v>
      </c>
      <c r="G420" s="5">
        <v>859435</v>
      </c>
      <c r="J420" s="4">
        <v>2015</v>
      </c>
      <c r="K420" s="4">
        <v>250</v>
      </c>
      <c r="L420" s="3" t="s">
        <v>43</v>
      </c>
      <c r="M420" s="5">
        <v>171798280</v>
      </c>
    </row>
    <row r="421" spans="2:13" x14ac:dyDescent="0.3">
      <c r="B421" s="4">
        <v>2016</v>
      </c>
      <c r="C421" s="4">
        <v>250</v>
      </c>
      <c r="D421" s="3" t="s">
        <v>31</v>
      </c>
      <c r="E421" s="5">
        <v>207677973</v>
      </c>
      <c r="F421" s="5">
        <v>2968238</v>
      </c>
      <c r="G421" s="5">
        <v>258</v>
      </c>
      <c r="J421" s="4">
        <v>2015</v>
      </c>
      <c r="K421" s="4">
        <v>250</v>
      </c>
      <c r="L421" s="3" t="s">
        <v>44</v>
      </c>
      <c r="M421" s="5">
        <v>54700446</v>
      </c>
    </row>
    <row r="422" spans="2:13" x14ac:dyDescent="0.3">
      <c r="B422" s="4">
        <v>2016</v>
      </c>
      <c r="C422" s="4">
        <v>250</v>
      </c>
      <c r="D422" s="3" t="s">
        <v>32</v>
      </c>
      <c r="E422" s="5">
        <v>104159765</v>
      </c>
      <c r="F422" s="5"/>
      <c r="G422" s="5"/>
      <c r="J422" s="4">
        <v>2015</v>
      </c>
      <c r="K422" s="4">
        <v>250</v>
      </c>
      <c r="L422" s="3" t="s">
        <v>45</v>
      </c>
      <c r="M422" s="5">
        <v>15058010</v>
      </c>
    </row>
    <row r="423" spans="2:13" x14ac:dyDescent="0.3">
      <c r="B423" s="4">
        <v>2016</v>
      </c>
      <c r="C423" s="4">
        <v>250</v>
      </c>
      <c r="D423" s="3" t="s">
        <v>40</v>
      </c>
      <c r="E423" s="5">
        <v>-7913648</v>
      </c>
      <c r="F423" s="5"/>
      <c r="G423" s="5"/>
      <c r="J423" s="4">
        <v>2015</v>
      </c>
      <c r="K423" s="4">
        <v>250</v>
      </c>
      <c r="L423" s="3" t="s">
        <v>46</v>
      </c>
      <c r="M423" s="5">
        <v>101417432</v>
      </c>
    </row>
    <row r="424" spans="2:13" x14ac:dyDescent="0.3">
      <c r="B424" s="4">
        <v>2016</v>
      </c>
      <c r="C424" s="4">
        <v>250</v>
      </c>
      <c r="D424" s="3" t="s">
        <v>33</v>
      </c>
      <c r="E424" s="5">
        <v>12824132</v>
      </c>
      <c r="F424" s="5">
        <v>71705</v>
      </c>
      <c r="G424" s="5">
        <v>220</v>
      </c>
      <c r="J424" s="4">
        <v>2015</v>
      </c>
      <c r="K424" s="4">
        <v>250</v>
      </c>
      <c r="L424" s="3" t="s">
        <v>47</v>
      </c>
      <c r="M424" s="5">
        <v>183374016</v>
      </c>
    </row>
    <row r="425" spans="2:13" x14ac:dyDescent="0.3">
      <c r="B425" s="4">
        <v>2016</v>
      </c>
      <c r="C425" s="4">
        <v>250</v>
      </c>
      <c r="D425" s="3" t="s">
        <v>34</v>
      </c>
      <c r="E425" s="5">
        <v>837938465</v>
      </c>
      <c r="F425" s="5">
        <v>7347750</v>
      </c>
      <c r="G425" s="5">
        <v>752365</v>
      </c>
      <c r="J425" s="4">
        <v>2015</v>
      </c>
      <c r="K425" s="4">
        <v>250</v>
      </c>
      <c r="L425" s="3" t="s">
        <v>48</v>
      </c>
      <c r="M425" s="5">
        <v>91855769</v>
      </c>
    </row>
    <row r="426" spans="2:13" x14ac:dyDescent="0.3">
      <c r="B426" s="4">
        <v>2016</v>
      </c>
      <c r="C426" s="4">
        <v>250</v>
      </c>
      <c r="D426" s="3" t="s">
        <v>35</v>
      </c>
      <c r="E426" s="5">
        <v>1835007049</v>
      </c>
      <c r="F426" s="5">
        <v>21247271</v>
      </c>
      <c r="G426" s="5">
        <v>859435</v>
      </c>
      <c r="J426" s="4">
        <v>2015</v>
      </c>
      <c r="K426" s="4">
        <v>250</v>
      </c>
      <c r="L426" s="3" t="s">
        <v>49</v>
      </c>
      <c r="M426" s="5">
        <v>1182244446</v>
      </c>
    </row>
    <row r="427" spans="2:13" x14ac:dyDescent="0.3">
      <c r="B427" s="4">
        <v>2016</v>
      </c>
      <c r="C427" s="4">
        <v>250</v>
      </c>
      <c r="D427" s="3" t="s">
        <v>36</v>
      </c>
      <c r="E427" s="5">
        <v>123165759</v>
      </c>
      <c r="F427" s="5">
        <v>3999098</v>
      </c>
      <c r="G427" s="5">
        <v>39</v>
      </c>
      <c r="J427" s="4">
        <v>2015</v>
      </c>
      <c r="K427" s="4">
        <v>250</v>
      </c>
      <c r="L427" s="3" t="s">
        <v>50</v>
      </c>
      <c r="M427" s="5">
        <v>741178353</v>
      </c>
    </row>
    <row r="428" spans="2:13" x14ac:dyDescent="0.3">
      <c r="B428" s="4">
        <v>2016</v>
      </c>
      <c r="C428" s="4">
        <v>250</v>
      </c>
      <c r="D428" s="3" t="s">
        <v>37</v>
      </c>
      <c r="E428" s="5">
        <v>1827093401</v>
      </c>
      <c r="F428" s="5">
        <v>21247271</v>
      </c>
      <c r="G428" s="5">
        <v>859435</v>
      </c>
      <c r="J428" s="4">
        <v>2015</v>
      </c>
      <c r="K428" s="4">
        <v>250</v>
      </c>
      <c r="L428" s="3" t="s">
        <v>51</v>
      </c>
      <c r="M428" s="5">
        <v>325139822</v>
      </c>
    </row>
    <row r="429" spans="2:13" x14ac:dyDescent="0.3">
      <c r="B429" s="4">
        <v>2016</v>
      </c>
      <c r="C429" s="4">
        <v>250</v>
      </c>
      <c r="D429" s="3" t="s">
        <v>38</v>
      </c>
      <c r="E429" s="5">
        <v>1703927642</v>
      </c>
      <c r="F429" s="5">
        <v>17248173</v>
      </c>
      <c r="G429" s="5">
        <v>859396</v>
      </c>
      <c r="J429" s="4">
        <v>2015</v>
      </c>
      <c r="K429" s="4">
        <v>250</v>
      </c>
      <c r="L429" s="3" t="s">
        <v>53</v>
      </c>
      <c r="M429" s="5">
        <v>98091925</v>
      </c>
    </row>
    <row r="430" spans="2:13" x14ac:dyDescent="0.3">
      <c r="B430" s="4">
        <v>2016</v>
      </c>
      <c r="C430" s="4">
        <v>250</v>
      </c>
      <c r="D430" s="3" t="s">
        <v>39</v>
      </c>
      <c r="E430" s="5">
        <v>645487072</v>
      </c>
      <c r="F430" s="5">
        <v>6860480</v>
      </c>
      <c r="G430" s="5">
        <v>106553</v>
      </c>
      <c r="J430" s="4">
        <v>2016</v>
      </c>
      <c r="K430" s="4">
        <v>250</v>
      </c>
      <c r="L430" s="3" t="s">
        <v>43</v>
      </c>
      <c r="M430" s="5">
        <v>176470725</v>
      </c>
    </row>
    <row r="431" spans="2:13" x14ac:dyDescent="0.3">
      <c r="B431" s="4">
        <v>2017</v>
      </c>
      <c r="C431" s="4">
        <v>250</v>
      </c>
      <c r="D431" s="3" t="s">
        <v>30</v>
      </c>
      <c r="E431" s="5">
        <v>2022693552</v>
      </c>
      <c r="F431" s="5">
        <v>21328945</v>
      </c>
      <c r="G431" s="5">
        <v>870369</v>
      </c>
      <c r="J431" s="4">
        <v>2016</v>
      </c>
      <c r="K431" s="4">
        <v>250</v>
      </c>
      <c r="L431" s="3" t="s">
        <v>44</v>
      </c>
      <c r="M431" s="5">
        <v>56434463</v>
      </c>
    </row>
    <row r="432" spans="2:13" x14ac:dyDescent="0.3">
      <c r="B432" s="4">
        <v>2017</v>
      </c>
      <c r="C432" s="4">
        <v>250</v>
      </c>
      <c r="D432" s="3" t="s">
        <v>31</v>
      </c>
      <c r="E432" s="5">
        <v>211588342</v>
      </c>
      <c r="F432" s="5">
        <v>2942938</v>
      </c>
      <c r="G432" s="5">
        <v>267</v>
      </c>
      <c r="J432" s="4">
        <v>2016</v>
      </c>
      <c r="K432" s="4">
        <v>250</v>
      </c>
      <c r="L432" s="3" t="s">
        <v>45</v>
      </c>
      <c r="M432" s="5">
        <v>14192289</v>
      </c>
    </row>
    <row r="433" spans="2:13" x14ac:dyDescent="0.3">
      <c r="B433" s="4">
        <v>2017</v>
      </c>
      <c r="C433" s="4">
        <v>250</v>
      </c>
      <c r="D433" s="3" t="s">
        <v>32</v>
      </c>
      <c r="E433" s="5">
        <v>115569351</v>
      </c>
      <c r="F433" s="5"/>
      <c r="G433" s="5"/>
      <c r="J433" s="4">
        <v>2016</v>
      </c>
      <c r="K433" s="4">
        <v>250</v>
      </c>
      <c r="L433" s="3" t="s">
        <v>46</v>
      </c>
      <c r="M433" s="5">
        <v>116611492</v>
      </c>
    </row>
    <row r="434" spans="2:13" x14ac:dyDescent="0.3">
      <c r="B434" s="4">
        <v>2017</v>
      </c>
      <c r="C434" s="4">
        <v>250</v>
      </c>
      <c r="D434" s="3" t="s">
        <v>40</v>
      </c>
      <c r="E434" s="5">
        <v>-10337496</v>
      </c>
      <c r="F434" s="5"/>
      <c r="G434" s="5"/>
      <c r="J434" s="4">
        <v>2016</v>
      </c>
      <c r="K434" s="4">
        <v>250</v>
      </c>
      <c r="L434" s="3" t="s">
        <v>47</v>
      </c>
      <c r="M434" s="5">
        <v>218907039</v>
      </c>
    </row>
    <row r="435" spans="2:13" x14ac:dyDescent="0.3">
      <c r="B435" s="4">
        <v>2017</v>
      </c>
      <c r="C435" s="4">
        <v>250</v>
      </c>
      <c r="D435" s="3" t="s">
        <v>33</v>
      </c>
      <c r="E435" s="5">
        <v>11954183</v>
      </c>
      <c r="F435" s="5">
        <v>62619</v>
      </c>
      <c r="G435" s="5">
        <v>220</v>
      </c>
      <c r="J435" s="4">
        <v>2016</v>
      </c>
      <c r="K435" s="4">
        <v>250</v>
      </c>
      <c r="L435" s="3" t="s">
        <v>48</v>
      </c>
      <c r="M435" s="5">
        <v>75916482</v>
      </c>
    </row>
    <row r="436" spans="2:13" x14ac:dyDescent="0.3">
      <c r="B436" s="4">
        <v>2017</v>
      </c>
      <c r="C436" s="4">
        <v>250</v>
      </c>
      <c r="D436" s="3" t="s">
        <v>34</v>
      </c>
      <c r="E436" s="5">
        <v>900171801</v>
      </c>
      <c r="F436" s="5">
        <v>7879585</v>
      </c>
      <c r="G436" s="5">
        <v>762211</v>
      </c>
      <c r="J436" s="4">
        <v>2016</v>
      </c>
      <c r="K436" s="4">
        <v>250</v>
      </c>
      <c r="L436" s="3" t="s">
        <v>49</v>
      </c>
      <c r="M436" s="5">
        <v>1164450471</v>
      </c>
    </row>
    <row r="437" spans="2:13" x14ac:dyDescent="0.3">
      <c r="B437" s="4">
        <v>2017</v>
      </c>
      <c r="C437" s="4">
        <v>250</v>
      </c>
      <c r="D437" s="3" t="s">
        <v>35</v>
      </c>
      <c r="E437" s="5">
        <v>1907124201</v>
      </c>
      <c r="F437" s="5">
        <v>21328945</v>
      </c>
      <c r="G437" s="5">
        <v>870369</v>
      </c>
      <c r="J437" s="4">
        <v>2016</v>
      </c>
      <c r="K437" s="4">
        <v>250</v>
      </c>
      <c r="L437" s="3" t="s">
        <v>50</v>
      </c>
      <c r="M437" s="5">
        <v>705376848</v>
      </c>
    </row>
    <row r="438" spans="2:13" x14ac:dyDescent="0.3">
      <c r="B438" s="4">
        <v>2017</v>
      </c>
      <c r="C438" s="4">
        <v>250</v>
      </c>
      <c r="D438" s="3" t="s">
        <v>36</v>
      </c>
      <c r="E438" s="5">
        <v>122591295</v>
      </c>
      <c r="F438" s="5">
        <v>3574665</v>
      </c>
      <c r="G438" s="5">
        <v>36</v>
      </c>
      <c r="J438" s="4">
        <v>2016</v>
      </c>
      <c r="K438" s="4">
        <v>250</v>
      </c>
      <c r="L438" s="3" t="s">
        <v>51</v>
      </c>
      <c r="M438" s="5">
        <v>264106264</v>
      </c>
    </row>
    <row r="439" spans="2:13" x14ac:dyDescent="0.3">
      <c r="B439" s="4">
        <v>2017</v>
      </c>
      <c r="C439" s="4">
        <v>250</v>
      </c>
      <c r="D439" s="3" t="s">
        <v>37</v>
      </c>
      <c r="E439" s="5">
        <v>1896786705</v>
      </c>
      <c r="F439" s="5">
        <v>21328945</v>
      </c>
      <c r="G439" s="5">
        <v>870369</v>
      </c>
      <c r="J439" s="4">
        <v>2016</v>
      </c>
      <c r="K439" s="4">
        <v>250</v>
      </c>
      <c r="L439" s="3" t="s">
        <v>53</v>
      </c>
      <c r="M439" s="5">
        <v>95364654</v>
      </c>
    </row>
    <row r="440" spans="2:13" x14ac:dyDescent="0.3">
      <c r="B440" s="4">
        <v>2017</v>
      </c>
      <c r="C440" s="4">
        <v>250</v>
      </c>
      <c r="D440" s="3" t="s">
        <v>38</v>
      </c>
      <c r="E440" s="5">
        <v>1774195410</v>
      </c>
      <c r="F440" s="5">
        <v>17754280</v>
      </c>
      <c r="G440" s="5">
        <v>870333</v>
      </c>
      <c r="J440" s="4">
        <v>2017</v>
      </c>
      <c r="K440" s="4">
        <v>250</v>
      </c>
      <c r="L440" s="3" t="s">
        <v>43</v>
      </c>
      <c r="M440" s="5">
        <v>190762897</v>
      </c>
    </row>
    <row r="441" spans="2:13" x14ac:dyDescent="0.3">
      <c r="B441" s="4">
        <v>2017</v>
      </c>
      <c r="C441" s="4">
        <v>250</v>
      </c>
      <c r="D441" s="3" t="s">
        <v>39</v>
      </c>
      <c r="E441" s="5">
        <v>650481084</v>
      </c>
      <c r="F441" s="5">
        <v>6869138</v>
      </c>
      <c r="G441" s="5">
        <v>107635</v>
      </c>
      <c r="J441" s="4">
        <v>2017</v>
      </c>
      <c r="K441" s="4">
        <v>250</v>
      </c>
      <c r="L441" s="3" t="s">
        <v>44</v>
      </c>
      <c r="M441" s="5">
        <v>58493438</v>
      </c>
    </row>
    <row r="442" spans="2:13" x14ac:dyDescent="0.3">
      <c r="B442" s="4">
        <v>2018</v>
      </c>
      <c r="C442" s="4">
        <v>250</v>
      </c>
      <c r="D442" s="3" t="s">
        <v>30</v>
      </c>
      <c r="E442" s="5">
        <v>2005110043</v>
      </c>
      <c r="F442" s="5">
        <v>21876992</v>
      </c>
      <c r="G442" s="5">
        <v>881803</v>
      </c>
      <c r="J442" s="4">
        <v>2017</v>
      </c>
      <c r="K442" s="4">
        <v>250</v>
      </c>
      <c r="L442" s="3" t="s">
        <v>45</v>
      </c>
      <c r="M442" s="5">
        <v>15695772</v>
      </c>
    </row>
    <row r="443" spans="2:13" x14ac:dyDescent="0.3">
      <c r="B443" s="4">
        <v>2018</v>
      </c>
      <c r="C443" s="4">
        <v>250</v>
      </c>
      <c r="D443" s="3" t="s">
        <v>31</v>
      </c>
      <c r="E443" s="5">
        <v>209586172</v>
      </c>
      <c r="F443" s="5">
        <v>2987403</v>
      </c>
      <c r="G443" s="5">
        <v>270</v>
      </c>
      <c r="J443" s="4">
        <v>2017</v>
      </c>
      <c r="K443" s="4">
        <v>250</v>
      </c>
      <c r="L443" s="3" t="s">
        <v>46</v>
      </c>
      <c r="M443" s="5">
        <v>127636822</v>
      </c>
    </row>
    <row r="444" spans="2:13" x14ac:dyDescent="0.3">
      <c r="B444" s="4">
        <v>2018</v>
      </c>
      <c r="C444" s="4">
        <v>250</v>
      </c>
      <c r="D444" s="3" t="s">
        <v>32</v>
      </c>
      <c r="E444" s="5">
        <v>108227995</v>
      </c>
      <c r="F444" s="5"/>
      <c r="G444" s="5"/>
      <c r="J444" s="4">
        <v>2017</v>
      </c>
      <c r="K444" s="4">
        <v>250</v>
      </c>
      <c r="L444" s="3" t="s">
        <v>47</v>
      </c>
      <c r="M444" s="5">
        <v>206350881</v>
      </c>
    </row>
    <row r="445" spans="2:13" x14ac:dyDescent="0.3">
      <c r="B445" s="4">
        <v>2018</v>
      </c>
      <c r="C445" s="4">
        <v>250</v>
      </c>
      <c r="D445" s="3" t="s">
        <v>40</v>
      </c>
      <c r="E445" s="5">
        <v>40343222</v>
      </c>
      <c r="F445" s="5"/>
      <c r="G445" s="5"/>
      <c r="J445" s="4">
        <v>2017</v>
      </c>
      <c r="K445" s="4">
        <v>250</v>
      </c>
      <c r="L445" s="3" t="s">
        <v>48</v>
      </c>
      <c r="M445" s="5">
        <v>73931132</v>
      </c>
    </row>
    <row r="446" spans="2:13" x14ac:dyDescent="0.3">
      <c r="B446" s="4">
        <v>2018</v>
      </c>
      <c r="C446" s="4">
        <v>250</v>
      </c>
      <c r="D446" s="3" t="s">
        <v>33</v>
      </c>
      <c r="E446" s="5">
        <v>11648005</v>
      </c>
      <c r="F446" s="5">
        <v>54357</v>
      </c>
      <c r="G446" s="5">
        <v>219</v>
      </c>
      <c r="J446" s="4">
        <v>2017</v>
      </c>
      <c r="K446" s="4">
        <v>250</v>
      </c>
      <c r="L446" s="3" t="s">
        <v>49</v>
      </c>
      <c r="M446" s="5">
        <v>1175824902</v>
      </c>
    </row>
    <row r="447" spans="2:13" x14ac:dyDescent="0.3">
      <c r="B447" s="4">
        <v>2018</v>
      </c>
      <c r="C447" s="4">
        <v>250</v>
      </c>
      <c r="D447" s="3" t="s">
        <v>34</v>
      </c>
      <c r="E447" s="5">
        <v>890376597</v>
      </c>
      <c r="F447" s="5">
        <v>7415759</v>
      </c>
      <c r="G447" s="5">
        <v>772389</v>
      </c>
      <c r="J447" s="4">
        <v>2017</v>
      </c>
      <c r="K447" s="4">
        <v>250</v>
      </c>
      <c r="L447" s="3" t="s">
        <v>50</v>
      </c>
      <c r="M447" s="5">
        <v>678954204</v>
      </c>
    </row>
    <row r="448" spans="2:13" x14ac:dyDescent="0.3">
      <c r="B448" s="4">
        <v>2018</v>
      </c>
      <c r="C448" s="4">
        <v>250</v>
      </c>
      <c r="D448" s="3" t="s">
        <v>35</v>
      </c>
      <c r="E448" s="5">
        <v>1896882048</v>
      </c>
      <c r="F448" s="5">
        <v>21876992</v>
      </c>
      <c r="G448" s="5">
        <v>881803</v>
      </c>
      <c r="J448" s="4">
        <v>2017</v>
      </c>
      <c r="K448" s="4">
        <v>250</v>
      </c>
      <c r="L448" s="3" t="s">
        <v>51</v>
      </c>
      <c r="M448" s="5">
        <v>244313723</v>
      </c>
    </row>
    <row r="449" spans="2:13" x14ac:dyDescent="0.3">
      <c r="B449" s="4">
        <v>2018</v>
      </c>
      <c r="C449" s="4">
        <v>250</v>
      </c>
      <c r="D449" s="3" t="s">
        <v>36</v>
      </c>
      <c r="E449" s="5">
        <v>177074310</v>
      </c>
      <c r="F449" s="5">
        <v>4690990</v>
      </c>
      <c r="G449" s="5">
        <v>37</v>
      </c>
      <c r="J449" s="4">
        <v>2017</v>
      </c>
      <c r="K449" s="4">
        <v>250</v>
      </c>
      <c r="L449" s="3" t="s">
        <v>53</v>
      </c>
      <c r="M449" s="5">
        <v>104281769</v>
      </c>
    </row>
    <row r="450" spans="2:13" x14ac:dyDescent="0.3">
      <c r="B450" s="4">
        <v>2018</v>
      </c>
      <c r="C450" s="4">
        <v>250</v>
      </c>
      <c r="D450" s="3" t="s">
        <v>37</v>
      </c>
      <c r="E450" s="5">
        <v>1937225270</v>
      </c>
      <c r="F450" s="5">
        <v>21876992</v>
      </c>
      <c r="G450" s="5">
        <v>881803</v>
      </c>
      <c r="J450" s="4">
        <v>2018</v>
      </c>
      <c r="K450" s="4">
        <v>250</v>
      </c>
      <c r="L450" s="3" t="s">
        <v>43</v>
      </c>
      <c r="M450" s="5">
        <v>190551981</v>
      </c>
    </row>
    <row r="451" spans="2:13" x14ac:dyDescent="0.3">
      <c r="B451" s="4">
        <v>2018</v>
      </c>
      <c r="C451" s="4">
        <v>250</v>
      </c>
      <c r="D451" s="3" t="s">
        <v>38</v>
      </c>
      <c r="E451" s="5">
        <v>1760150960</v>
      </c>
      <c r="F451" s="5">
        <v>17186002</v>
      </c>
      <c r="G451" s="5">
        <v>881766</v>
      </c>
      <c r="J451" s="4">
        <v>2018</v>
      </c>
      <c r="K451" s="4">
        <v>250</v>
      </c>
      <c r="L451" s="3" t="s">
        <v>44</v>
      </c>
      <c r="M451" s="5">
        <v>70278688</v>
      </c>
    </row>
    <row r="452" spans="2:13" x14ac:dyDescent="0.3">
      <c r="B452" s="4">
        <v>2018</v>
      </c>
      <c r="C452" s="4">
        <v>250</v>
      </c>
      <c r="D452" s="3" t="s">
        <v>39</v>
      </c>
      <c r="E452" s="5">
        <v>648540186</v>
      </c>
      <c r="F452" s="5">
        <v>6728483</v>
      </c>
      <c r="G452" s="5">
        <v>108888</v>
      </c>
      <c r="J452" s="4">
        <v>2018</v>
      </c>
      <c r="K452" s="4">
        <v>250</v>
      </c>
      <c r="L452" s="3" t="s">
        <v>45</v>
      </c>
      <c r="M452" s="5">
        <v>15807600</v>
      </c>
    </row>
    <row r="453" spans="2:13" x14ac:dyDescent="0.3">
      <c r="B453" s="4">
        <v>2019</v>
      </c>
      <c r="C453" s="4">
        <v>250</v>
      </c>
      <c r="D453" s="3" t="s">
        <v>30</v>
      </c>
      <c r="E453" s="5">
        <v>2147982409</v>
      </c>
      <c r="F453" s="5">
        <v>22572002</v>
      </c>
      <c r="G453" s="5">
        <v>890054</v>
      </c>
      <c r="J453" s="4">
        <v>2018</v>
      </c>
      <c r="K453" s="4">
        <v>250</v>
      </c>
      <c r="L453" s="3" t="s">
        <v>46</v>
      </c>
      <c r="M453" s="5">
        <v>113588197</v>
      </c>
    </row>
    <row r="454" spans="2:13" x14ac:dyDescent="0.3">
      <c r="B454" s="4">
        <v>2019</v>
      </c>
      <c r="C454" s="4">
        <v>250</v>
      </c>
      <c r="D454" s="3" t="s">
        <v>31</v>
      </c>
      <c r="E454" s="5">
        <v>221934941</v>
      </c>
      <c r="F454" s="5">
        <v>3180993</v>
      </c>
      <c r="G454" s="5">
        <v>262</v>
      </c>
      <c r="J454" s="4">
        <v>2018</v>
      </c>
      <c r="K454" s="4">
        <v>250</v>
      </c>
      <c r="L454" s="3" t="s">
        <v>47</v>
      </c>
      <c r="M454" s="5">
        <v>186066953</v>
      </c>
    </row>
    <row r="455" spans="2:13" x14ac:dyDescent="0.3">
      <c r="B455" s="4">
        <v>2019</v>
      </c>
      <c r="C455" s="4">
        <v>250</v>
      </c>
      <c r="D455" s="3" t="s">
        <v>32</v>
      </c>
      <c r="E455" s="5">
        <v>130671136</v>
      </c>
      <c r="F455" s="5"/>
      <c r="G455" s="5"/>
      <c r="J455" s="4">
        <v>2018</v>
      </c>
      <c r="K455" s="4">
        <v>250</v>
      </c>
      <c r="L455" s="3" t="s">
        <v>48</v>
      </c>
      <c r="M455" s="5">
        <v>64189906</v>
      </c>
    </row>
    <row r="456" spans="2:13" x14ac:dyDescent="0.3">
      <c r="B456" s="4">
        <v>2019</v>
      </c>
      <c r="C456" s="4">
        <v>250</v>
      </c>
      <c r="D456" s="3" t="s">
        <v>40</v>
      </c>
      <c r="E456" s="5">
        <v>-24671723</v>
      </c>
      <c r="F456" s="5"/>
      <c r="G456" s="5"/>
      <c r="J456" s="4">
        <v>2018</v>
      </c>
      <c r="K456" s="4">
        <v>250</v>
      </c>
      <c r="L456" s="3" t="s">
        <v>49</v>
      </c>
      <c r="M456" s="5">
        <v>1153676845</v>
      </c>
    </row>
    <row r="457" spans="2:13" x14ac:dyDescent="0.3">
      <c r="B457" s="4">
        <v>2019</v>
      </c>
      <c r="C457" s="4">
        <v>250</v>
      </c>
      <c r="D457" s="3" t="s">
        <v>33</v>
      </c>
      <c r="E457" s="5">
        <v>11259467</v>
      </c>
      <c r="F457" s="5">
        <v>49360</v>
      </c>
      <c r="G457" s="5">
        <v>194</v>
      </c>
      <c r="J457" s="4">
        <v>2018</v>
      </c>
      <c r="K457" s="4">
        <v>250</v>
      </c>
      <c r="L457" s="3" t="s">
        <v>50</v>
      </c>
      <c r="M457" s="5">
        <v>660113061</v>
      </c>
    </row>
    <row r="458" spans="2:13" x14ac:dyDescent="0.3">
      <c r="B458" s="4">
        <v>2019</v>
      </c>
      <c r="C458" s="4">
        <v>250</v>
      </c>
      <c r="D458" s="3" t="s">
        <v>34</v>
      </c>
      <c r="E458" s="5">
        <v>917792335</v>
      </c>
      <c r="F458" s="5">
        <v>7471069</v>
      </c>
      <c r="G458" s="5">
        <v>779673</v>
      </c>
      <c r="J458" s="4">
        <v>2018</v>
      </c>
      <c r="K458" s="4">
        <v>250</v>
      </c>
      <c r="L458" s="3" t="s">
        <v>51</v>
      </c>
      <c r="M458" s="5">
        <v>257926636</v>
      </c>
    </row>
    <row r="459" spans="2:13" x14ac:dyDescent="0.3">
      <c r="B459" s="4">
        <v>2019</v>
      </c>
      <c r="C459" s="4">
        <v>250</v>
      </c>
      <c r="D459" s="3" t="s">
        <v>35</v>
      </c>
      <c r="E459" s="5">
        <v>2017311273</v>
      </c>
      <c r="F459" s="5">
        <v>22572002</v>
      </c>
      <c r="G459" s="5">
        <v>890054</v>
      </c>
      <c r="J459" s="4">
        <v>2018</v>
      </c>
      <c r="K459" s="4">
        <v>250</v>
      </c>
      <c r="L459" s="3" t="s">
        <v>53</v>
      </c>
      <c r="M459" s="5">
        <v>103337318</v>
      </c>
    </row>
    <row r="460" spans="2:13" x14ac:dyDescent="0.3">
      <c r="B460" s="4">
        <v>2019</v>
      </c>
      <c r="C460" s="4">
        <v>250</v>
      </c>
      <c r="D460" s="3" t="s">
        <v>36</v>
      </c>
      <c r="E460" s="5">
        <v>203335776</v>
      </c>
      <c r="F460" s="5">
        <v>5267311</v>
      </c>
      <c r="G460" s="5">
        <v>35</v>
      </c>
      <c r="J460" s="4">
        <v>2019</v>
      </c>
      <c r="K460" s="4">
        <v>250</v>
      </c>
      <c r="L460" s="3" t="s">
        <v>43</v>
      </c>
      <c r="M460" s="5">
        <v>210248968</v>
      </c>
    </row>
    <row r="461" spans="2:13" x14ac:dyDescent="0.3">
      <c r="B461" s="4">
        <v>2019</v>
      </c>
      <c r="C461" s="4">
        <v>250</v>
      </c>
      <c r="D461" s="3" t="s">
        <v>37</v>
      </c>
      <c r="E461" s="5">
        <v>1992639550</v>
      </c>
      <c r="F461" s="5">
        <v>22572002</v>
      </c>
      <c r="G461" s="5">
        <v>890054</v>
      </c>
      <c r="J461" s="4">
        <v>2019</v>
      </c>
      <c r="K461" s="4">
        <v>250</v>
      </c>
      <c r="L461" s="3" t="s">
        <v>44</v>
      </c>
      <c r="M461" s="5">
        <v>65271368</v>
      </c>
    </row>
    <row r="462" spans="2:13" x14ac:dyDescent="0.3">
      <c r="B462" s="4">
        <v>2019</v>
      </c>
      <c r="C462" s="4">
        <v>250</v>
      </c>
      <c r="D462" s="3" t="s">
        <v>38</v>
      </c>
      <c r="E462" s="5">
        <v>1789303774</v>
      </c>
      <c r="F462" s="5">
        <v>17304691</v>
      </c>
      <c r="G462" s="5">
        <v>890019</v>
      </c>
      <c r="J462" s="4">
        <v>2019</v>
      </c>
      <c r="K462" s="4">
        <v>250</v>
      </c>
      <c r="L462" s="3" t="s">
        <v>45</v>
      </c>
      <c r="M462" s="5">
        <v>14716512</v>
      </c>
    </row>
    <row r="463" spans="2:13" x14ac:dyDescent="0.3">
      <c r="B463" s="4">
        <v>2019</v>
      </c>
      <c r="C463" s="4">
        <v>250</v>
      </c>
      <c r="D463" s="3" t="s">
        <v>39</v>
      </c>
      <c r="E463" s="5">
        <v>638317031</v>
      </c>
      <c r="F463" s="5">
        <v>6603269</v>
      </c>
      <c r="G463" s="5">
        <v>109890</v>
      </c>
      <c r="J463" s="4">
        <v>2019</v>
      </c>
      <c r="K463" s="4">
        <v>250</v>
      </c>
      <c r="L463" s="3" t="s">
        <v>46</v>
      </c>
      <c r="M463" s="5">
        <v>134617893</v>
      </c>
    </row>
    <row r="464" spans="2:13" x14ac:dyDescent="0.3">
      <c r="B464" s="4">
        <v>2020</v>
      </c>
      <c r="C464" s="4">
        <v>250</v>
      </c>
      <c r="D464" s="3" t="s">
        <v>30</v>
      </c>
      <c r="E464" s="5">
        <v>2157212368</v>
      </c>
      <c r="F464" s="5">
        <v>23866383</v>
      </c>
      <c r="G464" s="5">
        <v>902277</v>
      </c>
      <c r="J464" s="4">
        <v>2019</v>
      </c>
      <c r="K464" s="4">
        <v>250</v>
      </c>
      <c r="L464" s="3" t="s">
        <v>47</v>
      </c>
      <c r="M464" s="5">
        <v>194396475</v>
      </c>
    </row>
    <row r="465" spans="2:13" x14ac:dyDescent="0.3">
      <c r="B465" s="4">
        <v>2020</v>
      </c>
      <c r="C465" s="4">
        <v>250</v>
      </c>
      <c r="D465" s="3" t="s">
        <v>31</v>
      </c>
      <c r="E465" s="5">
        <v>246051284</v>
      </c>
      <c r="F465" s="5">
        <v>3445801</v>
      </c>
      <c r="G465" s="5">
        <v>267</v>
      </c>
      <c r="J465" s="4">
        <v>2019</v>
      </c>
      <c r="K465" s="4">
        <v>250</v>
      </c>
      <c r="L465" s="3" t="s">
        <v>48</v>
      </c>
      <c r="M465" s="5">
        <v>93517673</v>
      </c>
    </row>
    <row r="466" spans="2:13" x14ac:dyDescent="0.3">
      <c r="B466" s="4">
        <v>2020</v>
      </c>
      <c r="C466" s="4">
        <v>250</v>
      </c>
      <c r="D466" s="3" t="s">
        <v>32</v>
      </c>
      <c r="E466" s="5">
        <v>120765993</v>
      </c>
      <c r="F466" s="5"/>
      <c r="G466" s="5"/>
      <c r="J466" s="4">
        <v>2019</v>
      </c>
      <c r="K466" s="4">
        <v>250</v>
      </c>
      <c r="L466" s="3" t="s">
        <v>49</v>
      </c>
      <c r="M466" s="5">
        <v>1265696098</v>
      </c>
    </row>
    <row r="467" spans="2:13" x14ac:dyDescent="0.3">
      <c r="B467" s="4">
        <v>2020</v>
      </c>
      <c r="C467" s="4">
        <v>250</v>
      </c>
      <c r="D467" s="3" t="s">
        <v>40</v>
      </c>
      <c r="E467" s="5">
        <v>-5767072</v>
      </c>
      <c r="F467" s="5"/>
      <c r="G467" s="5"/>
      <c r="J467" s="4">
        <v>2019</v>
      </c>
      <c r="K467" s="4">
        <v>250</v>
      </c>
      <c r="L467" s="3" t="s">
        <v>50</v>
      </c>
      <c r="M467" s="5">
        <v>732284671</v>
      </c>
    </row>
    <row r="468" spans="2:13" x14ac:dyDescent="0.3">
      <c r="B468" s="4">
        <v>2020</v>
      </c>
      <c r="C468" s="4">
        <v>250</v>
      </c>
      <c r="D468" s="3" t="s">
        <v>33</v>
      </c>
      <c r="E468" s="5">
        <v>10945945</v>
      </c>
      <c r="F468" s="5">
        <v>48379</v>
      </c>
      <c r="G468" s="5">
        <v>197</v>
      </c>
      <c r="J468" s="4">
        <v>2019</v>
      </c>
      <c r="K468" s="4">
        <v>250</v>
      </c>
      <c r="L468" s="3" t="s">
        <v>51</v>
      </c>
      <c r="M468" s="5">
        <v>281457582</v>
      </c>
    </row>
    <row r="469" spans="2:13" x14ac:dyDescent="0.3">
      <c r="B469" s="4">
        <v>2020</v>
      </c>
      <c r="C469" s="4">
        <v>250</v>
      </c>
      <c r="D469" s="3" t="s">
        <v>34</v>
      </c>
      <c r="E469" s="5">
        <v>969909454</v>
      </c>
      <c r="F469" s="5">
        <v>7756251</v>
      </c>
      <c r="G469" s="5">
        <v>791119</v>
      </c>
      <c r="J469" s="4">
        <v>2019</v>
      </c>
      <c r="K469" s="4">
        <v>250</v>
      </c>
      <c r="L469" s="3" t="s">
        <v>53</v>
      </c>
      <c r="M469" s="5">
        <v>108556686</v>
      </c>
    </row>
    <row r="470" spans="2:13" x14ac:dyDescent="0.3">
      <c r="B470" s="4">
        <v>2020</v>
      </c>
      <c r="C470" s="4">
        <v>250</v>
      </c>
      <c r="D470" s="3" t="s">
        <v>35</v>
      </c>
      <c r="E470" s="5">
        <v>2036446375</v>
      </c>
      <c r="F470" s="5">
        <v>23866383</v>
      </c>
      <c r="G470" s="5">
        <v>902277</v>
      </c>
      <c r="J470" s="4">
        <v>2020</v>
      </c>
      <c r="K470" s="4">
        <v>250</v>
      </c>
      <c r="L470" s="3" t="s">
        <v>43</v>
      </c>
      <c r="M470" s="5">
        <v>204695622</v>
      </c>
    </row>
    <row r="471" spans="2:13" x14ac:dyDescent="0.3">
      <c r="B471" s="4">
        <v>2020</v>
      </c>
      <c r="C471" s="4">
        <v>250</v>
      </c>
      <c r="D471" s="3" t="s">
        <v>36</v>
      </c>
      <c r="E471" s="5">
        <v>184596850</v>
      </c>
      <c r="F471" s="5">
        <v>6442580</v>
      </c>
      <c r="G471" s="5">
        <v>40</v>
      </c>
      <c r="J471" s="4">
        <v>2020</v>
      </c>
      <c r="K471" s="4">
        <v>250</v>
      </c>
      <c r="L471" s="3" t="s">
        <v>44</v>
      </c>
      <c r="M471" s="5">
        <v>63626567</v>
      </c>
    </row>
    <row r="472" spans="2:13" x14ac:dyDescent="0.3">
      <c r="B472" s="4">
        <v>2020</v>
      </c>
      <c r="C472" s="4">
        <v>250</v>
      </c>
      <c r="D472" s="3" t="s">
        <v>37</v>
      </c>
      <c r="E472" s="5">
        <v>2030679303</v>
      </c>
      <c r="F472" s="5">
        <v>23866383</v>
      </c>
      <c r="G472" s="5">
        <v>902277</v>
      </c>
      <c r="J472" s="4">
        <v>2020</v>
      </c>
      <c r="K472" s="4">
        <v>250</v>
      </c>
      <c r="L472" s="3" t="s">
        <v>45</v>
      </c>
      <c r="M472" s="5">
        <v>16435123</v>
      </c>
    </row>
    <row r="473" spans="2:13" x14ac:dyDescent="0.3">
      <c r="B473" s="4">
        <v>2020</v>
      </c>
      <c r="C473" s="4">
        <v>250</v>
      </c>
      <c r="D473" s="3" t="s">
        <v>38</v>
      </c>
      <c r="E473" s="5">
        <v>1846082453</v>
      </c>
      <c r="F473" s="5">
        <v>17423803</v>
      </c>
      <c r="G473" s="5">
        <v>902237</v>
      </c>
      <c r="J473" s="4">
        <v>2020</v>
      </c>
      <c r="K473" s="4">
        <v>250</v>
      </c>
      <c r="L473" s="3" t="s">
        <v>46</v>
      </c>
      <c r="M473" s="5">
        <v>124006010</v>
      </c>
    </row>
    <row r="474" spans="2:13" x14ac:dyDescent="0.3">
      <c r="B474" s="4">
        <v>2020</v>
      </c>
      <c r="C474" s="4">
        <v>250</v>
      </c>
      <c r="D474" s="3" t="s">
        <v>39</v>
      </c>
      <c r="E474" s="5">
        <v>619175770</v>
      </c>
      <c r="F474" s="5">
        <v>6173372</v>
      </c>
      <c r="G474" s="5">
        <v>110654</v>
      </c>
      <c r="J474" s="4">
        <v>2020</v>
      </c>
      <c r="K474" s="4">
        <v>250</v>
      </c>
      <c r="L474" s="3" t="s">
        <v>47</v>
      </c>
      <c r="M474" s="5">
        <v>170765398</v>
      </c>
    </row>
    <row r="475" spans="2:13" x14ac:dyDescent="0.3">
      <c r="B475" s="4">
        <v>2021</v>
      </c>
      <c r="C475" s="4">
        <v>250</v>
      </c>
      <c r="D475" s="3" t="s">
        <v>30</v>
      </c>
      <c r="E475" s="5">
        <v>2415154366</v>
      </c>
      <c r="F475" s="5"/>
      <c r="G475" s="5"/>
      <c r="J475" s="4">
        <v>2020</v>
      </c>
      <c r="K475" s="4">
        <v>250</v>
      </c>
      <c r="L475" s="3" t="s">
        <v>48</v>
      </c>
      <c r="M475" s="5">
        <v>70676152</v>
      </c>
    </row>
    <row r="476" spans="2:13" x14ac:dyDescent="0.3">
      <c r="B476" s="4">
        <v>2021</v>
      </c>
      <c r="C476" s="4">
        <v>250</v>
      </c>
      <c r="D476" s="3" t="s">
        <v>31</v>
      </c>
      <c r="E476" s="5">
        <v>279876046</v>
      </c>
      <c r="F476" s="5">
        <v>3713680</v>
      </c>
      <c r="G476" s="5">
        <v>268</v>
      </c>
      <c r="J476" s="4">
        <v>2020</v>
      </c>
      <c r="K476" s="4">
        <v>250</v>
      </c>
      <c r="L476" s="3" t="s">
        <v>49</v>
      </c>
      <c r="M476" s="5">
        <v>1312461216</v>
      </c>
    </row>
    <row r="477" spans="2:13" x14ac:dyDescent="0.3">
      <c r="B477" s="4">
        <v>2021</v>
      </c>
      <c r="C477" s="4">
        <v>250</v>
      </c>
      <c r="D477" s="3" t="s">
        <v>32</v>
      </c>
      <c r="E477" s="5">
        <v>105789779</v>
      </c>
      <c r="F477" s="5"/>
      <c r="G477" s="5"/>
      <c r="J477" s="4">
        <v>2020</v>
      </c>
      <c r="K477" s="4">
        <v>250</v>
      </c>
      <c r="L477" s="3" t="s">
        <v>50</v>
      </c>
      <c r="M477" s="5">
        <v>802172077</v>
      </c>
    </row>
    <row r="478" spans="2:13" x14ac:dyDescent="0.3">
      <c r="B478" s="4">
        <v>2021</v>
      </c>
      <c r="C478" s="4">
        <v>250</v>
      </c>
      <c r="D478" s="3" t="s">
        <v>40</v>
      </c>
      <c r="E478" s="5">
        <v>17402956</v>
      </c>
      <c r="F478" s="5"/>
      <c r="G478" s="5"/>
      <c r="J478" s="4">
        <v>2020</v>
      </c>
      <c r="K478" s="4">
        <v>250</v>
      </c>
      <c r="L478" s="3" t="s">
        <v>51</v>
      </c>
      <c r="M478" s="5">
        <v>418799466</v>
      </c>
    </row>
    <row r="479" spans="2:13" x14ac:dyDescent="0.3">
      <c r="B479" s="4">
        <v>2021</v>
      </c>
      <c r="C479" s="4">
        <v>250</v>
      </c>
      <c r="D479" s="3" t="s">
        <v>33</v>
      </c>
      <c r="E479" s="5">
        <v>11922891</v>
      </c>
      <c r="F479" s="5">
        <v>48995</v>
      </c>
      <c r="G479" s="5">
        <v>200</v>
      </c>
      <c r="J479" s="4">
        <v>2020</v>
      </c>
      <c r="K479" s="4">
        <v>250</v>
      </c>
      <c r="L479" s="3" t="s">
        <v>53</v>
      </c>
      <c r="M479" s="5">
        <v>101525817</v>
      </c>
    </row>
    <row r="480" spans="2:13" x14ac:dyDescent="0.3">
      <c r="B480" s="4">
        <v>2021</v>
      </c>
      <c r="C480" s="4">
        <v>250</v>
      </c>
      <c r="D480" s="3" t="s">
        <v>34</v>
      </c>
      <c r="E480" s="5">
        <v>1056368675</v>
      </c>
      <c r="F480" s="5">
        <v>7978099</v>
      </c>
      <c r="G480" s="5">
        <v>800372</v>
      </c>
      <c r="J480" s="4">
        <v>2021</v>
      </c>
      <c r="K480" s="4">
        <v>250</v>
      </c>
      <c r="L480" s="3" t="s">
        <v>43</v>
      </c>
      <c r="M480" s="5">
        <v>242114888</v>
      </c>
    </row>
    <row r="481" spans="2:13" x14ac:dyDescent="0.3">
      <c r="B481" s="4">
        <v>2021</v>
      </c>
      <c r="C481" s="4">
        <v>250</v>
      </c>
      <c r="D481" s="3" t="s">
        <v>35</v>
      </c>
      <c r="E481" s="5">
        <v>2309364587</v>
      </c>
      <c r="F481" s="5">
        <v>24780030</v>
      </c>
      <c r="G481" s="5">
        <v>912249</v>
      </c>
      <c r="J481" s="4">
        <v>2021</v>
      </c>
      <c r="K481" s="4">
        <v>250</v>
      </c>
      <c r="L481" s="3" t="s">
        <v>44</v>
      </c>
      <c r="M481" s="5">
        <v>70923056</v>
      </c>
    </row>
    <row r="482" spans="2:13" x14ac:dyDescent="0.3">
      <c r="B482" s="4">
        <v>2021</v>
      </c>
      <c r="C482" s="4">
        <v>250</v>
      </c>
      <c r="D482" s="3" t="s">
        <v>36</v>
      </c>
      <c r="E482" s="5">
        <v>287282619</v>
      </c>
      <c r="F482" s="5">
        <v>6483976</v>
      </c>
      <c r="G482" s="5">
        <v>40</v>
      </c>
      <c r="J482" s="4">
        <v>2021</v>
      </c>
      <c r="K482" s="4">
        <v>250</v>
      </c>
      <c r="L482" s="3" t="s">
        <v>45</v>
      </c>
      <c r="M482" s="5">
        <v>18493251</v>
      </c>
    </row>
    <row r="483" spans="2:13" x14ac:dyDescent="0.3">
      <c r="B483" s="4">
        <v>2021</v>
      </c>
      <c r="C483" s="4">
        <v>250</v>
      </c>
      <c r="D483" s="3" t="s">
        <v>37</v>
      </c>
      <c r="E483" s="5">
        <v>2326767543</v>
      </c>
      <c r="F483" s="5">
        <v>24780030</v>
      </c>
      <c r="G483" s="5">
        <v>912249</v>
      </c>
      <c r="J483" s="4">
        <v>2021</v>
      </c>
      <c r="K483" s="4">
        <v>250</v>
      </c>
      <c r="L483" s="3" t="s">
        <v>46</v>
      </c>
      <c r="M483" s="5">
        <v>159848932</v>
      </c>
    </row>
    <row r="484" spans="2:13" x14ac:dyDescent="0.3">
      <c r="B484" s="4">
        <v>2021</v>
      </c>
      <c r="C484" s="4">
        <v>250</v>
      </c>
      <c r="D484" s="3" t="s">
        <v>38</v>
      </c>
      <c r="E484" s="5">
        <v>2039484924</v>
      </c>
      <c r="F484" s="5">
        <v>18296054</v>
      </c>
      <c r="G484" s="5">
        <v>912209</v>
      </c>
      <c r="J484" s="4">
        <v>2021</v>
      </c>
      <c r="K484" s="4">
        <v>250</v>
      </c>
      <c r="L484" s="3" t="s">
        <v>47</v>
      </c>
      <c r="M484" s="5">
        <v>199194004</v>
      </c>
    </row>
    <row r="485" spans="2:13" x14ac:dyDescent="0.3">
      <c r="B485" s="4">
        <v>2021</v>
      </c>
      <c r="C485" s="4">
        <v>250</v>
      </c>
      <c r="D485" s="3" t="s">
        <v>39</v>
      </c>
      <c r="E485" s="5">
        <v>691317312</v>
      </c>
      <c r="F485" s="5">
        <v>6555280</v>
      </c>
      <c r="G485" s="5">
        <v>111369</v>
      </c>
      <c r="J485" s="4">
        <v>2021</v>
      </c>
      <c r="K485" s="4">
        <v>250</v>
      </c>
      <c r="L485" s="3" t="s">
        <v>48</v>
      </c>
      <c r="M485" s="5">
        <v>37330033</v>
      </c>
    </row>
    <row r="486" spans="2:13" x14ac:dyDescent="0.3">
      <c r="B486" s="4">
        <v>2022</v>
      </c>
      <c r="C486" s="4">
        <v>250</v>
      </c>
      <c r="D486" s="3" t="s">
        <v>30</v>
      </c>
      <c r="E486" s="5">
        <v>2702424185</v>
      </c>
      <c r="F486" s="5"/>
      <c r="G486" s="5"/>
      <c r="J486" s="4">
        <v>2021</v>
      </c>
      <c r="K486" s="4">
        <v>250</v>
      </c>
      <c r="L486" s="3" t="s">
        <v>49</v>
      </c>
      <c r="M486" s="5">
        <v>1501217925</v>
      </c>
    </row>
    <row r="487" spans="2:13" x14ac:dyDescent="0.3">
      <c r="B487" s="4">
        <v>2022</v>
      </c>
      <c r="C487" s="4">
        <v>250</v>
      </c>
      <c r="D487" s="3" t="s">
        <v>31</v>
      </c>
      <c r="E487" s="5">
        <v>311063785</v>
      </c>
      <c r="F487" s="5">
        <v>4228987</v>
      </c>
      <c r="G487" s="5">
        <v>269</v>
      </c>
      <c r="J487" s="4">
        <v>2021</v>
      </c>
      <c r="K487" s="4">
        <v>250</v>
      </c>
      <c r="L487" s="3" t="s">
        <v>50</v>
      </c>
      <c r="M487" s="5">
        <v>897929832</v>
      </c>
    </row>
    <row r="488" spans="2:13" x14ac:dyDescent="0.3">
      <c r="B488" s="4">
        <v>2022</v>
      </c>
      <c r="C488" s="4">
        <v>250</v>
      </c>
      <c r="D488" s="3" t="s">
        <v>32</v>
      </c>
      <c r="E488" s="5">
        <v>102501205</v>
      </c>
      <c r="F488" s="5"/>
      <c r="G488" s="5"/>
      <c r="J488" s="4">
        <v>2021</v>
      </c>
      <c r="K488" s="4">
        <v>250</v>
      </c>
      <c r="L488" s="3" t="s">
        <v>51</v>
      </c>
      <c r="M488" s="5">
        <v>530010343</v>
      </c>
    </row>
    <row r="489" spans="2:13" x14ac:dyDescent="0.3">
      <c r="B489" s="4">
        <v>2022</v>
      </c>
      <c r="C489" s="4">
        <v>250</v>
      </c>
      <c r="D489" s="3" t="s">
        <v>40</v>
      </c>
      <c r="E489" s="5">
        <v>-23353262</v>
      </c>
      <c r="F489" s="5"/>
      <c r="G489" s="5"/>
      <c r="J489" s="4">
        <v>2021</v>
      </c>
      <c r="K489" s="4">
        <v>250</v>
      </c>
      <c r="L489" s="3" t="s">
        <v>53</v>
      </c>
      <c r="M489" s="5">
        <v>111907966</v>
      </c>
    </row>
    <row r="490" spans="2:13" x14ac:dyDescent="0.3">
      <c r="B490" s="4">
        <v>2022</v>
      </c>
      <c r="C490" s="4">
        <v>250</v>
      </c>
      <c r="D490" s="3" t="s">
        <v>33</v>
      </c>
      <c r="E490" s="5">
        <v>12274623</v>
      </c>
      <c r="F490" s="5">
        <v>45651</v>
      </c>
      <c r="G490" s="5">
        <v>201</v>
      </c>
      <c r="J490" s="4">
        <v>2022</v>
      </c>
      <c r="K490" s="4">
        <v>250</v>
      </c>
      <c r="L490" s="3" t="s">
        <v>43</v>
      </c>
      <c r="M490" s="5">
        <v>222552630</v>
      </c>
    </row>
    <row r="491" spans="2:13" x14ac:dyDescent="0.3">
      <c r="B491" s="4">
        <v>2022</v>
      </c>
      <c r="C491" s="4">
        <v>250</v>
      </c>
      <c r="D491" s="3" t="s">
        <v>34</v>
      </c>
      <c r="E491" s="5">
        <v>1103142961</v>
      </c>
      <c r="F491" s="5">
        <v>8088474</v>
      </c>
      <c r="G491" s="5">
        <v>809573</v>
      </c>
      <c r="J491" s="4">
        <v>2022</v>
      </c>
      <c r="K491" s="4">
        <v>250</v>
      </c>
      <c r="L491" s="3" t="s">
        <v>44</v>
      </c>
      <c r="M491" s="5">
        <v>65250787</v>
      </c>
    </row>
    <row r="492" spans="2:13" x14ac:dyDescent="0.3">
      <c r="B492" s="4">
        <v>2022</v>
      </c>
      <c r="C492" s="4">
        <v>250</v>
      </c>
      <c r="D492" s="3" t="s">
        <v>35</v>
      </c>
      <c r="E492" s="5">
        <v>2599922980</v>
      </c>
      <c r="F492" s="5">
        <v>25650331</v>
      </c>
      <c r="G492" s="5">
        <v>922487</v>
      </c>
      <c r="J492" s="4">
        <v>2022</v>
      </c>
      <c r="K492" s="4">
        <v>250</v>
      </c>
      <c r="L492" s="3" t="s">
        <v>45</v>
      </c>
      <c r="M492" s="5">
        <v>29635976</v>
      </c>
    </row>
    <row r="493" spans="2:13" x14ac:dyDescent="0.3">
      <c r="B493" s="4">
        <v>2022</v>
      </c>
      <c r="C493" s="4">
        <v>250</v>
      </c>
      <c r="D493" s="3" t="s">
        <v>36</v>
      </c>
      <c r="E493" s="5">
        <v>431426146</v>
      </c>
      <c r="F493" s="5">
        <v>6745270</v>
      </c>
      <c r="G493" s="5">
        <v>43</v>
      </c>
      <c r="J493" s="4">
        <v>2022</v>
      </c>
      <c r="K493" s="4">
        <v>250</v>
      </c>
      <c r="L493" s="3" t="s">
        <v>46</v>
      </c>
      <c r="M493" s="5">
        <v>192287093</v>
      </c>
    </row>
    <row r="494" spans="2:13" x14ac:dyDescent="0.3">
      <c r="B494" s="4">
        <v>2022</v>
      </c>
      <c r="C494" s="4">
        <v>250</v>
      </c>
      <c r="D494" s="3" t="s">
        <v>37</v>
      </c>
      <c r="E494" s="5">
        <v>2576569718</v>
      </c>
      <c r="F494" s="5">
        <v>25650331</v>
      </c>
      <c r="G494" s="5">
        <v>922487</v>
      </c>
      <c r="J494" s="4">
        <v>2022</v>
      </c>
      <c r="K494" s="4">
        <v>250</v>
      </c>
      <c r="L494" s="3" t="s">
        <v>47</v>
      </c>
      <c r="M494" s="5">
        <v>144392430</v>
      </c>
    </row>
    <row r="495" spans="2:13" x14ac:dyDescent="0.3">
      <c r="B495" s="4">
        <v>2022</v>
      </c>
      <c r="C495" s="4">
        <v>250</v>
      </c>
      <c r="D495" s="3" t="s">
        <v>38</v>
      </c>
      <c r="E495" s="5">
        <v>2145143572</v>
      </c>
      <c r="F495" s="5">
        <v>18905061</v>
      </c>
      <c r="G495" s="5">
        <v>922444</v>
      </c>
      <c r="J495" s="4">
        <v>2022</v>
      </c>
      <c r="K495" s="4">
        <v>250</v>
      </c>
      <c r="L495" s="3" t="s">
        <v>48</v>
      </c>
      <c r="M495" s="5">
        <v>44841981</v>
      </c>
    </row>
    <row r="496" spans="2:13" x14ac:dyDescent="0.3">
      <c r="B496" s="4">
        <v>2022</v>
      </c>
      <c r="C496" s="4">
        <v>250</v>
      </c>
      <c r="D496" s="3" t="s">
        <v>39</v>
      </c>
      <c r="E496" s="5">
        <v>718662203</v>
      </c>
      <c r="F496" s="5">
        <v>6541949</v>
      </c>
      <c r="G496" s="5">
        <v>112401</v>
      </c>
      <c r="J496" s="4">
        <v>2022</v>
      </c>
      <c r="K496" s="4">
        <v>250</v>
      </c>
      <c r="L496" s="3" t="s">
        <v>49</v>
      </c>
      <c r="M496" s="5">
        <v>1740027403</v>
      </c>
    </row>
    <row r="497" spans="2:13" x14ac:dyDescent="0.3">
      <c r="B497" s="4">
        <v>2023</v>
      </c>
      <c r="C497" s="4">
        <v>250</v>
      </c>
      <c r="D497" s="3" t="s">
        <v>30</v>
      </c>
      <c r="E497" s="5">
        <v>2966551020</v>
      </c>
      <c r="F497" s="5"/>
      <c r="G497" s="5"/>
      <c r="J497" s="4">
        <v>2022</v>
      </c>
      <c r="K497" s="4">
        <v>250</v>
      </c>
      <c r="L497" s="3" t="s">
        <v>50</v>
      </c>
      <c r="M497" s="5">
        <v>1110682056</v>
      </c>
    </row>
    <row r="498" spans="2:13" x14ac:dyDescent="0.3">
      <c r="B498" s="4">
        <v>2023</v>
      </c>
      <c r="C498" s="4">
        <v>250</v>
      </c>
      <c r="D498" s="3" t="s">
        <v>31</v>
      </c>
      <c r="E498" s="5">
        <v>367911469</v>
      </c>
      <c r="F498" s="5">
        <v>4578148</v>
      </c>
      <c r="G498" s="5">
        <v>266</v>
      </c>
      <c r="J498" s="4">
        <v>2022</v>
      </c>
      <c r="K498" s="4">
        <v>250</v>
      </c>
      <c r="L498" s="3" t="s">
        <v>51</v>
      </c>
      <c r="M498" s="5">
        <v>785500386</v>
      </c>
    </row>
    <row r="499" spans="2:13" x14ac:dyDescent="0.3">
      <c r="B499" s="4">
        <v>2023</v>
      </c>
      <c r="C499" s="4">
        <v>250</v>
      </c>
      <c r="D499" s="3" t="s">
        <v>32</v>
      </c>
      <c r="E499" s="5">
        <v>95519144</v>
      </c>
      <c r="F499" s="5"/>
      <c r="G499" s="5"/>
      <c r="J499" s="4">
        <v>2022</v>
      </c>
      <c r="K499" s="4">
        <v>250</v>
      </c>
      <c r="L499" s="3" t="s">
        <v>53</v>
      </c>
      <c r="M499" s="5">
        <v>119618861</v>
      </c>
    </row>
    <row r="500" spans="2:13" x14ac:dyDescent="0.3">
      <c r="B500" s="4">
        <v>2023</v>
      </c>
      <c r="C500" s="4">
        <v>250</v>
      </c>
      <c r="D500" s="3" t="s">
        <v>40</v>
      </c>
      <c r="E500" s="5">
        <v>-14313659</v>
      </c>
      <c r="F500" s="5"/>
      <c r="G500" s="5"/>
      <c r="J500" s="4">
        <v>2023</v>
      </c>
      <c r="K500" s="4">
        <v>250</v>
      </c>
      <c r="L500" s="3" t="s">
        <v>43</v>
      </c>
      <c r="M500" s="5">
        <v>222693087</v>
      </c>
    </row>
    <row r="501" spans="2:13" x14ac:dyDescent="0.3">
      <c r="B501" s="4">
        <v>2023</v>
      </c>
      <c r="C501" s="4">
        <v>250</v>
      </c>
      <c r="D501" s="3" t="s">
        <v>33</v>
      </c>
      <c r="E501" s="5">
        <v>13078454</v>
      </c>
      <c r="F501" s="5">
        <v>43544</v>
      </c>
      <c r="G501" s="5">
        <v>204</v>
      </c>
      <c r="J501" s="4">
        <v>2023</v>
      </c>
      <c r="K501" s="4">
        <v>250</v>
      </c>
      <c r="L501" s="3" t="s">
        <v>44</v>
      </c>
      <c r="M501" s="5">
        <v>69269441</v>
      </c>
    </row>
    <row r="502" spans="2:13" x14ac:dyDescent="0.3">
      <c r="B502" s="4">
        <v>2023</v>
      </c>
      <c r="C502" s="4">
        <v>250</v>
      </c>
      <c r="D502" s="3" t="s">
        <v>34</v>
      </c>
      <c r="E502" s="5">
        <v>1208401408</v>
      </c>
      <c r="F502" s="5">
        <v>7952313</v>
      </c>
      <c r="G502" s="5">
        <v>815920</v>
      </c>
      <c r="J502" s="4">
        <v>2023</v>
      </c>
      <c r="K502" s="4">
        <v>250</v>
      </c>
      <c r="L502" s="3" t="s">
        <v>45</v>
      </c>
      <c r="M502" s="5">
        <v>30201394</v>
      </c>
    </row>
    <row r="503" spans="2:13" x14ac:dyDescent="0.3">
      <c r="B503" s="4">
        <v>2023</v>
      </c>
      <c r="C503" s="4">
        <v>250</v>
      </c>
      <c r="D503" s="3" t="s">
        <v>35</v>
      </c>
      <c r="E503" s="5">
        <v>2871031876</v>
      </c>
      <c r="F503" s="5">
        <v>26935027</v>
      </c>
      <c r="G503" s="5">
        <v>928904</v>
      </c>
      <c r="J503" s="4">
        <v>2023</v>
      </c>
      <c r="K503" s="4">
        <v>250</v>
      </c>
      <c r="L503" s="3" t="s">
        <v>46</v>
      </c>
      <c r="M503" s="5">
        <v>200233520</v>
      </c>
    </row>
    <row r="504" spans="2:13" x14ac:dyDescent="0.3">
      <c r="B504" s="4">
        <v>2023</v>
      </c>
      <c r="C504" s="4">
        <v>250</v>
      </c>
      <c r="D504" s="3" t="s">
        <v>36</v>
      </c>
      <c r="E504" s="5">
        <v>476723920</v>
      </c>
      <c r="F504" s="5">
        <v>7803299</v>
      </c>
      <c r="G504" s="5">
        <v>45</v>
      </c>
      <c r="J504" s="4">
        <v>2023</v>
      </c>
      <c r="K504" s="4">
        <v>250</v>
      </c>
      <c r="L504" s="3" t="s">
        <v>47</v>
      </c>
      <c r="M504" s="5">
        <v>342068772</v>
      </c>
    </row>
    <row r="505" spans="2:13" x14ac:dyDescent="0.3">
      <c r="B505" s="4">
        <v>2023</v>
      </c>
      <c r="C505" s="4">
        <v>250</v>
      </c>
      <c r="D505" s="3" t="s">
        <v>37</v>
      </c>
      <c r="E505" s="5">
        <v>2856718217</v>
      </c>
      <c r="F505" s="5">
        <v>26935027</v>
      </c>
      <c r="G505" s="5">
        <v>928904</v>
      </c>
      <c r="J505" s="4">
        <v>2023</v>
      </c>
      <c r="K505" s="4">
        <v>250</v>
      </c>
      <c r="L505" s="3" t="s">
        <v>48</v>
      </c>
      <c r="M505" s="5">
        <v>48621978</v>
      </c>
    </row>
    <row r="506" spans="2:13" x14ac:dyDescent="0.3">
      <c r="B506" s="4">
        <v>2023</v>
      </c>
      <c r="C506" s="4">
        <v>250</v>
      </c>
      <c r="D506" s="3" t="s">
        <v>38</v>
      </c>
      <c r="E506" s="5">
        <v>2379994297</v>
      </c>
      <c r="F506" s="5">
        <v>19131728</v>
      </c>
      <c r="G506" s="5">
        <v>928859</v>
      </c>
      <c r="J506" s="4">
        <v>2023</v>
      </c>
      <c r="K506" s="4">
        <v>250</v>
      </c>
      <c r="L506" s="3" t="s">
        <v>49</v>
      </c>
      <c r="M506" s="5">
        <v>1961956099</v>
      </c>
    </row>
    <row r="507" spans="2:13" x14ac:dyDescent="0.3">
      <c r="B507" s="4">
        <v>2023</v>
      </c>
      <c r="C507" s="4">
        <v>250</v>
      </c>
      <c r="D507" s="3" t="s">
        <v>39</v>
      </c>
      <c r="E507" s="5">
        <v>790602966</v>
      </c>
      <c r="F507" s="5">
        <v>6557723</v>
      </c>
      <c r="G507" s="5">
        <v>112469</v>
      </c>
      <c r="J507" s="4">
        <v>2023</v>
      </c>
      <c r="K507" s="4">
        <v>250</v>
      </c>
      <c r="L507" s="3" t="s">
        <v>50</v>
      </c>
      <c r="M507" s="5">
        <v>1315365371</v>
      </c>
    </row>
    <row r="508" spans="2:13" x14ac:dyDescent="0.3">
      <c r="B508" s="4">
        <v>2024</v>
      </c>
      <c r="C508" s="4">
        <v>250</v>
      </c>
      <c r="D508" s="3" t="s">
        <v>30</v>
      </c>
      <c r="E508" s="5">
        <v>3460714741</v>
      </c>
      <c r="F508" s="5"/>
      <c r="G508" s="5"/>
      <c r="J508" s="4">
        <v>2023</v>
      </c>
      <c r="K508" s="4">
        <v>250</v>
      </c>
      <c r="L508" s="3" t="s">
        <v>51</v>
      </c>
      <c r="M508" s="5">
        <v>777351053</v>
      </c>
    </row>
    <row r="509" spans="2:13" x14ac:dyDescent="0.3">
      <c r="B509" s="4">
        <v>2024</v>
      </c>
      <c r="C509" s="4">
        <v>250</v>
      </c>
      <c r="D509" s="3" t="s">
        <v>31</v>
      </c>
      <c r="E509" s="5">
        <v>457455750</v>
      </c>
      <c r="F509" s="5">
        <v>5032385</v>
      </c>
      <c r="G509" s="5">
        <v>281</v>
      </c>
      <c r="J509" s="4">
        <v>2023</v>
      </c>
      <c r="K509" s="4">
        <v>250</v>
      </c>
      <c r="L509" s="3" t="s">
        <v>53</v>
      </c>
      <c r="M509" s="5">
        <v>124193286</v>
      </c>
    </row>
    <row r="510" spans="2:13" x14ac:dyDescent="0.3">
      <c r="B510" s="4">
        <v>2024</v>
      </c>
      <c r="C510" s="4">
        <v>250</v>
      </c>
      <c r="D510" s="3" t="s">
        <v>32</v>
      </c>
      <c r="E510" s="5">
        <v>126520982</v>
      </c>
      <c r="F510" s="5"/>
      <c r="G510" s="5"/>
      <c r="J510" s="4">
        <v>2024</v>
      </c>
      <c r="K510" s="4">
        <v>250</v>
      </c>
      <c r="L510" s="3" t="s">
        <v>43</v>
      </c>
      <c r="M510" s="5">
        <v>263397780</v>
      </c>
    </row>
    <row r="511" spans="2:13" x14ac:dyDescent="0.3">
      <c r="B511" s="4">
        <v>2024</v>
      </c>
      <c r="C511" s="4">
        <v>250</v>
      </c>
      <c r="D511" s="3" t="s">
        <v>40</v>
      </c>
      <c r="E511" s="5">
        <v>36929618</v>
      </c>
      <c r="F511" s="5"/>
      <c r="G511" s="5"/>
      <c r="J511" s="4">
        <v>2024</v>
      </c>
      <c r="K511" s="4">
        <v>250</v>
      </c>
      <c r="L511" s="3" t="s">
        <v>44</v>
      </c>
      <c r="M511" s="5">
        <v>84963822</v>
      </c>
    </row>
    <row r="512" spans="2:13" x14ac:dyDescent="0.3">
      <c r="B512" s="4">
        <v>2024</v>
      </c>
      <c r="C512" s="4">
        <v>250</v>
      </c>
      <c r="D512" s="3" t="s">
        <v>33</v>
      </c>
      <c r="E512" s="5">
        <v>14304206</v>
      </c>
      <c r="F512" s="5">
        <v>42625</v>
      </c>
      <c r="G512" s="5">
        <v>218</v>
      </c>
      <c r="J512" s="4">
        <v>2024</v>
      </c>
      <c r="K512" s="4">
        <v>250</v>
      </c>
      <c r="L512" s="3" t="s">
        <v>45</v>
      </c>
      <c r="M512" s="5">
        <v>28883061</v>
      </c>
    </row>
    <row r="513" spans="2:13" x14ac:dyDescent="0.3">
      <c r="B513" s="4">
        <v>2024</v>
      </c>
      <c r="C513" s="4">
        <v>250</v>
      </c>
      <c r="D513" s="3" t="s">
        <v>34</v>
      </c>
      <c r="E513" s="5">
        <v>1406370635</v>
      </c>
      <c r="F513" s="5">
        <v>7731594</v>
      </c>
      <c r="G513" s="5">
        <v>829721</v>
      </c>
      <c r="J513" s="4">
        <v>2024</v>
      </c>
      <c r="K513" s="4">
        <v>250</v>
      </c>
      <c r="L513" s="3" t="s">
        <v>46</v>
      </c>
      <c r="M513" s="5">
        <v>228327958</v>
      </c>
    </row>
    <row r="514" spans="2:13" x14ac:dyDescent="0.3">
      <c r="B514" s="4">
        <v>2024</v>
      </c>
      <c r="C514" s="4">
        <v>250</v>
      </c>
      <c r="D514" s="3" t="s">
        <v>35</v>
      </c>
      <c r="E514" s="5">
        <v>3334193759</v>
      </c>
      <c r="F514" s="5">
        <v>29577661</v>
      </c>
      <c r="G514" s="5">
        <v>943985</v>
      </c>
      <c r="J514" s="4">
        <v>2024</v>
      </c>
      <c r="K514" s="4">
        <v>250</v>
      </c>
      <c r="L514" s="3" t="s">
        <v>47</v>
      </c>
      <c r="M514" s="5">
        <v>412823864</v>
      </c>
    </row>
    <row r="515" spans="2:13" x14ac:dyDescent="0.3">
      <c r="B515" s="4">
        <v>2024</v>
      </c>
      <c r="C515" s="4">
        <v>250</v>
      </c>
      <c r="D515" s="3" t="s">
        <v>36</v>
      </c>
      <c r="E515" s="5">
        <v>588094149</v>
      </c>
      <c r="F515" s="5">
        <v>10305039</v>
      </c>
      <c r="G515" s="5">
        <v>41</v>
      </c>
      <c r="J515" s="4">
        <v>2024</v>
      </c>
      <c r="K515" s="4">
        <v>250</v>
      </c>
      <c r="L515" s="3" t="s">
        <v>48</v>
      </c>
      <c r="M515" s="5">
        <v>44941266</v>
      </c>
    </row>
    <row r="516" spans="2:13" x14ac:dyDescent="0.3">
      <c r="B516" s="4">
        <v>2024</v>
      </c>
      <c r="C516" s="4">
        <v>250</v>
      </c>
      <c r="D516" s="3" t="s">
        <v>37</v>
      </c>
      <c r="E516" s="5">
        <v>3371123377</v>
      </c>
      <c r="F516" s="5">
        <v>29577661</v>
      </c>
      <c r="G516" s="5">
        <v>943985</v>
      </c>
      <c r="J516" s="4">
        <v>2024</v>
      </c>
      <c r="K516" s="4">
        <v>250</v>
      </c>
      <c r="L516" s="3" t="s">
        <v>49</v>
      </c>
      <c r="M516" s="5">
        <v>2278254387</v>
      </c>
    </row>
    <row r="517" spans="2:13" x14ac:dyDescent="0.3">
      <c r="B517" s="4">
        <v>2024</v>
      </c>
      <c r="C517" s="4">
        <v>250</v>
      </c>
      <c r="D517" s="3" t="s">
        <v>38</v>
      </c>
      <c r="E517" s="5">
        <v>2783029228</v>
      </c>
      <c r="F517" s="5">
        <v>19272622</v>
      </c>
      <c r="G517" s="5">
        <v>943944</v>
      </c>
      <c r="J517" s="4">
        <v>2024</v>
      </c>
      <c r="K517" s="4">
        <v>250</v>
      </c>
      <c r="L517" s="3" t="s">
        <v>50</v>
      </c>
      <c r="M517" s="5">
        <v>1513877088</v>
      </c>
    </row>
    <row r="518" spans="2:13" x14ac:dyDescent="0.3">
      <c r="B518" s="4">
        <v>2024</v>
      </c>
      <c r="C518" s="4">
        <v>250</v>
      </c>
      <c r="D518" s="3" t="s">
        <v>39</v>
      </c>
      <c r="E518" s="5">
        <v>904898637</v>
      </c>
      <c r="F518" s="5">
        <v>6466018</v>
      </c>
      <c r="G518" s="5">
        <v>113724</v>
      </c>
      <c r="J518" s="4">
        <v>2024</v>
      </c>
      <c r="K518" s="4">
        <v>250</v>
      </c>
      <c r="L518" s="3" t="s">
        <v>51</v>
      </c>
      <c r="M518" s="5">
        <v>879859761</v>
      </c>
    </row>
    <row r="519" spans="2:13" x14ac:dyDescent="0.3">
      <c r="B519" s="4">
        <v>2025</v>
      </c>
      <c r="C519" s="4">
        <v>250</v>
      </c>
      <c r="D519" s="3" t="s">
        <v>30</v>
      </c>
      <c r="E519" s="5">
        <v>3548184245</v>
      </c>
      <c r="F519" s="5"/>
      <c r="G519" s="5"/>
      <c r="J519" s="4">
        <v>2024</v>
      </c>
      <c r="K519" s="4">
        <v>250</v>
      </c>
      <c r="L519" s="3" t="s">
        <v>53</v>
      </c>
      <c r="M519" s="5">
        <v>158804678</v>
      </c>
    </row>
    <row r="520" spans="2:13" x14ac:dyDescent="0.3">
      <c r="B520" s="4">
        <v>2025</v>
      </c>
      <c r="C520" s="4">
        <v>250</v>
      </c>
      <c r="D520" s="3" t="s">
        <v>31</v>
      </c>
      <c r="E520" s="5">
        <v>560496980</v>
      </c>
      <c r="F520" s="5">
        <v>5904529</v>
      </c>
      <c r="G520" s="5">
        <v>285</v>
      </c>
      <c r="J520" s="4">
        <v>2025</v>
      </c>
      <c r="K520" s="4">
        <v>250</v>
      </c>
      <c r="L520" s="3" t="s">
        <v>43</v>
      </c>
      <c r="M520" s="5">
        <v>283831875</v>
      </c>
    </row>
    <row r="521" spans="2:13" x14ac:dyDescent="0.3">
      <c r="B521" s="4">
        <v>2025</v>
      </c>
      <c r="C521" s="4">
        <v>250</v>
      </c>
      <c r="D521" s="3" t="s">
        <v>32</v>
      </c>
      <c r="E521" s="5">
        <v>152350066</v>
      </c>
      <c r="F521" s="5"/>
      <c r="G521" s="5"/>
      <c r="J521" s="4">
        <v>2025</v>
      </c>
      <c r="K521" s="4">
        <v>250</v>
      </c>
      <c r="L521" s="3" t="s">
        <v>44</v>
      </c>
      <c r="M521" s="5">
        <v>56376921</v>
      </c>
    </row>
    <row r="522" spans="2:13" x14ac:dyDescent="0.3">
      <c r="B522" s="4">
        <v>2025</v>
      </c>
      <c r="C522" s="4">
        <v>250</v>
      </c>
      <c r="D522" s="3" t="s">
        <v>40</v>
      </c>
      <c r="E522" s="5">
        <v>-20225849</v>
      </c>
      <c r="F522" s="5"/>
      <c r="G522" s="5"/>
      <c r="J522" s="4">
        <v>2025</v>
      </c>
      <c r="K522" s="4">
        <v>250</v>
      </c>
      <c r="L522" s="3" t="s">
        <v>45</v>
      </c>
      <c r="M522" s="5">
        <v>26317568</v>
      </c>
    </row>
    <row r="523" spans="2:13" x14ac:dyDescent="0.3">
      <c r="B523" s="4">
        <v>2025</v>
      </c>
      <c r="C523" s="4">
        <v>250</v>
      </c>
      <c r="D523" s="3" t="s">
        <v>33</v>
      </c>
      <c r="E523" s="5">
        <v>14976918</v>
      </c>
      <c r="F523" s="5">
        <v>41443</v>
      </c>
      <c r="G523" s="5">
        <v>236</v>
      </c>
      <c r="J523" s="4">
        <v>2025</v>
      </c>
      <c r="K523" s="4">
        <v>250</v>
      </c>
      <c r="L523" s="3" t="s">
        <v>46</v>
      </c>
      <c r="M523" s="5">
        <v>246386322</v>
      </c>
    </row>
    <row r="524" spans="2:13" x14ac:dyDescent="0.3">
      <c r="B524" s="4">
        <v>2025</v>
      </c>
      <c r="C524" s="4">
        <v>250</v>
      </c>
      <c r="D524" s="3" t="s">
        <v>34</v>
      </c>
      <c r="E524" s="5">
        <v>1427684968</v>
      </c>
      <c r="F524" s="5">
        <v>7596298</v>
      </c>
      <c r="G524" s="5">
        <v>840457</v>
      </c>
      <c r="J524" s="4">
        <v>2025</v>
      </c>
      <c r="K524" s="4">
        <v>250</v>
      </c>
      <c r="L524" s="3" t="s">
        <v>47</v>
      </c>
      <c r="M524" s="5">
        <v>430180885</v>
      </c>
    </row>
    <row r="525" spans="2:13" x14ac:dyDescent="0.3">
      <c r="B525" s="4">
        <v>2025</v>
      </c>
      <c r="C525" s="4">
        <v>250</v>
      </c>
      <c r="D525" s="3" t="s">
        <v>35</v>
      </c>
      <c r="E525" s="5">
        <v>3395834179</v>
      </c>
      <c r="F525" s="5">
        <v>29824518</v>
      </c>
      <c r="G525" s="5">
        <v>955694</v>
      </c>
      <c r="J525" s="4">
        <v>2025</v>
      </c>
      <c r="K525" s="4">
        <v>250</v>
      </c>
      <c r="L525" s="3" t="s">
        <v>48</v>
      </c>
      <c r="M525" s="5">
        <v>45578906</v>
      </c>
    </row>
    <row r="526" spans="2:13" x14ac:dyDescent="0.3">
      <c r="B526" s="4">
        <v>2025</v>
      </c>
      <c r="C526" s="4">
        <v>250</v>
      </c>
      <c r="D526" s="3" t="s">
        <v>36</v>
      </c>
      <c r="E526" s="5">
        <v>406261710</v>
      </c>
      <c r="F526" s="5">
        <v>9856351</v>
      </c>
      <c r="G526" s="5">
        <v>40</v>
      </c>
      <c r="J526" s="4">
        <v>2025</v>
      </c>
      <c r="K526" s="4">
        <v>250</v>
      </c>
      <c r="L526" s="3" t="s">
        <v>49</v>
      </c>
      <c r="M526" s="5">
        <v>2287363048</v>
      </c>
    </row>
    <row r="527" spans="2:13" x14ac:dyDescent="0.3">
      <c r="B527" s="4">
        <v>2025</v>
      </c>
      <c r="C527" s="4">
        <v>250</v>
      </c>
      <c r="D527" s="3" t="s">
        <v>37</v>
      </c>
      <c r="E527" s="5">
        <v>3375608330</v>
      </c>
      <c r="F527" s="5">
        <v>29824518</v>
      </c>
      <c r="G527" s="5">
        <v>955694</v>
      </c>
      <c r="J527" s="4">
        <v>2025</v>
      </c>
      <c r="K527" s="4">
        <v>250</v>
      </c>
      <c r="L527" s="3" t="s">
        <v>50</v>
      </c>
      <c r="M527" s="5">
        <v>1503322001</v>
      </c>
    </row>
    <row r="528" spans="2:13" x14ac:dyDescent="0.3">
      <c r="B528" s="4">
        <v>2025</v>
      </c>
      <c r="C528" s="4">
        <v>250</v>
      </c>
      <c r="D528" s="3" t="s">
        <v>38</v>
      </c>
      <c r="E528" s="5">
        <v>2969346620</v>
      </c>
      <c r="F528" s="5">
        <v>19968167</v>
      </c>
      <c r="G528" s="5">
        <v>955654</v>
      </c>
      <c r="J528" s="4">
        <v>2025</v>
      </c>
      <c r="K528" s="4">
        <v>250</v>
      </c>
      <c r="L528" s="3" t="s">
        <v>54</v>
      </c>
      <c r="M528" s="5">
        <v>22014474</v>
      </c>
    </row>
    <row r="529" spans="2:13" x14ac:dyDescent="0.3">
      <c r="B529" s="4">
        <v>2025</v>
      </c>
      <c r="C529" s="4">
        <v>250</v>
      </c>
      <c r="D529" s="3" t="s">
        <v>39</v>
      </c>
      <c r="E529" s="5">
        <v>966187754</v>
      </c>
      <c r="F529" s="5">
        <v>6425897</v>
      </c>
      <c r="G529" s="5">
        <v>114676</v>
      </c>
      <c r="J529" s="4">
        <v>2025</v>
      </c>
      <c r="K529" s="4">
        <v>250</v>
      </c>
      <c r="L529" s="3" t="s">
        <v>51</v>
      </c>
      <c r="M529" s="5">
        <v>823981794</v>
      </c>
    </row>
    <row r="530" spans="2:13" x14ac:dyDescent="0.3">
      <c r="B530" s="4">
        <v>2014</v>
      </c>
      <c r="C530" s="4">
        <v>303</v>
      </c>
      <c r="D530" s="3" t="s">
        <v>30</v>
      </c>
      <c r="E530" s="5">
        <v>5267001125</v>
      </c>
      <c r="F530" s="5">
        <v>65269524</v>
      </c>
      <c r="G530" s="5">
        <v>1782893</v>
      </c>
      <c r="J530" s="4">
        <v>2025</v>
      </c>
      <c r="K530" s="4">
        <v>250</v>
      </c>
      <c r="L530" s="3" t="s">
        <v>52</v>
      </c>
      <c r="M530" s="5">
        <v>0</v>
      </c>
    </row>
    <row r="531" spans="2:13" x14ac:dyDescent="0.3">
      <c r="B531" s="4">
        <v>2014</v>
      </c>
      <c r="C531" s="4">
        <v>303</v>
      </c>
      <c r="D531" s="3" t="s">
        <v>31</v>
      </c>
      <c r="E531" s="5">
        <v>1430453424</v>
      </c>
      <c r="F531" s="5">
        <v>21933602</v>
      </c>
      <c r="G531" s="5">
        <v>33373</v>
      </c>
      <c r="J531" s="4">
        <v>2025</v>
      </c>
      <c r="K531" s="4">
        <v>250</v>
      </c>
      <c r="L531" s="3" t="s">
        <v>53</v>
      </c>
      <c r="M531" s="5">
        <v>166944422</v>
      </c>
    </row>
    <row r="532" spans="2:13" x14ac:dyDescent="0.3">
      <c r="B532" s="4">
        <v>2014</v>
      </c>
      <c r="C532" s="4">
        <v>303</v>
      </c>
      <c r="D532" s="3" t="s">
        <v>32</v>
      </c>
      <c r="E532" s="5">
        <v>187270964</v>
      </c>
      <c r="F532" s="5"/>
      <c r="G532" s="5"/>
      <c r="J532" s="4">
        <v>2014</v>
      </c>
      <c r="K532" s="4">
        <v>303</v>
      </c>
      <c r="L532" s="3" t="s">
        <v>43</v>
      </c>
      <c r="M532" s="5">
        <v>103886947</v>
      </c>
    </row>
    <row r="533" spans="2:13" x14ac:dyDescent="0.3">
      <c r="B533" s="4">
        <v>2014</v>
      </c>
      <c r="C533" s="4">
        <v>303</v>
      </c>
      <c r="D533" s="3" t="s">
        <v>41</v>
      </c>
      <c r="E533" s="5">
        <v>17499523</v>
      </c>
      <c r="F533" s="5">
        <v>281624</v>
      </c>
      <c r="G533" s="5">
        <v>3</v>
      </c>
      <c r="J533" s="4">
        <v>2014</v>
      </c>
      <c r="K533" s="4">
        <v>303</v>
      </c>
      <c r="L533" s="3" t="s">
        <v>44</v>
      </c>
      <c r="M533" s="5">
        <v>85292258</v>
      </c>
    </row>
    <row r="534" spans="2:13" x14ac:dyDescent="0.3">
      <c r="B534" s="4">
        <v>2014</v>
      </c>
      <c r="C534" s="4">
        <v>303</v>
      </c>
      <c r="D534" s="3" t="s">
        <v>33</v>
      </c>
      <c r="E534" s="5">
        <v>20446444</v>
      </c>
      <c r="F534" s="5">
        <v>143147</v>
      </c>
      <c r="G534" s="5">
        <v>3534</v>
      </c>
      <c r="J534" s="4">
        <v>2014</v>
      </c>
      <c r="K534" s="4">
        <v>303</v>
      </c>
      <c r="L534" s="3" t="s">
        <v>45</v>
      </c>
      <c r="M534" s="5">
        <v>136012327</v>
      </c>
    </row>
    <row r="535" spans="2:13" x14ac:dyDescent="0.3">
      <c r="B535" s="4">
        <v>2014</v>
      </c>
      <c r="C535" s="4">
        <v>303</v>
      </c>
      <c r="D535" s="3" t="s">
        <v>34</v>
      </c>
      <c r="E535" s="5">
        <v>1732822429</v>
      </c>
      <c r="F535" s="5">
        <v>15567753</v>
      </c>
      <c r="G535" s="5">
        <v>1545529</v>
      </c>
      <c r="J535" s="4">
        <v>2014</v>
      </c>
      <c r="K535" s="4">
        <v>303</v>
      </c>
      <c r="L535" s="3" t="s">
        <v>46</v>
      </c>
      <c r="M535" s="5">
        <v>207563556</v>
      </c>
    </row>
    <row r="536" spans="2:13" x14ac:dyDescent="0.3">
      <c r="B536" s="4">
        <v>2014</v>
      </c>
      <c r="C536" s="4">
        <v>303</v>
      </c>
      <c r="D536" s="3" t="s">
        <v>35</v>
      </c>
      <c r="E536" s="5">
        <v>5079730161</v>
      </c>
      <c r="F536" s="5">
        <v>65269524</v>
      </c>
      <c r="G536" s="5">
        <v>1782893</v>
      </c>
      <c r="J536" s="4">
        <v>2014</v>
      </c>
      <c r="K536" s="4">
        <v>303</v>
      </c>
      <c r="L536" s="3" t="s">
        <v>47</v>
      </c>
      <c r="M536" s="5">
        <v>396700941</v>
      </c>
    </row>
    <row r="537" spans="2:13" x14ac:dyDescent="0.3">
      <c r="B537" s="4">
        <v>2014</v>
      </c>
      <c r="C537" s="4">
        <v>303</v>
      </c>
      <c r="D537" s="3" t="s">
        <v>36</v>
      </c>
      <c r="E537" s="5">
        <v>360600595</v>
      </c>
      <c r="F537" s="5">
        <v>10270247</v>
      </c>
      <c r="G537" s="5"/>
      <c r="J537" s="4">
        <v>2014</v>
      </c>
      <c r="K537" s="4">
        <v>303</v>
      </c>
      <c r="L537" s="3" t="s">
        <v>48</v>
      </c>
      <c r="M537" s="5">
        <v>860709193</v>
      </c>
    </row>
    <row r="538" spans="2:13" x14ac:dyDescent="0.3">
      <c r="B538" s="4">
        <v>2014</v>
      </c>
      <c r="C538" s="4">
        <v>303</v>
      </c>
      <c r="D538" s="3" t="s">
        <v>37</v>
      </c>
      <c r="E538" s="5">
        <v>5079730161</v>
      </c>
      <c r="F538" s="5">
        <v>65269524</v>
      </c>
      <c r="G538" s="5">
        <v>1782893</v>
      </c>
      <c r="J538" s="4">
        <v>2014</v>
      </c>
      <c r="K538" s="4">
        <v>303</v>
      </c>
      <c r="L538" s="3" t="s">
        <v>49</v>
      </c>
      <c r="M538" s="5">
        <v>3070184314</v>
      </c>
    </row>
    <row r="539" spans="2:13" x14ac:dyDescent="0.3">
      <c r="B539" s="4">
        <v>2014</v>
      </c>
      <c r="C539" s="4">
        <v>303</v>
      </c>
      <c r="D539" s="3" t="s">
        <v>38</v>
      </c>
      <c r="E539" s="5">
        <v>4719129566</v>
      </c>
      <c r="F539" s="5">
        <v>54999277</v>
      </c>
      <c r="G539" s="5">
        <v>1782893</v>
      </c>
      <c r="J539" s="4">
        <v>2014</v>
      </c>
      <c r="K539" s="4">
        <v>303</v>
      </c>
      <c r="L539" s="3" t="s">
        <v>50</v>
      </c>
      <c r="M539" s="5">
        <v>2326371697</v>
      </c>
    </row>
    <row r="540" spans="2:13" x14ac:dyDescent="0.3">
      <c r="B540" s="4">
        <v>2014</v>
      </c>
      <c r="C540" s="4">
        <v>303</v>
      </c>
      <c r="D540" s="3" t="s">
        <v>39</v>
      </c>
      <c r="E540" s="5">
        <v>1517907746</v>
      </c>
      <c r="F540" s="5">
        <v>17073151</v>
      </c>
      <c r="G540" s="5">
        <v>200454</v>
      </c>
      <c r="J540" s="4">
        <v>2014</v>
      </c>
      <c r="K540" s="4">
        <v>303</v>
      </c>
      <c r="L540" s="3" t="s">
        <v>51</v>
      </c>
      <c r="M540" s="5">
        <v>603201899</v>
      </c>
    </row>
    <row r="541" spans="2:13" x14ac:dyDescent="0.3">
      <c r="B541" s="4">
        <v>2015</v>
      </c>
      <c r="C541" s="4">
        <v>303</v>
      </c>
      <c r="D541" s="3" t="s">
        <v>30</v>
      </c>
      <c r="E541" s="5">
        <v>5235309367</v>
      </c>
      <c r="F541" s="5">
        <v>63530663</v>
      </c>
      <c r="G541" s="5">
        <v>1812975</v>
      </c>
      <c r="J541" s="4">
        <v>2014</v>
      </c>
      <c r="K541" s="4">
        <v>303</v>
      </c>
      <c r="L541" s="3" t="s">
        <v>53</v>
      </c>
      <c r="M541" s="5">
        <v>211057529</v>
      </c>
    </row>
    <row r="542" spans="2:13" x14ac:dyDescent="0.3">
      <c r="B542" s="4">
        <v>2015</v>
      </c>
      <c r="C542" s="4">
        <v>303</v>
      </c>
      <c r="D542" s="3" t="s">
        <v>31</v>
      </c>
      <c r="E542" s="5">
        <v>1435608671</v>
      </c>
      <c r="F542" s="5">
        <v>21402658</v>
      </c>
      <c r="G542" s="5">
        <v>33305</v>
      </c>
      <c r="J542" s="4">
        <v>2015</v>
      </c>
      <c r="K542" s="4">
        <v>303</v>
      </c>
      <c r="L542" s="3" t="s">
        <v>43</v>
      </c>
      <c r="M542" s="5">
        <v>134217341</v>
      </c>
    </row>
    <row r="543" spans="2:13" x14ac:dyDescent="0.3">
      <c r="B543" s="4">
        <v>2015</v>
      </c>
      <c r="C543" s="4">
        <v>303</v>
      </c>
      <c r="D543" s="3" t="s">
        <v>32</v>
      </c>
      <c r="E543" s="5">
        <v>154875115</v>
      </c>
      <c r="F543" s="5"/>
      <c r="G543" s="5"/>
      <c r="J543" s="4">
        <v>2015</v>
      </c>
      <c r="K543" s="4">
        <v>303</v>
      </c>
      <c r="L543" s="3" t="s">
        <v>44</v>
      </c>
      <c r="M543" s="5">
        <v>81366000</v>
      </c>
    </row>
    <row r="544" spans="2:13" x14ac:dyDescent="0.3">
      <c r="B544" s="4">
        <v>2015</v>
      </c>
      <c r="C544" s="4">
        <v>303</v>
      </c>
      <c r="D544" s="3" t="s">
        <v>41</v>
      </c>
      <c r="E544" s="5">
        <v>16902061</v>
      </c>
      <c r="F544" s="5">
        <v>270465</v>
      </c>
      <c r="G544" s="5">
        <v>3</v>
      </c>
      <c r="J544" s="4">
        <v>2015</v>
      </c>
      <c r="K544" s="4">
        <v>303</v>
      </c>
      <c r="L544" s="3" t="s">
        <v>45</v>
      </c>
      <c r="M544" s="5">
        <v>135712011</v>
      </c>
    </row>
    <row r="545" spans="2:13" x14ac:dyDescent="0.3">
      <c r="B545" s="4">
        <v>2015</v>
      </c>
      <c r="C545" s="4">
        <v>303</v>
      </c>
      <c r="D545" s="3" t="s">
        <v>33</v>
      </c>
      <c r="E545" s="5">
        <v>19942747</v>
      </c>
      <c r="F545" s="5">
        <v>140686</v>
      </c>
      <c r="G545" s="5">
        <v>3496</v>
      </c>
      <c r="J545" s="4">
        <v>2015</v>
      </c>
      <c r="K545" s="4">
        <v>303</v>
      </c>
      <c r="L545" s="3" t="s">
        <v>46</v>
      </c>
      <c r="M545" s="5">
        <v>207035424</v>
      </c>
    </row>
    <row r="546" spans="2:13" x14ac:dyDescent="0.3">
      <c r="B546" s="4">
        <v>2015</v>
      </c>
      <c r="C546" s="4">
        <v>303</v>
      </c>
      <c r="D546" s="3" t="s">
        <v>34</v>
      </c>
      <c r="E546" s="5">
        <v>1781722516</v>
      </c>
      <c r="F546" s="5">
        <v>15565510</v>
      </c>
      <c r="G546" s="5">
        <v>1574480</v>
      </c>
      <c r="J546" s="4">
        <v>2015</v>
      </c>
      <c r="K546" s="4">
        <v>303</v>
      </c>
      <c r="L546" s="3" t="s">
        <v>47</v>
      </c>
      <c r="M546" s="5">
        <v>272426195</v>
      </c>
    </row>
    <row r="547" spans="2:13" x14ac:dyDescent="0.3">
      <c r="B547" s="4">
        <v>2015</v>
      </c>
      <c r="C547" s="4">
        <v>303</v>
      </c>
      <c r="D547" s="3" t="s">
        <v>35</v>
      </c>
      <c r="E547" s="5">
        <v>5080434252</v>
      </c>
      <c r="F547" s="5">
        <v>63530663</v>
      </c>
      <c r="G547" s="5">
        <v>1812975</v>
      </c>
      <c r="J547" s="4">
        <v>2015</v>
      </c>
      <c r="K547" s="4">
        <v>303</v>
      </c>
      <c r="L547" s="3" t="s">
        <v>48</v>
      </c>
      <c r="M547" s="5">
        <v>893792204</v>
      </c>
    </row>
    <row r="548" spans="2:13" x14ac:dyDescent="0.3">
      <c r="B548" s="4">
        <v>2015</v>
      </c>
      <c r="C548" s="4">
        <v>303</v>
      </c>
      <c r="D548" s="3" t="s">
        <v>36</v>
      </c>
      <c r="E548" s="5">
        <v>269833622</v>
      </c>
      <c r="F548" s="5">
        <v>8889451</v>
      </c>
      <c r="G548" s="5"/>
      <c r="J548" s="4">
        <v>2015</v>
      </c>
      <c r="K548" s="4">
        <v>303</v>
      </c>
      <c r="L548" s="3" t="s">
        <v>49</v>
      </c>
      <c r="M548" s="5">
        <v>2987243744</v>
      </c>
    </row>
    <row r="549" spans="2:13" x14ac:dyDescent="0.3">
      <c r="B549" s="4">
        <v>2015</v>
      </c>
      <c r="C549" s="4">
        <v>303</v>
      </c>
      <c r="D549" s="3" t="s">
        <v>37</v>
      </c>
      <c r="E549" s="5">
        <v>5080434252</v>
      </c>
      <c r="F549" s="5">
        <v>63530663</v>
      </c>
      <c r="G549" s="5">
        <v>1812975</v>
      </c>
      <c r="J549" s="4">
        <v>2015</v>
      </c>
      <c r="K549" s="4">
        <v>303</v>
      </c>
      <c r="L549" s="3" t="s">
        <v>50</v>
      </c>
      <c r="M549" s="5">
        <v>2213248515</v>
      </c>
    </row>
    <row r="550" spans="2:13" x14ac:dyDescent="0.3">
      <c r="B550" s="4">
        <v>2015</v>
      </c>
      <c r="C550" s="4">
        <v>303</v>
      </c>
      <c r="D550" s="3" t="s">
        <v>38</v>
      </c>
      <c r="E550" s="5">
        <v>4810600630</v>
      </c>
      <c r="F550" s="5">
        <v>54641212</v>
      </c>
      <c r="G550" s="5">
        <v>1812975</v>
      </c>
      <c r="J550" s="4">
        <v>2015</v>
      </c>
      <c r="K550" s="4">
        <v>303</v>
      </c>
      <c r="L550" s="3" t="s">
        <v>51</v>
      </c>
      <c r="M550" s="5">
        <v>623108136</v>
      </c>
    </row>
    <row r="551" spans="2:13" x14ac:dyDescent="0.3">
      <c r="B551" s="4">
        <v>2015</v>
      </c>
      <c r="C551" s="4">
        <v>303</v>
      </c>
      <c r="D551" s="3" t="s">
        <v>39</v>
      </c>
      <c r="E551" s="5">
        <v>1556424635</v>
      </c>
      <c r="F551" s="5">
        <v>17261893</v>
      </c>
      <c r="G551" s="5">
        <v>201691</v>
      </c>
      <c r="J551" s="4">
        <v>2015</v>
      </c>
      <c r="K551" s="4">
        <v>303</v>
      </c>
      <c r="L551" s="3" t="s">
        <v>53</v>
      </c>
      <c r="M551" s="5">
        <v>215664453</v>
      </c>
    </row>
    <row r="552" spans="2:13" x14ac:dyDescent="0.3">
      <c r="B552" s="4">
        <v>2016</v>
      </c>
      <c r="C552" s="4">
        <v>303</v>
      </c>
      <c r="D552" s="3" t="s">
        <v>30</v>
      </c>
      <c r="E552" s="5">
        <v>5201080711</v>
      </c>
      <c r="F552" s="5">
        <v>60958902</v>
      </c>
      <c r="G552" s="5">
        <v>1840754</v>
      </c>
      <c r="J552" s="4">
        <v>2016</v>
      </c>
      <c r="K552" s="4">
        <v>303</v>
      </c>
      <c r="L552" s="3" t="s">
        <v>43</v>
      </c>
      <c r="M552" s="5">
        <v>129632900</v>
      </c>
    </row>
    <row r="553" spans="2:13" x14ac:dyDescent="0.3">
      <c r="B553" s="4">
        <v>2016</v>
      </c>
      <c r="C553" s="4">
        <v>303</v>
      </c>
      <c r="D553" s="3" t="s">
        <v>31</v>
      </c>
      <c r="E553" s="5">
        <v>1428765000</v>
      </c>
      <c r="F553" s="5">
        <v>20924472</v>
      </c>
      <c r="G553" s="5">
        <v>33258</v>
      </c>
      <c r="J553" s="4">
        <v>2016</v>
      </c>
      <c r="K553" s="4">
        <v>303</v>
      </c>
      <c r="L553" s="3" t="s">
        <v>44</v>
      </c>
      <c r="M553" s="5">
        <v>83187011</v>
      </c>
    </row>
    <row r="554" spans="2:13" x14ac:dyDescent="0.3">
      <c r="B554" s="4">
        <v>2016</v>
      </c>
      <c r="C554" s="4">
        <v>303</v>
      </c>
      <c r="D554" s="3" t="s">
        <v>32</v>
      </c>
      <c r="E554" s="5">
        <v>157375651</v>
      </c>
      <c r="F554" s="5"/>
      <c r="G554" s="5"/>
      <c r="J554" s="4">
        <v>2016</v>
      </c>
      <c r="K554" s="4">
        <v>303</v>
      </c>
      <c r="L554" s="3" t="s">
        <v>45</v>
      </c>
      <c r="M554" s="5">
        <v>147414565</v>
      </c>
    </row>
    <row r="555" spans="2:13" x14ac:dyDescent="0.3">
      <c r="B555" s="4">
        <v>2016</v>
      </c>
      <c r="C555" s="4">
        <v>303</v>
      </c>
      <c r="D555" s="3" t="s">
        <v>41</v>
      </c>
      <c r="E555" s="5">
        <v>21985292</v>
      </c>
      <c r="F555" s="5">
        <v>337215</v>
      </c>
      <c r="G555" s="5">
        <v>2</v>
      </c>
      <c r="J555" s="4">
        <v>2016</v>
      </c>
      <c r="K555" s="4">
        <v>303</v>
      </c>
      <c r="L555" s="3" t="s">
        <v>46</v>
      </c>
      <c r="M555" s="5">
        <v>196497931</v>
      </c>
    </row>
    <row r="556" spans="2:13" x14ac:dyDescent="0.3">
      <c r="B556" s="4">
        <v>2016</v>
      </c>
      <c r="C556" s="4">
        <v>303</v>
      </c>
      <c r="D556" s="3" t="s">
        <v>33</v>
      </c>
      <c r="E556" s="5">
        <v>20068906</v>
      </c>
      <c r="F556" s="5">
        <v>141491</v>
      </c>
      <c r="G556" s="5">
        <v>3470</v>
      </c>
      <c r="J556" s="4">
        <v>2016</v>
      </c>
      <c r="K556" s="4">
        <v>303</v>
      </c>
      <c r="L556" s="3" t="s">
        <v>47</v>
      </c>
      <c r="M556" s="5">
        <v>252938388</v>
      </c>
    </row>
    <row r="557" spans="2:13" x14ac:dyDescent="0.3">
      <c r="B557" s="4">
        <v>2016</v>
      </c>
      <c r="C557" s="4">
        <v>303</v>
      </c>
      <c r="D557" s="3" t="s">
        <v>34</v>
      </c>
      <c r="E557" s="5">
        <v>1851336999</v>
      </c>
      <c r="F557" s="5">
        <v>16057814</v>
      </c>
      <c r="G557" s="5">
        <v>1598695</v>
      </c>
      <c r="J557" s="4">
        <v>2016</v>
      </c>
      <c r="K557" s="4">
        <v>303</v>
      </c>
      <c r="L557" s="3" t="s">
        <v>48</v>
      </c>
      <c r="M557" s="5">
        <v>820850664</v>
      </c>
    </row>
    <row r="558" spans="2:13" x14ac:dyDescent="0.3">
      <c r="B558" s="4">
        <v>2016</v>
      </c>
      <c r="C558" s="4">
        <v>303</v>
      </c>
      <c r="D558" s="3" t="s">
        <v>35</v>
      </c>
      <c r="E558" s="5">
        <v>5043705060</v>
      </c>
      <c r="F558" s="5">
        <v>60958902</v>
      </c>
      <c r="G558" s="5">
        <v>1840754</v>
      </c>
      <c r="J558" s="4">
        <v>2016</v>
      </c>
      <c r="K558" s="4">
        <v>303</v>
      </c>
      <c r="L558" s="3" t="s">
        <v>49</v>
      </c>
      <c r="M558" s="5">
        <v>2845495474</v>
      </c>
    </row>
    <row r="559" spans="2:13" x14ac:dyDescent="0.3">
      <c r="B559" s="4">
        <v>2016</v>
      </c>
      <c r="C559" s="4">
        <v>303</v>
      </c>
      <c r="D559" s="3" t="s">
        <v>36</v>
      </c>
      <c r="E559" s="5">
        <v>177098460</v>
      </c>
      <c r="F559" s="5">
        <v>6640965</v>
      </c>
      <c r="G559" s="5"/>
      <c r="J559" s="4">
        <v>2016</v>
      </c>
      <c r="K559" s="4">
        <v>303</v>
      </c>
      <c r="L559" s="3" t="s">
        <v>50</v>
      </c>
      <c r="M559" s="5">
        <v>2085502062</v>
      </c>
    </row>
    <row r="560" spans="2:13" x14ac:dyDescent="0.3">
      <c r="B560" s="4">
        <v>2016</v>
      </c>
      <c r="C560" s="4">
        <v>303</v>
      </c>
      <c r="D560" s="3" t="s">
        <v>37</v>
      </c>
      <c r="E560" s="5">
        <v>5043705060</v>
      </c>
      <c r="F560" s="5">
        <v>60958902</v>
      </c>
      <c r="G560" s="5">
        <v>1840754</v>
      </c>
      <c r="J560" s="4">
        <v>2016</v>
      </c>
      <c r="K560" s="4">
        <v>303</v>
      </c>
      <c r="L560" s="3" t="s">
        <v>51</v>
      </c>
      <c r="M560" s="5">
        <v>580289645</v>
      </c>
    </row>
    <row r="561" spans="2:13" x14ac:dyDescent="0.3">
      <c r="B561" s="4">
        <v>2016</v>
      </c>
      <c r="C561" s="4">
        <v>303</v>
      </c>
      <c r="D561" s="3" t="s">
        <v>38</v>
      </c>
      <c r="E561" s="5">
        <v>4866606600</v>
      </c>
      <c r="F561" s="5">
        <v>54317937</v>
      </c>
      <c r="G561" s="5">
        <v>1840754</v>
      </c>
      <c r="J561" s="4">
        <v>2016</v>
      </c>
      <c r="K561" s="4">
        <v>303</v>
      </c>
      <c r="L561" s="3" t="s">
        <v>53</v>
      </c>
      <c r="M561" s="5">
        <v>203261005</v>
      </c>
    </row>
    <row r="562" spans="2:13" x14ac:dyDescent="0.3">
      <c r="B562" s="4">
        <v>2016</v>
      </c>
      <c r="C562" s="4">
        <v>303</v>
      </c>
      <c r="D562" s="3" t="s">
        <v>39</v>
      </c>
      <c r="E562" s="5">
        <v>1544450403</v>
      </c>
      <c r="F562" s="5">
        <v>16856945</v>
      </c>
      <c r="G562" s="5">
        <v>205329</v>
      </c>
      <c r="J562" s="4">
        <v>2017</v>
      </c>
      <c r="K562" s="4">
        <v>303</v>
      </c>
      <c r="L562" s="3" t="s">
        <v>43</v>
      </c>
      <c r="M562" s="5">
        <v>142109735</v>
      </c>
    </row>
    <row r="563" spans="2:13" x14ac:dyDescent="0.3">
      <c r="B563" s="4">
        <v>2017</v>
      </c>
      <c r="C563" s="4">
        <v>303</v>
      </c>
      <c r="D563" s="3" t="s">
        <v>30</v>
      </c>
      <c r="E563" s="5">
        <v>5242965626</v>
      </c>
      <c r="F563" s="5">
        <v>62468319</v>
      </c>
      <c r="G563" s="5">
        <v>1867324</v>
      </c>
      <c r="J563" s="4">
        <v>2017</v>
      </c>
      <c r="K563" s="4">
        <v>303</v>
      </c>
      <c r="L563" s="3" t="s">
        <v>44</v>
      </c>
      <c r="M563" s="5">
        <v>86105542</v>
      </c>
    </row>
    <row r="564" spans="2:13" x14ac:dyDescent="0.3">
      <c r="B564" s="4">
        <v>2017</v>
      </c>
      <c r="C564" s="4">
        <v>303</v>
      </c>
      <c r="D564" s="3" t="s">
        <v>31</v>
      </c>
      <c r="E564" s="5">
        <v>1373506114</v>
      </c>
      <c r="F564" s="5">
        <v>20756851</v>
      </c>
      <c r="G564" s="5">
        <v>33200</v>
      </c>
      <c r="J564" s="4">
        <v>2017</v>
      </c>
      <c r="K564" s="4">
        <v>303</v>
      </c>
      <c r="L564" s="3" t="s">
        <v>45</v>
      </c>
      <c r="M564" s="5">
        <v>91522244</v>
      </c>
    </row>
    <row r="565" spans="2:13" x14ac:dyDescent="0.3">
      <c r="B565" s="4">
        <v>2017</v>
      </c>
      <c r="C565" s="4">
        <v>303</v>
      </c>
      <c r="D565" s="3" t="s">
        <v>32</v>
      </c>
      <c r="E565" s="5">
        <v>174460764</v>
      </c>
      <c r="F565" s="5"/>
      <c r="G565" s="5"/>
      <c r="J565" s="4">
        <v>2017</v>
      </c>
      <c r="K565" s="4">
        <v>303</v>
      </c>
      <c r="L565" s="3" t="s">
        <v>46</v>
      </c>
      <c r="M565" s="5">
        <v>197648749</v>
      </c>
    </row>
    <row r="566" spans="2:13" x14ac:dyDescent="0.3">
      <c r="B566" s="4">
        <v>2017</v>
      </c>
      <c r="C566" s="4">
        <v>303</v>
      </c>
      <c r="D566" s="3" t="s">
        <v>41</v>
      </c>
      <c r="E566" s="5">
        <v>3322249</v>
      </c>
      <c r="F566" s="5">
        <v>61165</v>
      </c>
      <c r="G566" s="5"/>
      <c r="J566" s="4">
        <v>2017</v>
      </c>
      <c r="K566" s="4">
        <v>303</v>
      </c>
      <c r="L566" s="3" t="s">
        <v>47</v>
      </c>
      <c r="M566" s="5">
        <v>214054042</v>
      </c>
    </row>
    <row r="567" spans="2:13" x14ac:dyDescent="0.3">
      <c r="B567" s="4">
        <v>2017</v>
      </c>
      <c r="C567" s="4">
        <v>303</v>
      </c>
      <c r="D567" s="3" t="s">
        <v>33</v>
      </c>
      <c r="E567" s="5">
        <v>19817707</v>
      </c>
      <c r="F567" s="5">
        <v>141243</v>
      </c>
      <c r="G567" s="5">
        <v>3470</v>
      </c>
      <c r="J567" s="4">
        <v>2017</v>
      </c>
      <c r="K567" s="4">
        <v>303</v>
      </c>
      <c r="L567" s="3" t="s">
        <v>48</v>
      </c>
      <c r="M567" s="5">
        <v>836254849</v>
      </c>
    </row>
    <row r="568" spans="2:13" x14ac:dyDescent="0.3">
      <c r="B568" s="4">
        <v>2017</v>
      </c>
      <c r="C568" s="4">
        <v>303</v>
      </c>
      <c r="D568" s="3" t="s">
        <v>34</v>
      </c>
      <c r="E568" s="5">
        <v>1884431867</v>
      </c>
      <c r="F568" s="5">
        <v>16625426</v>
      </c>
      <c r="G568" s="5">
        <v>1622276</v>
      </c>
      <c r="J568" s="4">
        <v>2017</v>
      </c>
      <c r="K568" s="4">
        <v>303</v>
      </c>
      <c r="L568" s="3" t="s">
        <v>49</v>
      </c>
      <c r="M568" s="5">
        <v>2825179265</v>
      </c>
    </row>
    <row r="569" spans="2:13" x14ac:dyDescent="0.3">
      <c r="B569" s="4">
        <v>2017</v>
      </c>
      <c r="C569" s="4">
        <v>303</v>
      </c>
      <c r="D569" s="3" t="s">
        <v>35</v>
      </c>
      <c r="E569" s="5">
        <v>5068504862</v>
      </c>
      <c r="F569" s="5">
        <v>62468319</v>
      </c>
      <c r="G569" s="5">
        <v>1867324</v>
      </c>
      <c r="J569" s="4">
        <v>2017</v>
      </c>
      <c r="K569" s="4">
        <v>303</v>
      </c>
      <c r="L569" s="3" t="s">
        <v>50</v>
      </c>
      <c r="M569" s="5">
        <v>2102987154</v>
      </c>
    </row>
    <row r="570" spans="2:13" x14ac:dyDescent="0.3">
      <c r="B570" s="4">
        <v>2017</v>
      </c>
      <c r="C570" s="4">
        <v>303</v>
      </c>
      <c r="D570" s="3" t="s">
        <v>36</v>
      </c>
      <c r="E570" s="5">
        <v>217427479</v>
      </c>
      <c r="F570" s="5">
        <v>7218497</v>
      </c>
      <c r="G570" s="5"/>
      <c r="J570" s="4">
        <v>2017</v>
      </c>
      <c r="K570" s="4">
        <v>303</v>
      </c>
      <c r="L570" s="3" t="s">
        <v>51</v>
      </c>
      <c r="M570" s="5">
        <v>639445881</v>
      </c>
    </row>
    <row r="571" spans="2:13" x14ac:dyDescent="0.3">
      <c r="B571" s="4">
        <v>2017</v>
      </c>
      <c r="C571" s="4">
        <v>303</v>
      </c>
      <c r="D571" s="3" t="s">
        <v>37</v>
      </c>
      <c r="E571" s="5">
        <v>5068504862</v>
      </c>
      <c r="F571" s="5">
        <v>62468319</v>
      </c>
      <c r="G571" s="5">
        <v>1867324</v>
      </c>
      <c r="J571" s="4">
        <v>2017</v>
      </c>
      <c r="K571" s="4">
        <v>303</v>
      </c>
      <c r="L571" s="3" t="s">
        <v>53</v>
      </c>
      <c r="M571" s="5">
        <v>204805841</v>
      </c>
    </row>
    <row r="572" spans="2:13" x14ac:dyDescent="0.3">
      <c r="B572" s="4">
        <v>2017</v>
      </c>
      <c r="C572" s="4">
        <v>303</v>
      </c>
      <c r="D572" s="3" t="s">
        <v>38</v>
      </c>
      <c r="E572" s="5">
        <v>4851077383</v>
      </c>
      <c r="F572" s="5">
        <v>55249822</v>
      </c>
      <c r="G572" s="5">
        <v>1867324</v>
      </c>
      <c r="J572" s="4">
        <v>2018</v>
      </c>
      <c r="K572" s="4">
        <v>303</v>
      </c>
      <c r="L572" s="3" t="s">
        <v>43</v>
      </c>
      <c r="M572" s="5">
        <v>135362969</v>
      </c>
    </row>
    <row r="573" spans="2:13" x14ac:dyDescent="0.3">
      <c r="B573" s="4">
        <v>2017</v>
      </c>
      <c r="C573" s="4">
        <v>303</v>
      </c>
      <c r="D573" s="3" t="s">
        <v>39</v>
      </c>
      <c r="E573" s="5">
        <v>1569999446</v>
      </c>
      <c r="F573" s="5">
        <v>17665137</v>
      </c>
      <c r="G573" s="5">
        <v>208378</v>
      </c>
      <c r="J573" s="4">
        <v>2018</v>
      </c>
      <c r="K573" s="4">
        <v>303</v>
      </c>
      <c r="L573" s="3" t="s">
        <v>44</v>
      </c>
      <c r="M573" s="5">
        <v>83661636</v>
      </c>
    </row>
    <row r="574" spans="2:13" x14ac:dyDescent="0.3">
      <c r="B574" s="4">
        <v>2018</v>
      </c>
      <c r="C574" s="4">
        <v>303</v>
      </c>
      <c r="D574" s="3" t="s">
        <v>30</v>
      </c>
      <c r="E574" s="5">
        <v>5090358956</v>
      </c>
      <c r="F574" s="5">
        <v>63424928</v>
      </c>
      <c r="G574" s="5">
        <v>1899813</v>
      </c>
      <c r="J574" s="4">
        <v>2018</v>
      </c>
      <c r="K574" s="4">
        <v>303</v>
      </c>
      <c r="L574" s="3" t="s">
        <v>45</v>
      </c>
      <c r="M574" s="5">
        <v>96100249</v>
      </c>
    </row>
    <row r="575" spans="2:13" x14ac:dyDescent="0.3">
      <c r="B575" s="4">
        <v>2018</v>
      </c>
      <c r="C575" s="4">
        <v>303</v>
      </c>
      <c r="D575" s="3" t="s">
        <v>31</v>
      </c>
      <c r="E575" s="5">
        <v>1322455444</v>
      </c>
      <c r="F575" s="5">
        <v>20679901</v>
      </c>
      <c r="G575" s="5">
        <v>33186</v>
      </c>
      <c r="J575" s="4">
        <v>2018</v>
      </c>
      <c r="K575" s="4">
        <v>303</v>
      </c>
      <c r="L575" s="3" t="s">
        <v>46</v>
      </c>
      <c r="M575" s="5">
        <v>197258736</v>
      </c>
    </row>
    <row r="576" spans="2:13" x14ac:dyDescent="0.3">
      <c r="B576" s="4">
        <v>2018</v>
      </c>
      <c r="C576" s="4">
        <v>303</v>
      </c>
      <c r="D576" s="3" t="s">
        <v>32</v>
      </c>
      <c r="E576" s="5">
        <v>179803512</v>
      </c>
      <c r="F576" s="5"/>
      <c r="G576" s="5"/>
      <c r="J576" s="4">
        <v>2018</v>
      </c>
      <c r="K576" s="4">
        <v>303</v>
      </c>
      <c r="L576" s="3" t="s">
        <v>47</v>
      </c>
      <c r="M576" s="5">
        <v>239131815</v>
      </c>
    </row>
    <row r="577" spans="2:13" x14ac:dyDescent="0.3">
      <c r="B577" s="4">
        <v>2018</v>
      </c>
      <c r="C577" s="4">
        <v>303</v>
      </c>
      <c r="D577" s="3" t="s">
        <v>33</v>
      </c>
      <c r="E577" s="5">
        <v>18155451</v>
      </c>
      <c r="F577" s="5">
        <v>130278</v>
      </c>
      <c r="G577" s="5">
        <v>3501</v>
      </c>
      <c r="J577" s="4">
        <v>2018</v>
      </c>
      <c r="K577" s="4">
        <v>303</v>
      </c>
      <c r="L577" s="3" t="s">
        <v>48</v>
      </c>
      <c r="M577" s="5">
        <v>815215918</v>
      </c>
    </row>
    <row r="578" spans="2:13" x14ac:dyDescent="0.3">
      <c r="B578" s="4">
        <v>2018</v>
      </c>
      <c r="C578" s="4">
        <v>303</v>
      </c>
      <c r="D578" s="3" t="s">
        <v>34</v>
      </c>
      <c r="E578" s="5">
        <v>1774237100</v>
      </c>
      <c r="F578" s="5">
        <v>16227117</v>
      </c>
      <c r="G578" s="5">
        <v>1651326</v>
      </c>
      <c r="J578" s="4">
        <v>2018</v>
      </c>
      <c r="K578" s="4">
        <v>303</v>
      </c>
      <c r="L578" s="3" t="s">
        <v>49</v>
      </c>
      <c r="M578" s="5">
        <v>2884246744</v>
      </c>
    </row>
    <row r="579" spans="2:13" x14ac:dyDescent="0.3">
      <c r="B579" s="4">
        <v>2018</v>
      </c>
      <c r="C579" s="4">
        <v>303</v>
      </c>
      <c r="D579" s="3" t="s">
        <v>35</v>
      </c>
      <c r="E579" s="5">
        <v>4910555444</v>
      </c>
      <c r="F579" s="5">
        <v>63424928</v>
      </c>
      <c r="G579" s="5">
        <v>1899813</v>
      </c>
      <c r="J579" s="4">
        <v>2018</v>
      </c>
      <c r="K579" s="4">
        <v>303</v>
      </c>
      <c r="L579" s="3" t="s">
        <v>50</v>
      </c>
      <c r="M579" s="5">
        <v>2165357210</v>
      </c>
    </row>
    <row r="580" spans="2:13" x14ac:dyDescent="0.3">
      <c r="B580" s="4">
        <v>2018</v>
      </c>
      <c r="C580" s="4">
        <v>303</v>
      </c>
      <c r="D580" s="3" t="s">
        <v>36</v>
      </c>
      <c r="E580" s="5">
        <v>254214730</v>
      </c>
      <c r="F580" s="5">
        <v>8309472</v>
      </c>
      <c r="G580" s="5"/>
      <c r="J580" s="4">
        <v>2018</v>
      </c>
      <c r="K580" s="4">
        <v>303</v>
      </c>
      <c r="L580" s="3" t="s">
        <v>51</v>
      </c>
      <c r="M580" s="5">
        <v>667434104</v>
      </c>
    </row>
    <row r="581" spans="2:13" x14ac:dyDescent="0.3">
      <c r="B581" s="4">
        <v>2018</v>
      </c>
      <c r="C581" s="4">
        <v>303</v>
      </c>
      <c r="D581" s="3" t="s">
        <v>37</v>
      </c>
      <c r="E581" s="5">
        <v>4910555444</v>
      </c>
      <c r="F581" s="5">
        <v>63424928</v>
      </c>
      <c r="G581" s="5">
        <v>1899813</v>
      </c>
      <c r="J581" s="4">
        <v>2018</v>
      </c>
      <c r="K581" s="4">
        <v>303</v>
      </c>
      <c r="L581" s="3" t="s">
        <v>53</v>
      </c>
      <c r="M581" s="5">
        <v>206505944</v>
      </c>
    </row>
    <row r="582" spans="2:13" x14ac:dyDescent="0.3">
      <c r="B582" s="4">
        <v>2018</v>
      </c>
      <c r="C582" s="4">
        <v>303</v>
      </c>
      <c r="D582" s="3" t="s">
        <v>38</v>
      </c>
      <c r="E582" s="5">
        <v>4656340714</v>
      </c>
      <c r="F582" s="5">
        <v>55115456</v>
      </c>
      <c r="G582" s="5">
        <v>1899813</v>
      </c>
      <c r="J582" s="4">
        <v>2019</v>
      </c>
      <c r="K582" s="4">
        <v>303</v>
      </c>
      <c r="L582" s="3" t="s">
        <v>43</v>
      </c>
      <c r="M582" s="5">
        <v>123136603</v>
      </c>
    </row>
    <row r="583" spans="2:13" x14ac:dyDescent="0.3">
      <c r="B583" s="4">
        <v>2018</v>
      </c>
      <c r="C583" s="4">
        <v>303</v>
      </c>
      <c r="D583" s="3" t="s">
        <v>39</v>
      </c>
      <c r="E583" s="5">
        <v>1541492719</v>
      </c>
      <c r="F583" s="5">
        <v>18078160</v>
      </c>
      <c r="G583" s="5">
        <v>211800</v>
      </c>
      <c r="J583" s="4">
        <v>2019</v>
      </c>
      <c r="K583" s="4">
        <v>303</v>
      </c>
      <c r="L583" s="3" t="s">
        <v>44</v>
      </c>
      <c r="M583" s="5">
        <v>76859683</v>
      </c>
    </row>
    <row r="584" spans="2:13" x14ac:dyDescent="0.3">
      <c r="B584" s="4">
        <v>2019</v>
      </c>
      <c r="C584" s="4">
        <v>303</v>
      </c>
      <c r="D584" s="3" t="s">
        <v>30</v>
      </c>
      <c r="E584" s="5">
        <v>5065712793</v>
      </c>
      <c r="F584" s="5">
        <v>60822235</v>
      </c>
      <c r="G584" s="5">
        <v>1932532</v>
      </c>
      <c r="J584" s="4">
        <v>2019</v>
      </c>
      <c r="K584" s="4">
        <v>303</v>
      </c>
      <c r="L584" s="3" t="s">
        <v>45</v>
      </c>
      <c r="M584" s="5">
        <v>101542851</v>
      </c>
    </row>
    <row r="585" spans="2:13" x14ac:dyDescent="0.3">
      <c r="B585" s="4">
        <v>2019</v>
      </c>
      <c r="C585" s="4">
        <v>303</v>
      </c>
      <c r="D585" s="3" t="s">
        <v>31</v>
      </c>
      <c r="E585" s="5">
        <v>1316469104</v>
      </c>
      <c r="F585" s="5">
        <v>20395896</v>
      </c>
      <c r="G585" s="5">
        <v>33151</v>
      </c>
      <c r="J585" s="4">
        <v>2019</v>
      </c>
      <c r="K585" s="4">
        <v>303</v>
      </c>
      <c r="L585" s="3" t="s">
        <v>46</v>
      </c>
      <c r="M585" s="5">
        <v>202803339</v>
      </c>
    </row>
    <row r="586" spans="2:13" x14ac:dyDescent="0.3">
      <c r="B586" s="4">
        <v>2019</v>
      </c>
      <c r="C586" s="4">
        <v>303</v>
      </c>
      <c r="D586" s="3" t="s">
        <v>32</v>
      </c>
      <c r="E586" s="5">
        <v>175886027</v>
      </c>
      <c r="F586" s="5"/>
      <c r="G586" s="5"/>
      <c r="J586" s="4">
        <v>2019</v>
      </c>
      <c r="K586" s="4">
        <v>303</v>
      </c>
      <c r="L586" s="3" t="s">
        <v>47</v>
      </c>
      <c r="M586" s="5">
        <v>280208082</v>
      </c>
    </row>
    <row r="587" spans="2:13" x14ac:dyDescent="0.3">
      <c r="B587" s="4">
        <v>2019</v>
      </c>
      <c r="C587" s="4">
        <v>303</v>
      </c>
      <c r="D587" s="3" t="s">
        <v>33</v>
      </c>
      <c r="E587" s="5">
        <v>18198044</v>
      </c>
      <c r="F587" s="5">
        <v>127750</v>
      </c>
      <c r="G587" s="5">
        <v>3565</v>
      </c>
      <c r="J587" s="4">
        <v>2019</v>
      </c>
      <c r="K587" s="4">
        <v>303</v>
      </c>
      <c r="L587" s="3" t="s">
        <v>48</v>
      </c>
      <c r="M587" s="5">
        <v>757097162</v>
      </c>
    </row>
    <row r="588" spans="2:13" x14ac:dyDescent="0.3">
      <c r="B588" s="4">
        <v>2019</v>
      </c>
      <c r="C588" s="4">
        <v>303</v>
      </c>
      <c r="D588" s="3" t="s">
        <v>34</v>
      </c>
      <c r="E588" s="5">
        <v>1815760353</v>
      </c>
      <c r="F588" s="5">
        <v>16668416</v>
      </c>
      <c r="G588" s="5">
        <v>1681634</v>
      </c>
      <c r="J588" s="4">
        <v>2019</v>
      </c>
      <c r="K588" s="4">
        <v>303</v>
      </c>
      <c r="L588" s="3" t="s">
        <v>49</v>
      </c>
      <c r="M588" s="5">
        <v>2832806959</v>
      </c>
    </row>
    <row r="589" spans="2:13" x14ac:dyDescent="0.3">
      <c r="B589" s="4">
        <v>2019</v>
      </c>
      <c r="C589" s="4">
        <v>303</v>
      </c>
      <c r="D589" s="3" t="s">
        <v>35</v>
      </c>
      <c r="E589" s="5">
        <v>4889826766</v>
      </c>
      <c r="F589" s="5">
        <v>60822235</v>
      </c>
      <c r="G589" s="5">
        <v>1932532</v>
      </c>
      <c r="J589" s="4">
        <v>2019</v>
      </c>
      <c r="K589" s="4">
        <v>303</v>
      </c>
      <c r="L589" s="3" t="s">
        <v>50</v>
      </c>
      <c r="M589" s="5">
        <v>2110097857</v>
      </c>
    </row>
    <row r="590" spans="2:13" x14ac:dyDescent="0.3">
      <c r="B590" s="4">
        <v>2019</v>
      </c>
      <c r="C590" s="4">
        <v>303</v>
      </c>
      <c r="D590" s="3" t="s">
        <v>36</v>
      </c>
      <c r="E590" s="5">
        <v>192271657</v>
      </c>
      <c r="F590" s="5">
        <v>5479628</v>
      </c>
      <c r="G590" s="5"/>
      <c r="J590" s="4">
        <v>2019</v>
      </c>
      <c r="K590" s="4">
        <v>303</v>
      </c>
      <c r="L590" s="3" t="s">
        <v>51</v>
      </c>
      <c r="M590" s="5">
        <v>633195384</v>
      </c>
    </row>
    <row r="591" spans="2:13" x14ac:dyDescent="0.3">
      <c r="B591" s="4">
        <v>2019</v>
      </c>
      <c r="C591" s="4">
        <v>303</v>
      </c>
      <c r="D591" s="3" t="s">
        <v>37</v>
      </c>
      <c r="E591" s="5">
        <v>4889826766</v>
      </c>
      <c r="F591" s="5">
        <v>60822235</v>
      </c>
      <c r="G591" s="5">
        <v>1932532</v>
      </c>
      <c r="J591" s="4">
        <v>2019</v>
      </c>
      <c r="K591" s="4">
        <v>303</v>
      </c>
      <c r="L591" s="3" t="s">
        <v>53</v>
      </c>
      <c r="M591" s="5">
        <v>218366626</v>
      </c>
    </row>
    <row r="592" spans="2:13" x14ac:dyDescent="0.3">
      <c r="B592" s="4">
        <v>2019</v>
      </c>
      <c r="C592" s="4">
        <v>303</v>
      </c>
      <c r="D592" s="3" t="s">
        <v>38</v>
      </c>
      <c r="E592" s="5">
        <v>4697555109</v>
      </c>
      <c r="F592" s="5">
        <v>55342607</v>
      </c>
      <c r="G592" s="5">
        <v>1932532</v>
      </c>
      <c r="J592" s="4">
        <v>2020</v>
      </c>
      <c r="K592" s="4">
        <v>303</v>
      </c>
      <c r="L592" s="3" t="s">
        <v>43</v>
      </c>
      <c r="M592" s="5">
        <v>291921082</v>
      </c>
    </row>
    <row r="593" spans="2:13" x14ac:dyDescent="0.3">
      <c r="B593" s="4">
        <v>2019</v>
      </c>
      <c r="C593" s="4">
        <v>303</v>
      </c>
      <c r="D593" s="3" t="s">
        <v>39</v>
      </c>
      <c r="E593" s="5">
        <v>1547127608</v>
      </c>
      <c r="F593" s="5">
        <v>18150545</v>
      </c>
      <c r="G593" s="5">
        <v>214182</v>
      </c>
      <c r="J593" s="4">
        <v>2020</v>
      </c>
      <c r="K593" s="4">
        <v>303</v>
      </c>
      <c r="L593" s="3" t="s">
        <v>44</v>
      </c>
      <c r="M593" s="5">
        <v>76370056</v>
      </c>
    </row>
    <row r="594" spans="2:13" x14ac:dyDescent="0.3">
      <c r="B594" s="4">
        <v>2020</v>
      </c>
      <c r="C594" s="4">
        <v>303</v>
      </c>
      <c r="D594" s="3" t="s">
        <v>30</v>
      </c>
      <c r="E594" s="5">
        <v>5333490161</v>
      </c>
      <c r="F594" s="5">
        <v>59809044</v>
      </c>
      <c r="G594" s="5">
        <v>1967124</v>
      </c>
      <c r="J594" s="4">
        <v>2020</v>
      </c>
      <c r="K594" s="4">
        <v>303</v>
      </c>
      <c r="L594" s="3" t="s">
        <v>45</v>
      </c>
      <c r="M594" s="5">
        <v>110203872</v>
      </c>
    </row>
    <row r="595" spans="2:13" x14ac:dyDescent="0.3">
      <c r="B595" s="4">
        <v>2020</v>
      </c>
      <c r="C595" s="4">
        <v>303</v>
      </c>
      <c r="D595" s="3" t="s">
        <v>31</v>
      </c>
      <c r="E595" s="5">
        <v>1345785490</v>
      </c>
      <c r="F595" s="5">
        <v>19563642</v>
      </c>
      <c r="G595" s="5">
        <v>33096</v>
      </c>
      <c r="J595" s="4">
        <v>2020</v>
      </c>
      <c r="K595" s="4">
        <v>303</v>
      </c>
      <c r="L595" s="3" t="s">
        <v>46</v>
      </c>
      <c r="M595" s="5">
        <v>215290322</v>
      </c>
    </row>
    <row r="596" spans="2:13" x14ac:dyDescent="0.3">
      <c r="B596" s="4">
        <v>2020</v>
      </c>
      <c r="C596" s="4">
        <v>303</v>
      </c>
      <c r="D596" s="3" t="s">
        <v>32</v>
      </c>
      <c r="E596" s="5">
        <v>208147108</v>
      </c>
      <c r="F596" s="5"/>
      <c r="G596" s="5"/>
      <c r="J596" s="4">
        <v>2020</v>
      </c>
      <c r="K596" s="4">
        <v>303</v>
      </c>
      <c r="L596" s="3" t="s">
        <v>47</v>
      </c>
      <c r="M596" s="5">
        <v>252620782</v>
      </c>
    </row>
    <row r="597" spans="2:13" x14ac:dyDescent="0.3">
      <c r="B597" s="4">
        <v>2020</v>
      </c>
      <c r="C597" s="4">
        <v>303</v>
      </c>
      <c r="D597" s="3" t="s">
        <v>40</v>
      </c>
      <c r="E597" s="5">
        <v>3239918</v>
      </c>
      <c r="F597" s="5"/>
      <c r="G597" s="5"/>
      <c r="J597" s="4">
        <v>2020</v>
      </c>
      <c r="K597" s="4">
        <v>303</v>
      </c>
      <c r="L597" s="3" t="s">
        <v>48</v>
      </c>
      <c r="M597" s="5">
        <v>681801669</v>
      </c>
    </row>
    <row r="598" spans="2:13" x14ac:dyDescent="0.3">
      <c r="B598" s="4">
        <v>2020</v>
      </c>
      <c r="C598" s="4">
        <v>303</v>
      </c>
      <c r="D598" s="3" t="s">
        <v>33</v>
      </c>
      <c r="E598" s="5">
        <v>17750042</v>
      </c>
      <c r="F598" s="5">
        <v>119073</v>
      </c>
      <c r="G598" s="5">
        <v>3576</v>
      </c>
      <c r="J598" s="4">
        <v>2020</v>
      </c>
      <c r="K598" s="4">
        <v>303</v>
      </c>
      <c r="L598" s="3" t="s">
        <v>49</v>
      </c>
      <c r="M598" s="5">
        <v>3026291544</v>
      </c>
    </row>
    <row r="599" spans="2:13" x14ac:dyDescent="0.3">
      <c r="B599" s="4">
        <v>2020</v>
      </c>
      <c r="C599" s="4">
        <v>303</v>
      </c>
      <c r="D599" s="3" t="s">
        <v>34</v>
      </c>
      <c r="E599" s="5">
        <v>1961692056</v>
      </c>
      <c r="F599" s="5">
        <v>17150116</v>
      </c>
      <c r="G599" s="5">
        <v>1713382</v>
      </c>
      <c r="J599" s="4">
        <v>2020</v>
      </c>
      <c r="K599" s="4">
        <v>303</v>
      </c>
      <c r="L599" s="3" t="s">
        <v>50</v>
      </c>
      <c r="M599" s="5">
        <v>2121614543</v>
      </c>
    </row>
    <row r="600" spans="2:13" x14ac:dyDescent="0.3">
      <c r="B600" s="4">
        <v>2020</v>
      </c>
      <c r="C600" s="4">
        <v>303</v>
      </c>
      <c r="D600" s="3" t="s">
        <v>35</v>
      </c>
      <c r="E600" s="5">
        <v>5125343053</v>
      </c>
      <c r="F600" s="5">
        <v>59809044</v>
      </c>
      <c r="G600" s="5">
        <v>1967124</v>
      </c>
      <c r="J600" s="4">
        <v>2020</v>
      </c>
      <c r="K600" s="4">
        <v>303</v>
      </c>
      <c r="L600" s="3" t="s">
        <v>51</v>
      </c>
      <c r="M600" s="5">
        <v>707124705</v>
      </c>
    </row>
    <row r="601" spans="2:13" x14ac:dyDescent="0.3">
      <c r="B601" s="4">
        <v>2020</v>
      </c>
      <c r="C601" s="4">
        <v>303</v>
      </c>
      <c r="D601" s="3" t="s">
        <v>36</v>
      </c>
      <c r="E601" s="5">
        <v>189250874</v>
      </c>
      <c r="F601" s="5">
        <v>5249066</v>
      </c>
      <c r="G601" s="5"/>
      <c r="J601" s="4">
        <v>2020</v>
      </c>
      <c r="K601" s="4">
        <v>303</v>
      </c>
      <c r="L601" s="3" t="s">
        <v>53</v>
      </c>
      <c r="M601" s="5">
        <v>210891669</v>
      </c>
    </row>
    <row r="602" spans="2:13" x14ac:dyDescent="0.3">
      <c r="B602" s="4">
        <v>2020</v>
      </c>
      <c r="C602" s="4">
        <v>303</v>
      </c>
      <c r="D602" s="3" t="s">
        <v>37</v>
      </c>
      <c r="E602" s="5">
        <v>5128582971</v>
      </c>
      <c r="F602" s="5">
        <v>59809044</v>
      </c>
      <c r="G602" s="5">
        <v>1967124</v>
      </c>
      <c r="J602" s="4">
        <v>2021</v>
      </c>
      <c r="K602" s="4">
        <v>303</v>
      </c>
      <c r="L602" s="3" t="s">
        <v>43</v>
      </c>
      <c r="M602" s="5">
        <v>173645777</v>
      </c>
    </row>
    <row r="603" spans="2:13" x14ac:dyDescent="0.3">
      <c r="B603" s="4">
        <v>2020</v>
      </c>
      <c r="C603" s="4">
        <v>303</v>
      </c>
      <c r="D603" s="3" t="s">
        <v>38</v>
      </c>
      <c r="E603" s="5">
        <v>4939332097</v>
      </c>
      <c r="F603" s="5">
        <v>54559978</v>
      </c>
      <c r="G603" s="5">
        <v>1967124</v>
      </c>
      <c r="J603" s="4">
        <v>2021</v>
      </c>
      <c r="K603" s="4">
        <v>303</v>
      </c>
      <c r="L603" s="3" t="s">
        <v>44</v>
      </c>
      <c r="M603" s="5">
        <v>70217992</v>
      </c>
    </row>
    <row r="604" spans="2:13" x14ac:dyDescent="0.3">
      <c r="B604" s="4">
        <v>2020</v>
      </c>
      <c r="C604" s="4">
        <v>303</v>
      </c>
      <c r="D604" s="3" t="s">
        <v>39</v>
      </c>
      <c r="E604" s="5">
        <v>1614104509</v>
      </c>
      <c r="F604" s="5">
        <v>17727147</v>
      </c>
      <c r="G604" s="5">
        <v>217070</v>
      </c>
      <c r="J604" s="4">
        <v>2021</v>
      </c>
      <c r="K604" s="4">
        <v>303</v>
      </c>
      <c r="L604" s="3" t="s">
        <v>45</v>
      </c>
      <c r="M604" s="5">
        <v>114011672</v>
      </c>
    </row>
    <row r="605" spans="2:13" x14ac:dyDescent="0.3">
      <c r="B605" s="4">
        <v>2021</v>
      </c>
      <c r="C605" s="4">
        <v>303</v>
      </c>
      <c r="D605" s="3" t="s">
        <v>30</v>
      </c>
      <c r="E605" s="5">
        <v>5292889125</v>
      </c>
      <c r="F605" s="5"/>
      <c r="G605" s="5"/>
      <c r="J605" s="4">
        <v>2021</v>
      </c>
      <c r="K605" s="4">
        <v>303</v>
      </c>
      <c r="L605" s="3" t="s">
        <v>46</v>
      </c>
      <c r="M605" s="5">
        <v>237330220</v>
      </c>
    </row>
    <row r="606" spans="2:13" x14ac:dyDescent="0.3">
      <c r="B606" s="4">
        <v>2021</v>
      </c>
      <c r="C606" s="4">
        <v>303</v>
      </c>
      <c r="D606" s="3" t="s">
        <v>31</v>
      </c>
      <c r="E606" s="5">
        <v>1277511464</v>
      </c>
      <c r="F606" s="5">
        <v>19415943</v>
      </c>
      <c r="G606" s="5">
        <v>33024</v>
      </c>
      <c r="J606" s="4">
        <v>2021</v>
      </c>
      <c r="K606" s="4">
        <v>303</v>
      </c>
      <c r="L606" s="3" t="s">
        <v>47</v>
      </c>
      <c r="M606" s="5">
        <v>333859748</v>
      </c>
    </row>
    <row r="607" spans="2:13" x14ac:dyDescent="0.3">
      <c r="B607" s="4">
        <v>2021</v>
      </c>
      <c r="C607" s="4">
        <v>303</v>
      </c>
      <c r="D607" s="3" t="s">
        <v>32</v>
      </c>
      <c r="E607" s="5">
        <v>254489067</v>
      </c>
      <c r="F607" s="5"/>
      <c r="G607" s="5"/>
      <c r="J607" s="4">
        <v>2021</v>
      </c>
      <c r="K607" s="4">
        <v>303</v>
      </c>
      <c r="L607" s="3" t="s">
        <v>48</v>
      </c>
      <c r="M607" s="5">
        <v>681733834</v>
      </c>
    </row>
    <row r="608" spans="2:13" x14ac:dyDescent="0.3">
      <c r="B608" s="4">
        <v>2021</v>
      </c>
      <c r="C608" s="4">
        <v>303</v>
      </c>
      <c r="D608" s="3" t="s">
        <v>33</v>
      </c>
      <c r="E608" s="5">
        <v>14615254</v>
      </c>
      <c r="F608" s="5">
        <v>114128</v>
      </c>
      <c r="G608" s="5">
        <v>3577</v>
      </c>
      <c r="J608" s="4">
        <v>2021</v>
      </c>
      <c r="K608" s="4">
        <v>303</v>
      </c>
      <c r="L608" s="3" t="s">
        <v>49</v>
      </c>
      <c r="M608" s="5">
        <v>2905907427</v>
      </c>
    </row>
    <row r="609" spans="2:13" x14ac:dyDescent="0.3">
      <c r="B609" s="4">
        <v>2021</v>
      </c>
      <c r="C609" s="4">
        <v>303</v>
      </c>
      <c r="D609" s="3" t="s">
        <v>34</v>
      </c>
      <c r="E609" s="5">
        <v>1958953927</v>
      </c>
      <c r="F609" s="5">
        <v>17904789</v>
      </c>
      <c r="G609" s="5">
        <v>1744648</v>
      </c>
      <c r="J609" s="4">
        <v>2021</v>
      </c>
      <c r="K609" s="4">
        <v>303</v>
      </c>
      <c r="L609" s="3" t="s">
        <v>50</v>
      </c>
      <c r="M609" s="5">
        <v>2078399632</v>
      </c>
    </row>
    <row r="610" spans="2:13" x14ac:dyDescent="0.3">
      <c r="B610" s="4">
        <v>2021</v>
      </c>
      <c r="C610" s="4">
        <v>303</v>
      </c>
      <c r="D610" s="3" t="s">
        <v>35</v>
      </c>
      <c r="E610" s="5">
        <v>5038400058</v>
      </c>
      <c r="F610" s="5">
        <v>61386731</v>
      </c>
      <c r="G610" s="5">
        <v>2002780</v>
      </c>
      <c r="J610" s="4">
        <v>2021</v>
      </c>
      <c r="K610" s="4">
        <v>303</v>
      </c>
      <c r="L610" s="3" t="s">
        <v>54</v>
      </c>
      <c r="M610" s="5">
        <v>0</v>
      </c>
    </row>
    <row r="611" spans="2:13" x14ac:dyDescent="0.3">
      <c r="B611" s="4">
        <v>2021</v>
      </c>
      <c r="C611" s="4">
        <v>303</v>
      </c>
      <c r="D611" s="3" t="s">
        <v>36</v>
      </c>
      <c r="E611" s="5">
        <v>193761115</v>
      </c>
      <c r="F611" s="5">
        <v>5112797</v>
      </c>
      <c r="G611" s="5"/>
      <c r="J611" s="4">
        <v>2021</v>
      </c>
      <c r="K611" s="4">
        <v>303</v>
      </c>
      <c r="L611" s="3" t="s">
        <v>51</v>
      </c>
      <c r="M611" s="5">
        <v>682349483</v>
      </c>
    </row>
    <row r="612" spans="2:13" x14ac:dyDescent="0.3">
      <c r="B612" s="4">
        <v>2021</v>
      </c>
      <c r="C612" s="4">
        <v>303</v>
      </c>
      <c r="D612" s="3" t="s">
        <v>37</v>
      </c>
      <c r="E612" s="5">
        <v>5038400058</v>
      </c>
      <c r="F612" s="5">
        <v>61386731</v>
      </c>
      <c r="G612" s="5">
        <v>2002780</v>
      </c>
      <c r="J612" s="4">
        <v>2021</v>
      </c>
      <c r="K612" s="4">
        <v>303</v>
      </c>
      <c r="L612" s="3" t="s">
        <v>52</v>
      </c>
      <c r="M612" s="5">
        <v>293</v>
      </c>
    </row>
    <row r="613" spans="2:13" x14ac:dyDescent="0.3">
      <c r="B613" s="4">
        <v>2021</v>
      </c>
      <c r="C613" s="4">
        <v>303</v>
      </c>
      <c r="D613" s="3" t="s">
        <v>38</v>
      </c>
      <c r="E613" s="5">
        <v>4844638943</v>
      </c>
      <c r="F613" s="5">
        <v>56273934</v>
      </c>
      <c r="G613" s="5">
        <v>2002780</v>
      </c>
      <c r="J613" s="4">
        <v>2021</v>
      </c>
      <c r="K613" s="4">
        <v>303</v>
      </c>
      <c r="L613" s="3" t="s">
        <v>53</v>
      </c>
      <c r="M613" s="5">
        <v>232301841</v>
      </c>
    </row>
    <row r="614" spans="2:13" x14ac:dyDescent="0.3">
      <c r="B614" s="4">
        <v>2021</v>
      </c>
      <c r="C614" s="4">
        <v>303</v>
      </c>
      <c r="D614" s="3" t="s">
        <v>39</v>
      </c>
      <c r="E614" s="5">
        <v>1593558298</v>
      </c>
      <c r="F614" s="5">
        <v>18839074</v>
      </c>
      <c r="G614" s="5">
        <v>221531</v>
      </c>
      <c r="J614" s="4">
        <v>2022</v>
      </c>
      <c r="K614" s="4">
        <v>303</v>
      </c>
      <c r="L614" s="3" t="s">
        <v>43</v>
      </c>
      <c r="M614" s="5">
        <v>260189469</v>
      </c>
    </row>
    <row r="615" spans="2:13" x14ac:dyDescent="0.3">
      <c r="B615" s="4">
        <v>2022</v>
      </c>
      <c r="C615" s="4">
        <v>303</v>
      </c>
      <c r="D615" s="3" t="s">
        <v>30</v>
      </c>
      <c r="E615" s="5">
        <v>5666541404</v>
      </c>
      <c r="F615" s="5"/>
      <c r="G615" s="5"/>
      <c r="J615" s="4">
        <v>2022</v>
      </c>
      <c r="K615" s="4">
        <v>303</v>
      </c>
      <c r="L615" s="3" t="s">
        <v>44</v>
      </c>
      <c r="M615" s="5">
        <v>74982389</v>
      </c>
    </row>
    <row r="616" spans="2:13" x14ac:dyDescent="0.3">
      <c r="B616" s="4">
        <v>2022</v>
      </c>
      <c r="C616" s="4">
        <v>303</v>
      </c>
      <c r="D616" s="3" t="s">
        <v>31</v>
      </c>
      <c r="E616" s="5">
        <v>1324779894</v>
      </c>
      <c r="F616" s="5">
        <v>19058783</v>
      </c>
      <c r="G616" s="5">
        <v>32930</v>
      </c>
      <c r="J616" s="4">
        <v>2022</v>
      </c>
      <c r="K616" s="4">
        <v>303</v>
      </c>
      <c r="L616" s="3" t="s">
        <v>45</v>
      </c>
      <c r="M616" s="5">
        <v>142437130</v>
      </c>
    </row>
    <row r="617" spans="2:13" x14ac:dyDescent="0.3">
      <c r="B617" s="4">
        <v>2022</v>
      </c>
      <c r="C617" s="4">
        <v>303</v>
      </c>
      <c r="D617" s="3" t="s">
        <v>32</v>
      </c>
      <c r="E617" s="5">
        <v>273087731</v>
      </c>
      <c r="F617" s="5"/>
      <c r="G617" s="5"/>
      <c r="J617" s="4">
        <v>2022</v>
      </c>
      <c r="K617" s="4">
        <v>303</v>
      </c>
      <c r="L617" s="3" t="s">
        <v>46</v>
      </c>
      <c r="M617" s="5">
        <v>225937365</v>
      </c>
    </row>
    <row r="618" spans="2:13" x14ac:dyDescent="0.3">
      <c r="B618" s="4">
        <v>2022</v>
      </c>
      <c r="C618" s="4">
        <v>303</v>
      </c>
      <c r="D618" s="3" t="s">
        <v>40</v>
      </c>
      <c r="E618" s="5">
        <v>-3239918</v>
      </c>
      <c r="F618" s="5"/>
      <c r="G618" s="5"/>
      <c r="J618" s="4">
        <v>2022</v>
      </c>
      <c r="K618" s="4">
        <v>303</v>
      </c>
      <c r="L618" s="3" t="s">
        <v>47</v>
      </c>
      <c r="M618" s="5">
        <v>562162331</v>
      </c>
    </row>
    <row r="619" spans="2:13" x14ac:dyDescent="0.3">
      <c r="B619" s="4">
        <v>2022</v>
      </c>
      <c r="C619" s="4">
        <v>303</v>
      </c>
      <c r="D619" s="3" t="s">
        <v>33</v>
      </c>
      <c r="E619" s="5">
        <v>14513894</v>
      </c>
      <c r="F619" s="5">
        <v>109655</v>
      </c>
      <c r="G619" s="5">
        <v>3534</v>
      </c>
      <c r="J619" s="4">
        <v>2022</v>
      </c>
      <c r="K619" s="4">
        <v>303</v>
      </c>
      <c r="L619" s="3" t="s">
        <v>48</v>
      </c>
      <c r="M619" s="5">
        <v>669378298</v>
      </c>
    </row>
    <row r="620" spans="2:13" x14ac:dyDescent="0.3">
      <c r="B620" s="4">
        <v>2022</v>
      </c>
      <c r="C620" s="4">
        <v>303</v>
      </c>
      <c r="D620" s="3" t="s">
        <v>34</v>
      </c>
      <c r="E620" s="5">
        <v>2078412458</v>
      </c>
      <c r="F620" s="5">
        <v>18425415</v>
      </c>
      <c r="G620" s="5">
        <v>1775303</v>
      </c>
      <c r="J620" s="4">
        <v>2022</v>
      </c>
      <c r="K620" s="4">
        <v>303</v>
      </c>
      <c r="L620" s="3" t="s">
        <v>49</v>
      </c>
      <c r="M620" s="5">
        <v>3245002734</v>
      </c>
    </row>
    <row r="621" spans="2:13" x14ac:dyDescent="0.3">
      <c r="B621" s="4">
        <v>2022</v>
      </c>
      <c r="C621" s="4">
        <v>303</v>
      </c>
      <c r="D621" s="3" t="s">
        <v>35</v>
      </c>
      <c r="E621" s="5">
        <v>5393453673</v>
      </c>
      <c r="F621" s="5">
        <v>62000388</v>
      </c>
      <c r="G621" s="5">
        <v>2037048</v>
      </c>
      <c r="J621" s="4">
        <v>2022</v>
      </c>
      <c r="K621" s="4">
        <v>303</v>
      </c>
      <c r="L621" s="3" t="s">
        <v>50</v>
      </c>
      <c r="M621" s="5">
        <v>2301922338</v>
      </c>
    </row>
    <row r="622" spans="2:13" x14ac:dyDescent="0.3">
      <c r="B622" s="4">
        <v>2022</v>
      </c>
      <c r="C622" s="4">
        <v>303</v>
      </c>
      <c r="D622" s="3" t="s">
        <v>36</v>
      </c>
      <c r="E622" s="5">
        <v>293666727</v>
      </c>
      <c r="F622" s="5">
        <v>4836292</v>
      </c>
      <c r="G622" s="5"/>
      <c r="J622" s="4">
        <v>2022</v>
      </c>
      <c r="K622" s="4">
        <v>303</v>
      </c>
      <c r="L622" s="3" t="s">
        <v>54</v>
      </c>
      <c r="M622" s="5">
        <v>0</v>
      </c>
    </row>
    <row r="623" spans="2:13" x14ac:dyDescent="0.3">
      <c r="B623" s="4">
        <v>2022</v>
      </c>
      <c r="C623" s="4">
        <v>303</v>
      </c>
      <c r="D623" s="3" t="s">
        <v>37</v>
      </c>
      <c r="E623" s="5">
        <v>5390213755</v>
      </c>
      <c r="F623" s="5">
        <v>62000388</v>
      </c>
      <c r="G623" s="5">
        <v>2037048</v>
      </c>
      <c r="J623" s="4">
        <v>2022</v>
      </c>
      <c r="K623" s="4">
        <v>303</v>
      </c>
      <c r="L623" s="3" t="s">
        <v>51</v>
      </c>
      <c r="M623" s="5">
        <v>601324862</v>
      </c>
    </row>
    <row r="624" spans="2:13" x14ac:dyDescent="0.3">
      <c r="B624" s="4">
        <v>2022</v>
      </c>
      <c r="C624" s="4">
        <v>303</v>
      </c>
      <c r="D624" s="3" t="s">
        <v>38</v>
      </c>
      <c r="E624" s="5">
        <v>5096547028</v>
      </c>
      <c r="F624" s="5">
        <v>57164096</v>
      </c>
      <c r="G624" s="5">
        <v>2037048</v>
      </c>
      <c r="J624" s="4">
        <v>2022</v>
      </c>
      <c r="K624" s="4">
        <v>303</v>
      </c>
      <c r="L624" s="3" t="s">
        <v>53</v>
      </c>
      <c r="M624" s="5">
        <v>239534043</v>
      </c>
    </row>
    <row r="625" spans="2:13" x14ac:dyDescent="0.3">
      <c r="B625" s="4">
        <v>2022</v>
      </c>
      <c r="C625" s="4">
        <v>303</v>
      </c>
      <c r="D625" s="3" t="s">
        <v>39</v>
      </c>
      <c r="E625" s="5">
        <v>1678840782</v>
      </c>
      <c r="F625" s="5">
        <v>19570243</v>
      </c>
      <c r="G625" s="5">
        <v>225281</v>
      </c>
      <c r="J625" s="4">
        <v>2023</v>
      </c>
      <c r="K625" s="4">
        <v>303</v>
      </c>
      <c r="L625" s="3" t="s">
        <v>43</v>
      </c>
      <c r="M625" s="5">
        <v>1953617852</v>
      </c>
    </row>
    <row r="626" spans="2:13" x14ac:dyDescent="0.3">
      <c r="B626" s="4">
        <v>2023</v>
      </c>
      <c r="C626" s="4">
        <v>303</v>
      </c>
      <c r="D626" s="3" t="s">
        <v>30</v>
      </c>
      <c r="E626" s="5">
        <v>5930844038</v>
      </c>
      <c r="F626" s="5"/>
      <c r="G626" s="5"/>
      <c r="J626" s="4">
        <v>2023</v>
      </c>
      <c r="K626" s="4">
        <v>303</v>
      </c>
      <c r="L626" s="3" t="s">
        <v>44</v>
      </c>
      <c r="M626" s="5">
        <v>91025325</v>
      </c>
    </row>
    <row r="627" spans="2:13" x14ac:dyDescent="0.3">
      <c r="B627" s="4">
        <v>2023</v>
      </c>
      <c r="C627" s="4">
        <v>303</v>
      </c>
      <c r="D627" s="3" t="s">
        <v>31</v>
      </c>
      <c r="E627" s="5">
        <v>1338645686</v>
      </c>
      <c r="F627" s="5">
        <v>17938466</v>
      </c>
      <c r="G627" s="5">
        <v>32888</v>
      </c>
      <c r="J627" s="4">
        <v>2023</v>
      </c>
      <c r="K627" s="4">
        <v>303</v>
      </c>
      <c r="L627" s="3" t="s">
        <v>45</v>
      </c>
      <c r="M627" s="5">
        <v>176225005</v>
      </c>
    </row>
    <row r="628" spans="2:13" x14ac:dyDescent="0.3">
      <c r="B628" s="4">
        <v>2023</v>
      </c>
      <c r="C628" s="4">
        <v>303</v>
      </c>
      <c r="D628" s="3" t="s">
        <v>32</v>
      </c>
      <c r="E628" s="5">
        <v>283774657</v>
      </c>
      <c r="F628" s="5"/>
      <c r="G628" s="5"/>
      <c r="J628" s="4">
        <v>2023</v>
      </c>
      <c r="K628" s="4">
        <v>303</v>
      </c>
      <c r="L628" s="3" t="s">
        <v>46</v>
      </c>
      <c r="M628" s="5">
        <v>360875554</v>
      </c>
    </row>
    <row r="629" spans="2:13" x14ac:dyDescent="0.3">
      <c r="B629" s="4">
        <v>2023</v>
      </c>
      <c r="C629" s="4">
        <v>303</v>
      </c>
      <c r="D629" s="3" t="s">
        <v>33</v>
      </c>
      <c r="E629" s="5">
        <v>15218250</v>
      </c>
      <c r="F629" s="5">
        <v>107612</v>
      </c>
      <c r="G629" s="5">
        <v>3252</v>
      </c>
      <c r="J629" s="4">
        <v>2023</v>
      </c>
      <c r="K629" s="4">
        <v>303</v>
      </c>
      <c r="L629" s="3" t="s">
        <v>47</v>
      </c>
      <c r="M629" s="5">
        <v>486505378</v>
      </c>
    </row>
    <row r="630" spans="2:13" x14ac:dyDescent="0.3">
      <c r="B630" s="4">
        <v>2023</v>
      </c>
      <c r="C630" s="4">
        <v>303</v>
      </c>
      <c r="D630" s="3" t="s">
        <v>34</v>
      </c>
      <c r="E630" s="5">
        <v>2230105420</v>
      </c>
      <c r="F630" s="5">
        <v>18158770</v>
      </c>
      <c r="G630" s="5">
        <v>1806004</v>
      </c>
      <c r="J630" s="4">
        <v>2023</v>
      </c>
      <c r="K630" s="4">
        <v>303</v>
      </c>
      <c r="L630" s="3" t="s">
        <v>48</v>
      </c>
      <c r="M630" s="5">
        <v>671791677</v>
      </c>
    </row>
    <row r="631" spans="2:13" x14ac:dyDescent="0.3">
      <c r="B631" s="4">
        <v>2023</v>
      </c>
      <c r="C631" s="4">
        <v>303</v>
      </c>
      <c r="D631" s="3" t="s">
        <v>35</v>
      </c>
      <c r="E631" s="5">
        <v>5647069381</v>
      </c>
      <c r="F631" s="5">
        <v>59606997</v>
      </c>
      <c r="G631" s="5">
        <v>2069044</v>
      </c>
      <c r="J631" s="4">
        <v>2023</v>
      </c>
      <c r="K631" s="4">
        <v>303</v>
      </c>
      <c r="L631" s="3" t="s">
        <v>49</v>
      </c>
      <c r="M631" s="5">
        <v>5438526510</v>
      </c>
    </row>
    <row r="632" spans="2:13" x14ac:dyDescent="0.3">
      <c r="B632" s="4">
        <v>2023</v>
      </c>
      <c r="C632" s="4">
        <v>303</v>
      </c>
      <c r="D632" s="3" t="s">
        <v>36</v>
      </c>
      <c r="E632" s="5">
        <v>192214530</v>
      </c>
      <c r="F632" s="5">
        <v>2910669</v>
      </c>
      <c r="G632" s="5"/>
      <c r="J632" s="4">
        <v>2023</v>
      </c>
      <c r="K632" s="4">
        <v>303</v>
      </c>
      <c r="L632" s="3" t="s">
        <v>50</v>
      </c>
      <c r="M632" s="5">
        <v>2598188817</v>
      </c>
    </row>
    <row r="633" spans="2:13" x14ac:dyDescent="0.3">
      <c r="B633" s="4">
        <v>2023</v>
      </c>
      <c r="C633" s="4">
        <v>303</v>
      </c>
      <c r="D633" s="3" t="s">
        <v>37</v>
      </c>
      <c r="E633" s="5">
        <v>5647069381</v>
      </c>
      <c r="F633" s="5">
        <v>59606997</v>
      </c>
      <c r="G633" s="5">
        <v>2069044</v>
      </c>
      <c r="J633" s="4">
        <v>2023</v>
      </c>
      <c r="K633" s="4">
        <v>303</v>
      </c>
      <c r="L633" s="3" t="s">
        <v>51</v>
      </c>
      <c r="M633" s="5">
        <v>937845148</v>
      </c>
    </row>
    <row r="634" spans="2:13" x14ac:dyDescent="0.3">
      <c r="B634" s="4">
        <v>2023</v>
      </c>
      <c r="C634" s="4">
        <v>303</v>
      </c>
      <c r="D634" s="3" t="s">
        <v>38</v>
      </c>
      <c r="E634" s="5">
        <v>5454854851</v>
      </c>
      <c r="F634" s="5">
        <v>56696328</v>
      </c>
      <c r="G634" s="5">
        <v>2069044</v>
      </c>
      <c r="J634" s="4">
        <v>2023</v>
      </c>
      <c r="K634" s="4">
        <v>303</v>
      </c>
      <c r="L634" s="3" t="s">
        <v>53</v>
      </c>
      <c r="M634" s="5">
        <v>258593957</v>
      </c>
    </row>
    <row r="635" spans="2:13" x14ac:dyDescent="0.3">
      <c r="B635" s="4">
        <v>2023</v>
      </c>
      <c r="C635" s="4">
        <v>303</v>
      </c>
      <c r="D635" s="3" t="s">
        <v>39</v>
      </c>
      <c r="E635" s="5">
        <v>1870885495</v>
      </c>
      <c r="F635" s="5">
        <v>20491480</v>
      </c>
      <c r="G635" s="5">
        <v>226900</v>
      </c>
      <c r="J635" s="4">
        <v>2024</v>
      </c>
      <c r="K635" s="4">
        <v>303</v>
      </c>
      <c r="L635" s="3" t="s">
        <v>43</v>
      </c>
      <c r="M635" s="5">
        <v>656913676</v>
      </c>
    </row>
    <row r="636" spans="2:13" x14ac:dyDescent="0.3">
      <c r="B636" s="4">
        <v>2024</v>
      </c>
      <c r="C636" s="4">
        <v>303</v>
      </c>
      <c r="D636" s="3" t="s">
        <v>30</v>
      </c>
      <c r="E636" s="5">
        <v>6587229882</v>
      </c>
      <c r="F636" s="5"/>
      <c r="G636" s="5"/>
      <c r="J636" s="4">
        <v>2024</v>
      </c>
      <c r="K636" s="4">
        <v>303</v>
      </c>
      <c r="L636" s="3" t="s">
        <v>44</v>
      </c>
      <c r="M636" s="5">
        <v>89716329</v>
      </c>
    </row>
    <row r="637" spans="2:13" x14ac:dyDescent="0.3">
      <c r="B637" s="4">
        <v>2024</v>
      </c>
      <c r="C637" s="4">
        <v>303</v>
      </c>
      <c r="D637" s="3" t="s">
        <v>31</v>
      </c>
      <c r="E637" s="5">
        <v>1523073081</v>
      </c>
      <c r="F637" s="5">
        <v>18531262</v>
      </c>
      <c r="G637" s="5">
        <v>32784</v>
      </c>
      <c r="J637" s="4">
        <v>2024</v>
      </c>
      <c r="K637" s="4">
        <v>303</v>
      </c>
      <c r="L637" s="3" t="s">
        <v>45</v>
      </c>
      <c r="M637" s="5">
        <v>203222486</v>
      </c>
    </row>
    <row r="638" spans="2:13" x14ac:dyDescent="0.3">
      <c r="B638" s="4">
        <v>2024</v>
      </c>
      <c r="C638" s="4">
        <v>303</v>
      </c>
      <c r="D638" s="3" t="s">
        <v>32</v>
      </c>
      <c r="E638" s="5">
        <v>296999773</v>
      </c>
      <c r="F638" s="5"/>
      <c r="G638" s="5"/>
      <c r="J638" s="4">
        <v>2024</v>
      </c>
      <c r="K638" s="4">
        <v>303</v>
      </c>
      <c r="L638" s="3" t="s">
        <v>46</v>
      </c>
      <c r="M638" s="5">
        <v>400265008</v>
      </c>
    </row>
    <row r="639" spans="2:13" x14ac:dyDescent="0.3">
      <c r="B639" s="4">
        <v>2024</v>
      </c>
      <c r="C639" s="4">
        <v>303</v>
      </c>
      <c r="D639" s="3" t="s">
        <v>33</v>
      </c>
      <c r="E639" s="5">
        <v>16088695</v>
      </c>
      <c r="F639" s="5">
        <v>105737</v>
      </c>
      <c r="G639" s="5">
        <v>3180</v>
      </c>
      <c r="J639" s="4">
        <v>2024</v>
      </c>
      <c r="K639" s="4">
        <v>303</v>
      </c>
      <c r="L639" s="3" t="s">
        <v>47</v>
      </c>
      <c r="M639" s="5">
        <v>411478539</v>
      </c>
    </row>
    <row r="640" spans="2:13" x14ac:dyDescent="0.3">
      <c r="B640" s="4">
        <v>2024</v>
      </c>
      <c r="C640" s="4">
        <v>303</v>
      </c>
      <c r="D640" s="3" t="s">
        <v>34</v>
      </c>
      <c r="E640" s="5">
        <v>2474881031</v>
      </c>
      <c r="F640" s="5">
        <v>18252979</v>
      </c>
      <c r="G640" s="5">
        <v>1837507</v>
      </c>
      <c r="J640" s="4">
        <v>2024</v>
      </c>
      <c r="K640" s="4">
        <v>303</v>
      </c>
      <c r="L640" s="3" t="s">
        <v>48</v>
      </c>
      <c r="M640" s="5">
        <v>711344075</v>
      </c>
    </row>
    <row r="641" spans="2:13" x14ac:dyDescent="0.3">
      <c r="B641" s="4">
        <v>2024</v>
      </c>
      <c r="C641" s="4">
        <v>303</v>
      </c>
      <c r="D641" s="3" t="s">
        <v>35</v>
      </c>
      <c r="E641" s="5">
        <v>6290230109</v>
      </c>
      <c r="F641" s="5">
        <v>60754800</v>
      </c>
      <c r="G641" s="5">
        <v>2104050</v>
      </c>
      <c r="J641" s="4">
        <v>2024</v>
      </c>
      <c r="K641" s="4">
        <v>303</v>
      </c>
      <c r="L641" s="3" t="s">
        <v>49</v>
      </c>
      <c r="M641" s="5">
        <v>4705045503</v>
      </c>
    </row>
    <row r="642" spans="2:13" x14ac:dyDescent="0.3">
      <c r="B642" s="4">
        <v>2024</v>
      </c>
      <c r="C642" s="4">
        <v>303</v>
      </c>
      <c r="D642" s="3" t="s">
        <v>36</v>
      </c>
      <c r="E642" s="5">
        <v>123793686</v>
      </c>
      <c r="F642" s="5">
        <v>2279646</v>
      </c>
      <c r="G642" s="5"/>
      <c r="J642" s="4">
        <v>2024</v>
      </c>
      <c r="K642" s="4">
        <v>303</v>
      </c>
      <c r="L642" s="3" t="s">
        <v>50</v>
      </c>
      <c r="M642" s="5">
        <v>3082649481</v>
      </c>
    </row>
    <row r="643" spans="2:13" x14ac:dyDescent="0.3">
      <c r="B643" s="4">
        <v>2024</v>
      </c>
      <c r="C643" s="4">
        <v>303</v>
      </c>
      <c r="D643" s="3" t="s">
        <v>37</v>
      </c>
      <c r="E643" s="5">
        <v>6290230109</v>
      </c>
      <c r="F643" s="5">
        <v>60754800</v>
      </c>
      <c r="G643" s="5">
        <v>2104050</v>
      </c>
      <c r="J643" s="4">
        <v>2024</v>
      </c>
      <c r="K643" s="4">
        <v>303</v>
      </c>
      <c r="L643" s="3" t="s">
        <v>51</v>
      </c>
      <c r="M643" s="5">
        <v>1451956663</v>
      </c>
    </row>
    <row r="644" spans="2:13" x14ac:dyDescent="0.3">
      <c r="B644" s="4">
        <v>2024</v>
      </c>
      <c r="C644" s="4">
        <v>303</v>
      </c>
      <c r="D644" s="3" t="s">
        <v>38</v>
      </c>
      <c r="E644" s="5">
        <v>6166436423</v>
      </c>
      <c r="F644" s="5">
        <v>58475154</v>
      </c>
      <c r="G644" s="5">
        <v>2104050</v>
      </c>
      <c r="J644" s="4">
        <v>2024</v>
      </c>
      <c r="K644" s="4">
        <v>303</v>
      </c>
      <c r="L644" s="3" t="s">
        <v>53</v>
      </c>
      <c r="M644" s="5">
        <v>272278523</v>
      </c>
    </row>
    <row r="645" spans="2:13" x14ac:dyDescent="0.3">
      <c r="B645" s="4">
        <v>2024</v>
      </c>
      <c r="C645" s="4">
        <v>303</v>
      </c>
      <c r="D645" s="3" t="s">
        <v>39</v>
      </c>
      <c r="E645" s="5">
        <v>2152393616</v>
      </c>
      <c r="F645" s="5">
        <v>21585176</v>
      </c>
      <c r="G645" s="5">
        <v>230579</v>
      </c>
      <c r="J645" s="4">
        <v>2025</v>
      </c>
      <c r="K645" s="4">
        <v>303</v>
      </c>
      <c r="L645" s="3" t="s">
        <v>43</v>
      </c>
      <c r="M645" s="5">
        <v>547274008</v>
      </c>
    </row>
    <row r="646" spans="2:13" x14ac:dyDescent="0.3">
      <c r="B646" s="4">
        <v>2025</v>
      </c>
      <c r="C646" s="4">
        <v>303</v>
      </c>
      <c r="D646" s="3" t="s">
        <v>30</v>
      </c>
      <c r="E646" s="5">
        <v>7440615463</v>
      </c>
      <c r="F646" s="5"/>
      <c r="G646" s="5"/>
      <c r="J646" s="4">
        <v>2025</v>
      </c>
      <c r="K646" s="4">
        <v>303</v>
      </c>
      <c r="L646" s="3" t="s">
        <v>44</v>
      </c>
      <c r="M646" s="5">
        <v>93627273</v>
      </c>
    </row>
    <row r="647" spans="2:13" x14ac:dyDescent="0.3">
      <c r="B647" s="4">
        <v>2025</v>
      </c>
      <c r="C647" s="4">
        <v>303</v>
      </c>
      <c r="D647" s="3" t="s">
        <v>31</v>
      </c>
      <c r="E647" s="5">
        <v>1675916847</v>
      </c>
      <c r="F647" s="5">
        <v>18167642</v>
      </c>
      <c r="G647" s="5">
        <v>32689</v>
      </c>
      <c r="J647" s="4">
        <v>2025</v>
      </c>
      <c r="K647" s="4">
        <v>303</v>
      </c>
      <c r="L647" s="3" t="s">
        <v>45</v>
      </c>
      <c r="M647" s="5">
        <v>264001196</v>
      </c>
    </row>
    <row r="648" spans="2:13" x14ac:dyDescent="0.3">
      <c r="B648" s="4">
        <v>2025</v>
      </c>
      <c r="C648" s="4">
        <v>303</v>
      </c>
      <c r="D648" s="3" t="s">
        <v>32</v>
      </c>
      <c r="E648" s="5">
        <v>275802920</v>
      </c>
      <c r="F648" s="5"/>
      <c r="G648" s="5"/>
      <c r="J648" s="4">
        <v>2025</v>
      </c>
      <c r="K648" s="4">
        <v>303</v>
      </c>
      <c r="L648" s="3" t="s">
        <v>46</v>
      </c>
      <c r="M648" s="5">
        <v>363892002</v>
      </c>
    </row>
    <row r="649" spans="2:13" x14ac:dyDescent="0.3">
      <c r="B649" s="4">
        <v>2025</v>
      </c>
      <c r="C649" s="4">
        <v>303</v>
      </c>
      <c r="D649" s="3" t="s">
        <v>33</v>
      </c>
      <c r="E649" s="5">
        <v>16707527</v>
      </c>
      <c r="F649" s="5">
        <v>101477</v>
      </c>
      <c r="G649" s="5">
        <v>2996</v>
      </c>
      <c r="J649" s="4">
        <v>2025</v>
      </c>
      <c r="K649" s="4">
        <v>303</v>
      </c>
      <c r="L649" s="3" t="s">
        <v>47</v>
      </c>
      <c r="M649" s="5">
        <v>403443315</v>
      </c>
    </row>
    <row r="650" spans="2:13" x14ac:dyDescent="0.3">
      <c r="B650" s="4">
        <v>2025</v>
      </c>
      <c r="C650" s="4">
        <v>303</v>
      </c>
      <c r="D650" s="3" t="s">
        <v>34</v>
      </c>
      <c r="E650" s="5">
        <v>2769186023</v>
      </c>
      <c r="F650" s="5">
        <v>18269615</v>
      </c>
      <c r="G650" s="5">
        <v>1867245</v>
      </c>
      <c r="J650" s="4">
        <v>2025</v>
      </c>
      <c r="K650" s="4">
        <v>303</v>
      </c>
      <c r="L650" s="3" t="s">
        <v>56</v>
      </c>
      <c r="M650" s="5">
        <v>1466525</v>
      </c>
    </row>
    <row r="651" spans="2:13" x14ac:dyDescent="0.3">
      <c r="B651" s="4">
        <v>2025</v>
      </c>
      <c r="C651" s="4">
        <v>303</v>
      </c>
      <c r="D651" s="3" t="s">
        <v>35</v>
      </c>
      <c r="E651" s="5">
        <v>7164812543</v>
      </c>
      <c r="F651" s="5">
        <v>63565757</v>
      </c>
      <c r="G651" s="5">
        <v>2136853</v>
      </c>
      <c r="J651" s="4">
        <v>2025</v>
      </c>
      <c r="K651" s="4">
        <v>303</v>
      </c>
      <c r="L651" s="3" t="s">
        <v>48</v>
      </c>
      <c r="M651" s="5">
        <v>862964197</v>
      </c>
    </row>
    <row r="652" spans="2:13" x14ac:dyDescent="0.3">
      <c r="B652" s="4">
        <v>2025</v>
      </c>
      <c r="C652" s="4">
        <v>303</v>
      </c>
      <c r="D652" s="3" t="s">
        <v>36</v>
      </c>
      <c r="E652" s="5">
        <v>198655537</v>
      </c>
      <c r="F652" s="5">
        <v>4353895</v>
      </c>
      <c r="G652" s="5"/>
      <c r="J652" s="4">
        <v>2025</v>
      </c>
      <c r="K652" s="4">
        <v>303</v>
      </c>
      <c r="L652" s="3" t="s">
        <v>49</v>
      </c>
      <c r="M652" s="5">
        <v>5093553255</v>
      </c>
    </row>
    <row r="653" spans="2:13" x14ac:dyDescent="0.3">
      <c r="B653" s="4">
        <v>2025</v>
      </c>
      <c r="C653" s="4">
        <v>303</v>
      </c>
      <c r="D653" s="3" t="s">
        <v>37</v>
      </c>
      <c r="E653" s="5">
        <v>7164812543</v>
      </c>
      <c r="F653" s="5">
        <v>63565757</v>
      </c>
      <c r="G653" s="5">
        <v>2136853</v>
      </c>
      <c r="J653" s="4">
        <v>2025</v>
      </c>
      <c r="K653" s="4">
        <v>303</v>
      </c>
      <c r="L653" s="3" t="s">
        <v>50</v>
      </c>
      <c r="M653" s="5">
        <v>3530583993</v>
      </c>
    </row>
    <row r="654" spans="2:13" x14ac:dyDescent="0.3">
      <c r="B654" s="4">
        <v>2025</v>
      </c>
      <c r="C654" s="4">
        <v>303</v>
      </c>
      <c r="D654" s="3" t="s">
        <v>38</v>
      </c>
      <c r="E654" s="5">
        <v>6966157006</v>
      </c>
      <c r="F654" s="5">
        <v>59211862</v>
      </c>
      <c r="G654" s="5">
        <v>2136853</v>
      </c>
      <c r="J654" s="4">
        <v>2025</v>
      </c>
      <c r="K654" s="4">
        <v>303</v>
      </c>
      <c r="L654" s="3" t="s">
        <v>51</v>
      </c>
      <c r="M654" s="5">
        <v>1676351194</v>
      </c>
    </row>
    <row r="655" spans="2:13" x14ac:dyDescent="0.3">
      <c r="B655" s="4">
        <v>2025</v>
      </c>
      <c r="C655" s="4">
        <v>303</v>
      </c>
      <c r="D655" s="3" t="s">
        <v>39</v>
      </c>
      <c r="E655" s="5">
        <v>2504346609</v>
      </c>
      <c r="F655" s="5">
        <v>22673128</v>
      </c>
      <c r="G655" s="5">
        <v>233923</v>
      </c>
      <c r="J655" s="4">
        <v>2025</v>
      </c>
      <c r="K655" s="4">
        <v>303</v>
      </c>
      <c r="L655" s="3" t="s">
        <v>53</v>
      </c>
      <c r="M655" s="5">
        <v>294174783</v>
      </c>
    </row>
  </sheetData>
  <pageMargins left="0.7" right="0.7" top="0.75" bottom="0.75" header="0.3" footer="0.3"/>
  <tableParts count="3">
    <tablePart r:id="rId1"/>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990BB-AEF0-42BA-9CB2-2B9AE924C20A}">
  <sheetPr>
    <tabColor rgb="FF98A2B3"/>
  </sheetPr>
  <dimension ref="B1:L9"/>
  <sheetViews>
    <sheetView zoomScale="90" zoomScaleNormal="90" workbookViewId="0"/>
  </sheetViews>
  <sheetFormatPr defaultRowHeight="13" x14ac:dyDescent="0.3"/>
  <cols>
    <col min="1" max="1" width="2.69921875" customWidth="1"/>
    <col min="2" max="2" width="121.69921875" bestFit="1" customWidth="1"/>
    <col min="3" max="3" width="29.59765625" bestFit="1" customWidth="1"/>
    <col min="4" max="4" width="16.69921875" bestFit="1" customWidth="1"/>
    <col min="5" max="5" width="19.59765625" bestFit="1" customWidth="1"/>
    <col min="6" max="6" width="8.296875" bestFit="1" customWidth="1"/>
    <col min="9" max="9" width="12.19921875" bestFit="1" customWidth="1"/>
    <col min="10" max="10" width="12.5" bestFit="1" customWidth="1"/>
    <col min="11" max="11" width="6.59765625" bestFit="1" customWidth="1"/>
    <col min="12" max="12" width="16.296875" bestFit="1" customWidth="1"/>
  </cols>
  <sheetData>
    <row r="1" spans="2:12" ht="30" customHeight="1" x14ac:dyDescent="0.55000000000000004">
      <c r="B1" s="1" t="s">
        <v>66</v>
      </c>
    </row>
    <row r="2" spans="2:12" x14ac:dyDescent="0.3">
      <c r="B2" s="2" t="s">
        <v>67</v>
      </c>
    </row>
    <row r="4" spans="2:12" x14ac:dyDescent="0.3">
      <c r="B4" s="3" t="s">
        <v>25</v>
      </c>
      <c r="C4" s="3" t="s">
        <v>68</v>
      </c>
      <c r="D4" s="3" t="s">
        <v>69</v>
      </c>
      <c r="E4" s="3" t="s">
        <v>70</v>
      </c>
      <c r="F4" s="3" t="s">
        <v>71</v>
      </c>
      <c r="I4" s="3" t="s">
        <v>88</v>
      </c>
      <c r="J4" s="3" t="s">
        <v>89</v>
      </c>
      <c r="K4" s="3" t="s">
        <v>90</v>
      </c>
      <c r="L4" s="3" t="s">
        <v>91</v>
      </c>
    </row>
    <row r="5" spans="2:12" x14ac:dyDescent="0.3">
      <c r="B5" s="4">
        <v>250</v>
      </c>
      <c r="C5" s="3" t="s">
        <v>72</v>
      </c>
      <c r="D5" s="3" t="s">
        <v>73</v>
      </c>
      <c r="E5" s="3" t="s">
        <v>74</v>
      </c>
      <c r="F5" s="3" t="s">
        <v>75</v>
      </c>
      <c r="I5" s="3" t="s">
        <v>92</v>
      </c>
      <c r="J5" s="3" t="s">
        <v>93</v>
      </c>
      <c r="K5" s="4">
        <v>1</v>
      </c>
      <c r="L5" s="3" t="s">
        <v>94</v>
      </c>
    </row>
    <row r="6" spans="2:12" x14ac:dyDescent="0.3">
      <c r="B6" s="4">
        <v>303</v>
      </c>
      <c r="C6" s="3" t="s">
        <v>76</v>
      </c>
      <c r="D6" s="3" t="s">
        <v>76</v>
      </c>
      <c r="E6" s="3" t="s">
        <v>77</v>
      </c>
      <c r="F6" s="3" t="s">
        <v>78</v>
      </c>
      <c r="I6" s="3" t="s">
        <v>95</v>
      </c>
      <c r="J6" s="3" t="s">
        <v>96</v>
      </c>
      <c r="K6" s="4">
        <v>2</v>
      </c>
      <c r="L6" s="3" t="s">
        <v>94</v>
      </c>
    </row>
    <row r="7" spans="2:12" x14ac:dyDescent="0.3">
      <c r="B7" s="4">
        <v>162</v>
      </c>
      <c r="C7" s="3" t="s">
        <v>79</v>
      </c>
      <c r="D7" s="3" t="s">
        <v>80</v>
      </c>
      <c r="E7" s="3" t="s">
        <v>81</v>
      </c>
      <c r="F7" s="3" t="s">
        <v>78</v>
      </c>
      <c r="I7" s="3" t="s">
        <v>97</v>
      </c>
      <c r="J7" s="3" t="s">
        <v>98</v>
      </c>
      <c r="K7" s="4">
        <v>3</v>
      </c>
      <c r="L7" s="3" t="s">
        <v>99</v>
      </c>
    </row>
    <row r="8" spans="2:12" x14ac:dyDescent="0.3">
      <c r="B8" s="4">
        <v>182</v>
      </c>
      <c r="C8" s="3" t="s">
        <v>82</v>
      </c>
      <c r="D8" s="3" t="s">
        <v>83</v>
      </c>
      <c r="E8" s="3" t="s">
        <v>84</v>
      </c>
      <c r="F8" s="3" t="s">
        <v>78</v>
      </c>
      <c r="I8" s="3" t="s">
        <v>100</v>
      </c>
      <c r="J8" s="3" t="s">
        <v>101</v>
      </c>
      <c r="K8" s="4">
        <v>4</v>
      </c>
      <c r="L8" s="3" t="s">
        <v>99</v>
      </c>
    </row>
    <row r="9" spans="2:12" x14ac:dyDescent="0.3">
      <c r="B9" s="4">
        <v>216</v>
      </c>
      <c r="C9" s="3" t="s">
        <v>85</v>
      </c>
      <c r="D9" s="3" t="s">
        <v>86</v>
      </c>
      <c r="E9" s="3" t="s">
        <v>87</v>
      </c>
      <c r="F9" s="3" t="s">
        <v>78</v>
      </c>
    </row>
  </sheetData>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8618893-5764-4AC5-BB37-20527E3FB69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142</vt:i4>
      </vt:variant>
    </vt:vector>
  </HeadingPairs>
  <TitlesOfParts>
    <vt:vector size="161" baseType="lpstr">
      <vt:lpstr>Cover</vt:lpstr>
      <vt:lpstr>Dashboard</vt:lpstr>
      <vt:lpstr>PnL</vt:lpstr>
      <vt:lpstr>PVM</vt:lpstr>
      <vt:lpstr>Monthly</vt:lpstr>
      <vt:lpstr>Weather</vt:lpstr>
      <vt:lpstr>Plan</vt:lpstr>
      <vt:lpstr>Forecast</vt:lpstr>
      <vt:lpstr>Scenarios</vt:lpstr>
      <vt:lpstr>Peers</vt:lpstr>
      <vt:lpstr>Explore</vt:lpstr>
      <vt:lpstr>Checks</vt:lpstr>
      <vt:lpstr>Assumptions</vt:lpstr>
      <vt:lpstr>PQ_Monthly</vt:lpstr>
      <vt:lpstr>PQ_Weather</vt:lpstr>
      <vt:lpstr>Data_EIA</vt:lpstr>
      <vt:lpstr>Data_NOAA</vt:lpstr>
      <vt:lpstr>Data_FERC</vt:lpstr>
      <vt:lpstr>Data_Utilities</vt:lpstr>
      <vt:lpstr>actual_cdd</vt:lpstr>
      <vt:lpstr>actual_hdd</vt:lpstr>
      <vt:lpstr>AsOfMonth</vt:lpstr>
      <vt:lpstr>backtest</vt:lpstr>
      <vt:lpstr>BaseYear</vt:lpstr>
      <vt:lpstr>bridge_long</vt:lpstr>
      <vt:lpstr>CddOverlay</vt:lpstr>
      <vt:lpstr>checks_status</vt:lpstr>
      <vt:lpstr>checks_summary</vt:lpstr>
      <vt:lpstr>coef_commercial</vt:lpstr>
      <vt:lpstr>coef_residential</vt:lpstr>
      <vt:lpstr>CompanyId</vt:lpstr>
      <vt:lpstr>cover_answers</vt:lpstr>
      <vt:lpstr>ctrl_eia_mwh</vt:lpstr>
      <vt:lpstr>ctrl_eia_revenue_k</vt:lpstr>
      <vt:lpstr>ctrl_eia_rows</vt:lpstr>
      <vt:lpstr>ctrl_ferc_rows</vt:lpstr>
      <vt:lpstr>ctrl_noaa_lines</vt:lpstr>
      <vt:lpstr>CustOverlay</vt:lpstr>
      <vt:lpstr>dash_commentary</vt:lpstr>
      <vt:lpstr>dash_outlook_table</vt:lpstr>
      <vt:lpstr>dash_plan_table</vt:lpstr>
      <vt:lpstr>explore_cube</vt:lpstr>
      <vt:lpstr>explore_yoy</vt:lpstr>
      <vt:lpstr>ExtraMW</vt:lpstr>
      <vt:lpstr>fc_degree_days</vt:lpstr>
      <vt:lpstr>fc_drivers</vt:lpstr>
      <vt:lpstr>fc_long</vt:lpstr>
      <vt:lpstr>fc_months</vt:lpstr>
      <vt:lpstr>fc_months_total</vt:lpstr>
      <vt:lpstr>fc_outlook</vt:lpstr>
      <vt:lpstr>fc_outlook_total</vt:lpstr>
      <vt:lpstr>FercYear</vt:lpstr>
      <vt:lpstr>FiscalYear</vt:lpstr>
      <vt:lpstr>fit_months</vt:lpstr>
      <vt:lpstr>FitStart</vt:lpstr>
      <vt:lpstr>fy_mwh</vt:lpstr>
      <vt:lpstr>fy_revenue</vt:lpstr>
      <vt:lpstr>FYStart</vt:lpstr>
      <vt:lpstr>h2_revenue</vt:lpstr>
      <vt:lpstr>HddOverlay</vt:lpstr>
      <vt:lpstr>kpi_fy_revenue</vt:lpstr>
      <vt:lpstr>kpi_industrial_growth</vt:lpstr>
      <vt:lpstr>kpi_op_margin</vt:lpstr>
      <vt:lpstr>kpi_price</vt:lpstr>
      <vt:lpstr>kpi_weather_gwh</vt:lpstr>
      <vt:lpstr>kpi_ytd_vs_plan</vt:lpstr>
      <vt:lpstr>monthly_ytd</vt:lpstr>
      <vt:lpstr>monthly_ytd_total</vt:lpstr>
      <vt:lpstr>MonthsClosed</vt:lpstr>
      <vt:lpstr>normal_cdd</vt:lpstr>
      <vt:lpstr>normal_hdd</vt:lpstr>
      <vt:lpstr>NormalYears</vt:lpstr>
      <vt:lpstr>offset_loss</vt:lpstr>
      <vt:lpstr>offset_rate</vt:lpstr>
      <vt:lpstr>peers_ids</vt:lpstr>
      <vt:lpstr>peers_rank</vt:lpstr>
      <vt:lpstr>peers_table</vt:lpstr>
      <vt:lpstr>plan_bridge</vt:lpstr>
      <vt:lpstr>plan_bridge_total</vt:lpstr>
      <vt:lpstr>plan_chart</vt:lpstr>
      <vt:lpstr>plan_coef</vt:lpstr>
      <vt:lpstr>plan_drivers</vt:lpstr>
      <vt:lpstr>plan_long</vt:lpstr>
      <vt:lpstr>plan_normals</vt:lpstr>
      <vt:lpstr>plan_stats</vt:lpstr>
      <vt:lpstr>PlanClosed</vt:lpstr>
      <vt:lpstr>PlanYear</vt:lpstr>
      <vt:lpstr>pnl_ag</vt:lpstr>
      <vt:lpstr>pnl_customer</vt:lpstr>
      <vt:lpstr>pnl_customers</vt:lpstr>
      <vt:lpstr>pnl_da</vt:lpstr>
      <vt:lpstr>pnl_distribution</vt:lpstr>
      <vt:lpstr>pnl_fuel</vt:lpstr>
      <vt:lpstr>pnl_gm</vt:lpstr>
      <vt:lpstr>pnl_gm_pct</vt:lpstr>
      <vt:lpstr>pnl_industrial_cpk</vt:lpstr>
      <vt:lpstr>pnl_industrial_mwh</vt:lpstr>
      <vt:lpstr>pnl_industrial_share</vt:lpstr>
      <vt:lpstr>pnl_om_per_customer</vt:lpstr>
      <vt:lpstr>pnl_op_income</vt:lpstr>
      <vt:lpstr>pnl_op_margin</vt:lpstr>
      <vt:lpstr>pnl_other_om</vt:lpstr>
      <vt:lpstr>pnl_other_rev</vt:lpstr>
      <vt:lpstr>pnl_power</vt:lpstr>
      <vt:lpstr>pnl_power_per_mwh</vt:lpstr>
      <vt:lpstr>pnl_production</vt:lpstr>
      <vt:lpstr>pnl_purchased</vt:lpstr>
      <vt:lpstr>pnl_refunds</vt:lpstr>
      <vt:lpstr>pnl_regional</vt:lpstr>
      <vt:lpstr>pnl_residential_cpk</vt:lpstr>
      <vt:lpstr>pnl_residential_mwh</vt:lpstr>
      <vt:lpstr>pnl_retail</vt:lpstr>
      <vt:lpstr>pnl_retail_cpk</vt:lpstr>
      <vt:lpstr>pnl_retail_mwh</vt:lpstr>
      <vt:lpstr>pnl_rev_large_or_industrial</vt:lpstr>
      <vt:lpstr>pnl_rev_other_sales_to_public_authorities</vt:lpstr>
      <vt:lpstr>pnl_rev_public_street_and_highway_lighting</vt:lpstr>
      <vt:lpstr>pnl_rev_residential_sales</vt:lpstr>
      <vt:lpstr>pnl_rev_small_or_commercial</vt:lpstr>
      <vt:lpstr>pnl_revenue</vt:lpstr>
      <vt:lpstr>pnl_summary</vt:lpstr>
      <vt:lpstr>pnl_taxes</vt:lpstr>
      <vt:lpstr>pnl_total_mwh</vt:lpstr>
      <vt:lpstr>pnl_transmission</vt:lpstr>
      <vt:lpstr>pnl_wholesale</vt:lpstr>
      <vt:lpstr>pnl_years</vt:lpstr>
      <vt:lpstr>Checks!Print_Area</vt:lpstr>
      <vt:lpstr>Cover!Print_Area</vt:lpstr>
      <vt:lpstr>Dashboard!Print_Area</vt:lpstr>
      <vt:lpstr>Forecast!Print_Area</vt:lpstr>
      <vt:lpstr>Monthly!Print_Area</vt:lpstr>
      <vt:lpstr>Peers!Print_Area</vt:lpstr>
      <vt:lpstr>Plan!Print_Area</vt:lpstr>
      <vt:lpstr>PnL!Print_Area</vt:lpstr>
      <vt:lpstr>PVM!Print_Area</vt:lpstr>
      <vt:lpstr>Scenarios!Print_Area</vt:lpstr>
      <vt:lpstr>Weather!Print_Area</vt:lpstr>
      <vt:lpstr>pvm_long</vt:lpstr>
      <vt:lpstr>pvm_long_total</vt:lpstr>
      <vt:lpstr>pvm_short</vt:lpstr>
      <vt:lpstr>pvm_short_total</vt:lpstr>
      <vt:lpstr>pvm_ytd</vt:lpstr>
      <vt:lpstr>pvm_ytd_total</vt:lpstr>
      <vt:lpstr>RateChange</vt:lpstr>
      <vt:lpstr>revenue_grid</vt:lpstr>
      <vt:lpstr>ScenarioCdd</vt:lpstr>
      <vt:lpstr>ScenarioHdd</vt:lpstr>
      <vt:lpstr>ScenarioList</vt:lpstr>
      <vt:lpstr>ScenarioNo</vt:lpstr>
      <vt:lpstr>scn_live</vt:lpstr>
      <vt:lpstr>scn_weather</vt:lpstr>
      <vt:lpstr>sens_grid</vt:lpstr>
      <vt:lpstr>sens_mw_axis</vt:lpstr>
      <vt:lpstr>sens_rate_axis</vt:lpstr>
      <vt:lpstr>tieout</vt:lpstr>
      <vt:lpstr>Tol</vt:lpstr>
      <vt:lpstr>tornado</vt:lpstr>
      <vt:lpstr>weather_history</vt:lpstr>
      <vt:lpstr>weather_impact</vt:lpstr>
      <vt:lpstr>weather_impact_total</vt:lpstr>
      <vt:lpstr>WeatherScenario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Portland General Electric: utility FP&amp;A model on public data</dc:title>
  <dc:subject>Plan vs actual, weather normalization, price-volume-mix, forecast, scenarios, peers</dc:subject>
  <dc:creator>Kush Patel</dc:creator>
  <cp:lastModifiedBy>Kush Patel</cp:lastModifiedBy>
  <dcterms:created xsi:type="dcterms:W3CDTF">2026-09-23T22:40:14Z</dcterms:created>
  <dcterms:modified xsi:type="dcterms:W3CDTF">2026-09-23T22:40:57Z</dcterms:modified>
</cp:coreProperties>
</file>