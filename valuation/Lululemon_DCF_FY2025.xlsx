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DCF_Base" sheetId="3" state="visible" r:id="rId5"/>
    <sheet name="DCF_Bear" sheetId="4" state="visible" r:id="rId6"/>
    <sheet name="DCF_Bull" sheetId="5" state="visible" r:id="rId7"/>
    <sheet name="Sensitivity" sheetId="6" state="visible" r:id="rId8"/>
    <sheet name="History" sheetId="7" state="visible" r:id="rId9"/>
    <sheet name="Data_EDGAR" sheetId="8" state="visible" r:id="rId10"/>
    <sheet name="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<sst xmlns="http://schemas.openxmlformats.org/spreadsheetml/2006/main" count="443" uniqueCount="193">
  <si>
    <t xml:space="preserve">lululemon athletica: what the business is worth, on its own filings</t>
  </si>
  <si>
    <t xml:space="preserve">A discounted cash flow valuation as of 2026-03-17, from the FY2025 10-K. Not investment advice: a worked valuation whose every input is sourced and whose every output is a formula.</t>
  </si>
  <si>
    <t xml:space="preserve">Bear</t>
  </si>
  <si>
    <t xml:space="preserve">Base</t>
  </si>
  <si>
    <t xml:space="preserve">Bull</t>
  </si>
  <si>
    <t xml:space="preserve">Value per share (USD)</t>
  </si>
  <si>
    <t xml:space="preserve">Enterprise value (USD M)</t>
  </si>
  <si>
    <t xml:space="preserve">Equity value (USD M)</t>
  </si>
  <si>
    <t xml:space="preserve">Terminal value, share of EV</t>
  </si>
  <si>
    <t xml:space="preserve">Implied exit EV / EBITDA</t>
  </si>
  <si>
    <t xml:space="preserve">Cost of equity = WACC</t>
  </si>
  <si>
    <t xml:space="preserve">Terminal growth</t>
  </si>
  <si>
    <t xml:space="preserve">FY2025 as filed</t>
  </si>
  <si>
    <t xml:space="preserve">Revenue (USD M)</t>
  </si>
  <si>
    <t xml:space="preserve">Revenue growth</t>
  </si>
  <si>
    <t xml:space="preserve">EBIT margin</t>
  </si>
  <si>
    <t xml:space="preserve">Operating working capital, % of revenue</t>
  </si>
  <si>
    <t xml:space="preserve">Checks passing</t>
  </si>
  <si>
    <t xml:space="preserve">of 18</t>
  </si>
  <si>
    <t xml:space="preserve">Inputs: market data and the three scenarios</t>
  </si>
  <si>
    <t xml:space="preserve">Blue on yellow is an input. Every market input names its source; every driver is a judgement, stated.</t>
  </si>
  <si>
    <t xml:space="preserve">Market input</t>
  </si>
  <si>
    <t xml:space="preserve">Value</t>
  </si>
  <si>
    <t xml:space="preserve">Source</t>
  </si>
  <si>
    <t xml:space="preserve">Valuation date</t>
  </si>
  <si>
    <t xml:space="preserve">the day lululemon filed its FY2025 10-K (accession 0001397187-26-000020): the first day the market had the full year</t>
  </si>
  <si>
    <t xml:space="preserve">Middle of FY2026</t>
  </si>
  <si>
    <t xml:space="preserve">cash flows arrive, on average, mid-year</t>
  </si>
  <si>
    <t xml:space="preserve">Risk-free rate</t>
  </si>
  <si>
    <t xml:space="preserve">U.S. Department of the Treasury, Daily Treasury Par Yield Curve Rates, March 2026 (home.treasury.gov)</t>
  </si>
  <si>
    <t xml:space="preserve">Equity risk premium</t>
  </si>
  <si>
    <t xml:space="preserve">Aswath Damodaran, Country Default Spreads and Risk Premiums, January 2026 (pages.stern.nyu.edu/~adamodar, ctryprem.html)</t>
  </si>
  <si>
    <t xml:space="preserve">Beta</t>
  </si>
  <si>
    <t xml:space="preserve">Apparel industry (US, 35 firms), unlevered beta corrected for cash, January 2026; Aswath Damodaran, Betas by Sector (US), January 2026 (pages.stern.nyu.edu/~adamodar, Betas.html)</t>
  </si>
  <si>
    <t xml:space="preserve">Beta, alternative</t>
  </si>
  <si>
    <t xml:space="preserve">Retail (Special Lines), the same measure, for the sensitivity</t>
  </si>
  <si>
    <t xml:space="preserve">Debt</t>
  </si>
  <si>
    <t xml:space="preserve">no borrowings at FY2025 year end (OtherBorrowings 0; the revolving facility undrawn)</t>
  </si>
  <si>
    <t xml:space="preserve">Common shares</t>
  </si>
  <si>
    <t xml:space="preserve">FY2025 10-K cover page, accession 0001397187-26-000020</t>
  </si>
  <si>
    <t xml:space="preserve">Exchangeable shares</t>
  </si>
  <si>
    <t xml:space="preserve">common stock plus exchangeable shares of Lulu Canadian Holding, which convert one for one</t>
  </si>
  <si>
    <t xml:space="preserve">Driver</t>
  </si>
  <si>
    <t xml:space="preserve">Year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</si>
  <si>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</si>
  <si>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</si>
  <si>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</si>
  <si>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</si>
  <si>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</si>
  <si>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Operating (EBIT) margin</t>
  </si>
  <si>
    <t xml:space="preserve">Capex, % of revenue</t>
  </si>
  <si>
    <t xml:space="preserve">D&amp;A, % of revenue</t>
  </si>
  <si>
    <t xml:space="preserve">all years</t>
  </si>
  <si>
    <t xml:space="preserve">Tax rate</t>
  </si>
  <si>
    <t xml:space="preserve">Return on new capital, terminal</t>
  </si>
  <si>
    <t xml:space="preserve">The story behind each case</t>
  </si>
  <si>
    <t xml:space="preserve">the margin reset of FY2025 keeps going: markdowns and tariffs take another 50 bps, growth stalls in the Americas</t>
  </si>
  <si>
    <t xml:space="preserve">FY2025's 4.9% growth and 19.9% operating margin hold roughly where they are: growth recovers to mid-single digits on international stores, the margin climbs back to 20%</t>
  </si>
  <si>
    <t xml:space="preserve">international keeps compounding and the margin recovers most of the way to FY2024's 23.7%</t>
  </si>
  <si>
    <t xml:space="preserve">Sensitivity axes</t>
  </si>
  <si>
    <t xml:space="preserve">WACC</t>
  </si>
  <si>
    <t xml:space="preserve">DCF, base case: free cash flow to the firm, FY2026 to FY2030</t>
  </si>
  <si>
    <t xml:space="preserve">Every cell is a formula over Inputs, History and Data_EDGAR. Money in USD millions.</t>
  </si>
  <si>
    <t xml:space="preserve">FY2025 (filed)</t>
  </si>
  <si>
    <t xml:space="preserve">Revenue</t>
  </si>
  <si>
    <t xml:space="preserve">EBIT</t>
  </si>
  <si>
    <t xml:space="preserve">Tax on EBIT</t>
  </si>
  <si>
    <t xml:space="preserve">NOPAT</t>
  </si>
  <si>
    <t xml:space="preserve">D&amp;A</t>
  </si>
  <si>
    <t xml:space="preserve">Capex</t>
  </si>
  <si>
    <t xml:space="preserve">Operating working capital</t>
  </si>
  <si>
    <t xml:space="preserve">Increase in working capital</t>
  </si>
  <si>
    <t xml:space="preserve">Free cash flow to the firm</t>
  </si>
  <si>
    <t xml:space="preserve">Years from the valuation date</t>
  </si>
  <si>
    <t xml:space="preserve">Discount factor</t>
  </si>
  <si>
    <t xml:space="preserve">Present value</t>
  </si>
  <si>
    <t xml:space="preserve">Cost of equity = risk-free + beta x ERP (no debt, so the WACC)</t>
  </si>
  <si>
    <t xml:space="preserve">NOPAT, FY2031</t>
  </si>
  <si>
    <t xml:space="preserve">Terminal value at end FY2030 = NOPAT x (1 - g/RONIC) / (WACC - g)</t>
  </si>
  <si>
    <t xml:space="preserve">Present value of the terminal value</t>
  </si>
  <si>
    <t xml:space="preserve">Present value of FY2026-FY2030 cash flows</t>
  </si>
  <si>
    <t xml:space="preserve">Enterprise value</t>
  </si>
  <si>
    <t xml:space="preserve">Cash (incl. restricted), FY2025 year end</t>
  </si>
  <si>
    <t xml:space="preserve">Equity value</t>
  </si>
  <si>
    <t xml:space="preserve">Shares: common plus exchangeable</t>
  </si>
  <si>
    <t xml:space="preserve">Terminal value, share of enterprise value</t>
  </si>
  <si>
    <t xml:space="preserve">Implied exit multiple: terminal value / FY2030 EBITDA</t>
  </si>
  <si>
    <t xml:space="preserve">Enterprise value / FY2025 EBIT</t>
  </si>
  <si>
    <t xml:space="preserve">DCF, bear case: free cash flow to the firm, FY2026 to FY2030</t>
  </si>
  <si>
    <t xml:space="preserve">DCF, bull case: free cash flow to the firm, FY2026 to FY2030</t>
  </si>
  <si>
    <t xml:space="preserve">Sensitivity, base case: value per share by WACC and terminal growth</t>
  </si>
  <si>
    <t xml:space="preserve">Each cell re-discounts the base case's free cash flows and terminal value at its own WACC and growth.</t>
  </si>
  <si>
    <t xml:space="preserve">WACC \ terminal growth</t>
  </si>
  <si>
    <t xml:space="preserve">Beta of Retail (Special Lines) instead of Apparel, base case</t>
  </si>
  <si>
    <t xml:space="preserve">  its cost of equity</t>
  </si>
  <si>
    <t xml:space="preserve">History: what the filings say, FY2021 to FY2025</t>
  </si>
  <si>
    <t xml:space="preserve">Ratios over the filed figures. 'Other operating items' is gross profit less SG&amp;A, impairment and restructuring, and operating income: amortization and acquisition costs the filings report on other lines.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</si>
  <si>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</si>
  <si>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</si>
  <si>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</si>
  <si>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</si>
  <si>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</si>
  <si>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Gross margin</t>
  </si>
  <si>
    <t xml:space="preserve">Operating income (EBIT)</t>
  </si>
  <si>
    <t xml:space="preserve">Other operating items</t>
  </si>
  <si>
    <t xml:space="preserve">Effective tax rate</t>
  </si>
  <si>
    <t xml:space="preserve">Share-based compensation, % of revenue</t>
  </si>
  <si>
    <t xml:space="preserve">Cash from operations less capex</t>
  </si>
  <si>
    <t xml:space="preserve">Share repurchases</t>
  </si>
  <si>
    <t xml:space="preserve">Money in USD millions.</t>
  </si>
  <si>
    <t xml:space="preserve">lululemon athletica: filed figures (USD, shares) from SEC EDGAR XBRL</t>
  </si>
  <si>
    <t xml:space="preserve">CIK 0001397187. For each fiscal year end, the value as presented in the latest 10-K that reports that period (so a recast comparative wins over the original); durations of 350 to 380 days only. The accession number is the filing the value was taken from.</t>
  </si>
  <si>
    <t xml:space="preserve">Item</t>
  </si>
  <si>
    <t xml:space="preserve">XBRL tag</t>
  </si>
  <si>
    <t xml:space="preserve">FY2021 accession</t>
  </si>
  <si>
    <t xml:space="preserve">FY2022 accession</t>
  </si>
  <si>
    <t xml:space="preserve">FY2023 accession</t>
  </si>
  <si>
    <t xml:space="preserve">FY2024 accession</t>
  </si>
  <si>
    <t xml:space="preserve">FY2025 accession</t>
  </si>
  <si>
    <t xml:space="preserve">revenue</t>
  </si>
  <si>
    <t xml:space="preserve">RevenueFromContractWithCustomerExcludingAssessedTax</t>
  </si>
  <si>
    <t xml:space="preserve">0001397187-24-000010</t>
  </si>
  <si>
    <t xml:space="preserve">0001397187-25-000013</t>
  </si>
  <si>
    <t xml:space="preserve">0001397187-26-000020</t>
  </si>
  <si>
    <t xml:space="preserve">cost_of_goods_sold</t>
  </si>
  <si>
    <t xml:space="preserve">CostOfGoodsAndServicesSold</t>
  </si>
  <si>
    <t xml:space="preserve">gross_profit</t>
  </si>
  <si>
    <t xml:space="preserve">GrossProfit</t>
  </si>
  <si>
    <t xml:space="preserve">sga</t>
  </si>
  <si>
    <t xml:space="preserve">SellingGeneralAndAdministrativeExpense</t>
  </si>
  <si>
    <t xml:space="preserve">impairment_and_restructuring</t>
  </si>
  <si>
    <t xml:space="preserve">RestructuringCostsAndAssetImpairmentCharges</t>
  </si>
  <si>
    <t xml:space="preserve">operating_income</t>
  </si>
  <si>
    <t xml:space="preserve">OperatingIncomeLoss</t>
  </si>
  <si>
    <t xml:space="preserve">pretax_income</t>
  </si>
  <si>
    <t xml:space="preserve">IncomeLossFromContinuingOperationsBeforeIncomeTaxesExtraordinaryItemsNoncontrollingInterest</t>
  </si>
  <si>
    <t xml:space="preserve">income_tax</t>
  </si>
  <si>
    <t xml:space="preserve">IncomeTaxExpenseBenefit</t>
  </si>
  <si>
    <t xml:space="preserve">net_income</t>
  </si>
  <si>
    <t xml:space="preserve">NetIncomeLoss</t>
  </si>
  <si>
    <t xml:space="preserve">depreciation_and_amortization</t>
  </si>
  <si>
    <t xml:space="preserve">DepreciationDepletionAndAmortization</t>
  </si>
  <si>
    <t xml:space="preserve">share_based_compensation</t>
  </si>
  <si>
    <t xml:space="preserve">ShareBasedCompensation</t>
  </si>
  <si>
    <t xml:space="preserve">cash_from_operations</t>
  </si>
  <si>
    <t xml:space="preserve">NetCashProvidedByUsedInOperatingActivities</t>
  </si>
  <si>
    <t xml:space="preserve">capital_expenditure</t>
  </si>
  <si>
    <t xml:space="preserve">PaymentsToAcquirePropertyPlantAndEquipment</t>
  </si>
  <si>
    <t xml:space="preserve">share_repurchases</t>
  </si>
  <si>
    <t xml:space="preserve">PaymentsForRepurchaseOfCommonStock</t>
  </si>
  <si>
    <t xml:space="preserve">diluted_shares</t>
  </si>
  <si>
    <t xml:space="preserve">WeightedAverageNumberOfDilutedSharesOutstanding</t>
  </si>
  <si>
    <t xml:space="preserve">cash</t>
  </si>
  <si>
    <t xml:space="preserve">CashCashEquivalentsRestrictedCashAndRestrictedCashEquivalents</t>
  </si>
  <si>
    <t xml:space="preserve">receivables</t>
  </si>
  <si>
    <t xml:space="preserve">ReceivablesNetCurrent</t>
  </si>
  <si>
    <t xml:space="preserve">0001397187-23-000012</t>
  </si>
  <si>
    <t xml:space="preserve">inventory</t>
  </si>
  <si>
    <t xml:space="preserve">InventoryNet</t>
  </si>
  <si>
    <t xml:space="preserve">prepaid_and_other_current</t>
  </si>
  <si>
    <t xml:space="preserve">PrepaidExpenseAndOtherAssetsCurrent</t>
  </si>
  <si>
    <t xml:space="preserve">accounts_payable</t>
  </si>
  <si>
    <t xml:space="preserve">AccountsPayableCurrent</t>
  </si>
  <si>
    <t xml:space="preserve">accrued_liabilities</t>
  </si>
  <si>
    <t xml:space="preserve">AccruedLiabilitiesCurrent</t>
  </si>
  <si>
    <t xml:space="preserve">income_taxes_payable</t>
  </si>
  <si>
    <t xml:space="preserve">AccruedIncomeTaxesCurrent</t>
  </si>
  <si>
    <t xml:space="preserve">lease_liabilities_current</t>
  </si>
  <si>
    <t xml:space="preserve">OperatingLeaseLiabilityCurrent</t>
  </si>
  <si>
    <t xml:space="preserve">lease_liabilities_noncurrent</t>
  </si>
  <si>
    <t xml:space="preserve">OperatingLeaseLiabilityNoncurrent</t>
  </si>
  <si>
    <t xml:space="preserve">Checks</t>
  </si>
  <si>
    <t xml:space="preserve">Each row is PASS or FAIL, computed by formula.</t>
  </si>
  <si>
    <t xml:space="preserve">Check</t>
  </si>
  <si>
    <t xml:space="preserve">Status</t>
  </si>
  <si>
    <t xml:space="preserve">FY2021: gross profit = revenue - cost of goods sold, as filed</t>
  </si>
  <si>
    <t xml:space="preserve">FY2021: net income = pre-tax income - income tax, as filed</t>
  </si>
  <si>
    <t xml:space="preserve">FY2022: gross profit = revenue - cost of goods sold, as filed</t>
  </si>
  <si>
    <t xml:space="preserve">FY2022: net income = pre-tax income - income tax, as filed</t>
  </si>
  <si>
    <t xml:space="preserve">FY2023: gross profit = revenue - cost of goods sold, as filed</t>
  </si>
  <si>
    <t xml:space="preserve">FY2023: net income = pre-tax income - income tax, as filed</t>
  </si>
  <si>
    <t xml:space="preserve">FY2024: gross profit = revenue - cost of goods sold, as filed</t>
  </si>
  <si>
    <t xml:space="preserve">FY2024: net income = pre-tax income - income tax, as filed</t>
  </si>
  <si>
    <t xml:space="preserve">FY2025: gross profit = revenue - cost of goods sold, as filed</t>
  </si>
  <si>
    <t xml:space="preserve">FY2025: net income = pre-tax income - income tax, as filed</t>
  </si>
  <si>
    <t xml:space="preserve">bear: enterprise value = PV of cash flows + PV of terminal value</t>
  </si>
  <si>
    <t xml:space="preserve">bear: WACC above terminal growth</t>
  </si>
  <si>
    <t xml:space="preserve">base: enterprise value = PV of cash flows + PV of terminal value</t>
  </si>
  <si>
    <t xml:space="preserve">base: WACC above terminal growth</t>
  </si>
  <si>
    <t xml:space="preserve">bull: enterprise value = PV of cash flows + PV of terminal value</t>
  </si>
  <si>
    <t xml:space="preserve">bull: WACC above terminal growth</t>
  </si>
  <si>
    <t xml:space="preserve">Bear &lt; base &lt; bull, per share</t>
  </si>
  <si>
    <t xml:space="preserve">Sensitivity: lower WACC is always worth more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</si>
</sst>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"/>
    <numFmt numFmtId="166" formatCode="#,##0.0,,;[RED]\(#,##0.0,,\);\–"/>
    <numFmt numFmtId="167" formatCode="0.0%;[RED]\-0.0%"/>
    <numFmt numFmtId="168" formatCode="0.0\x"/>
    <numFmt numFmtId="169" formatCode="0.00%;[RED]\-0.00%"/>
    <numFmt numFmtId="170" formatCode="0"/>
    <numFmt numFmtId="171" formatCode="yyyy\-mm\-dd"/>
    <numFmt numFmtId="172" formatCode="0.00"/>
    <numFmt numFmtId="173" formatCode="#,##0"/>
    <numFmt numFmtId="174" formatCode="0.000"/>
    <numFmt numFmtId="17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9E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A5" s="0" t="s">
        <v>5</v>
      </c>
      <c r="B5" s="4" t="n">
        <f aca="false">DCF_Bear!B36</f>
        <v>171.395846023722</v>
      </c>
      <c r="C5" s="4" t="n">
        <f aca="false">DCF_Base!B36</f>
        <v>277.876938715738</v>
      </c>
      <c r="D5" s="4" t="n">
        <f aca="false">DCF_Bull!B36</f>
        <v>369.167785914618</v>
      </c>
    </row>
    <row r="6" customFormat="false" ht="15" hidden="false" customHeight="false" outlineLevel="0" collapsed="false">
      <c r="A6" s="0" t="s">
        <v>6</v>
      </c>
      <c r="B6" s="5" t="n">
        <f aca="false">DCF_Bear!B31</f>
        <v>18005923330.8249</v>
      </c>
      <c r="C6" s="5" t="n">
        <f aca="false">DCF_Base!B31</f>
        <v>30314991979.8872</v>
      </c>
      <c r="D6" s="5" t="n">
        <f aca="false">DCF_Bull!B31</f>
        <v>40868089030.1987</v>
      </c>
    </row>
    <row r="7" customFormat="false" ht="15" hidden="false" customHeight="false" outlineLevel="0" collapsed="false">
      <c r="A7" s="0" t="s">
        <v>7</v>
      </c>
      <c r="B7" s="5" t="n">
        <f aca="false">DCF_Bear!B34</f>
        <v>19813125330.8249</v>
      </c>
      <c r="C7" s="5" t="n">
        <f aca="false">DCF_Base!B34</f>
        <v>32122193979.8872</v>
      </c>
      <c r="D7" s="5" t="n">
        <f aca="false">DCF_Bull!B34</f>
        <v>42675291030.1987</v>
      </c>
    </row>
    <row r="8" customFormat="false" ht="15" hidden="false" customHeight="false" outlineLevel="0" collapsed="false">
      <c r="A8" s="0" t="s">
        <v>8</v>
      </c>
      <c r="B8" s="6" t="n">
        <f aca="false">DCF_Bear!B37</f>
        <v>0.753222697937294</v>
      </c>
      <c r="C8" s="6" t="n">
        <f aca="false">DCF_Base!B37</f>
        <v>0.787027316191562</v>
      </c>
      <c r="D8" s="6" t="n">
        <f aca="false">DCF_Bull!B37</f>
        <v>0.811107196282816</v>
      </c>
    </row>
    <row r="9" customFormat="false" ht="15" hidden="false" customHeight="false" outlineLevel="0" collapsed="false">
      <c r="A9" s="0" t="s">
        <v>9</v>
      </c>
      <c r="B9" s="7" t="n">
        <f aca="false">DCF_Bear!B38</f>
        <v>8.11438567984065</v>
      </c>
      <c r="C9" s="7" t="n">
        <f aca="false">DCF_Base!B38</f>
        <v>9.88169993272034</v>
      </c>
      <c r="D9" s="7" t="n">
        <f aca="false">DCF_Bull!B38</f>
        <v>11.2313276093891</v>
      </c>
    </row>
    <row r="10" customFormat="false" ht="15" hidden="false" customHeight="false" outlineLevel="0" collapsed="false">
      <c r="A10" s="0" t="s">
        <v>10</v>
      </c>
      <c r="B10" s="8" t="n">
        <f aca="false">DCF_Bear!B24</f>
        <v>0.077234</v>
      </c>
      <c r="C10" s="8" t="n">
        <f aca="false">DCF_Base!B24</f>
        <v>0.077234</v>
      </c>
      <c r="D10" s="8" t="n">
        <f aca="false">DCF_Bull!B24</f>
        <v>0.077234</v>
      </c>
    </row>
    <row r="11" customFormat="false" ht="15" hidden="false" customHeight="false" outlineLevel="0" collapsed="false">
      <c r="A11" s="0" t="s">
        <v>11</v>
      </c>
      <c r="B11" s="8" t="n">
        <f aca="false">DCF_Bear!B25</f>
        <v>0.02</v>
      </c>
      <c r="C11" s="8" t="n">
        <f aca="false">DCF_Base!B25</f>
        <v>0.025</v>
      </c>
      <c r="D11" s="8" t="n">
        <f aca="false">DCF_Bull!B25</f>
        <v>0.03</v>
      </c>
    </row>
    <row r="14" customFormat="false" ht="15" hidden="false" customHeight="false" outlineLevel="0" collapsed="false">
      <c r="A14" s="9" t="s">
        <v>12</v>
      </c>
    </row>
    <row r="15" customFormat="false" ht="15" hidden="false" customHeight="false" outlineLevel="0" collapsed="false">
      <c r="A15" s="0" t="s">
        <v>13</v>
      </c>
      <c r="B15" s="5" t="n">
        <f aca="false">History!F5</f>
        <v>11102600000</v>
      </c>
    </row>
    <row r="16" customFormat="false" ht="15" hidden="false" customHeight="false" outlineLevel="0" collapsed="false">
      <c r="A16" s="0" t="s">
        <v>14</v>
      </c>
      <c r="B16" s="6" t="n">
        <f aca="false">History!F6</f>
        <v>0.0485897126649228</v>
      </c>
    </row>
    <row r="17" customFormat="false" ht="15" hidden="false" customHeight="false" outlineLevel="0" collapsed="false">
      <c r="A17" s="0" t="s">
        <v>15</v>
      </c>
      <c r="B17" s="6" t="n">
        <f aca="false">History!F9</f>
        <v>0.199107866625835</v>
      </c>
    </row>
    <row r="18" customFormat="false" ht="15" hidden="false" customHeight="false" outlineLevel="0" collapsed="false">
      <c r="A18" s="0" t="s">
        <v>16</v>
      </c>
      <c r="B18" s="6" t="n">
        <f aca="false">History!F15</f>
        <v>0.0958945652369715</v>
      </c>
    </row>
    <row r="20" customFormat="false" ht="15" hidden="false" customHeight="false" outlineLevel="0" collapsed="false">
      <c r="A20" s="0" t="s">
        <v>17</v>
      </c>
      <c r="B20" s="10" t="n">
        <f aca="false">Checks!B24</f>
        <v>18</v>
      </c>
      <c r="C20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</row>
    <row r="5" customFormat="false" ht="15" hidden="false" customHeight="false" outlineLevel="0" collapsed="false">
      <c r="A5" s="0" t="s">
        <v>24</v>
      </c>
      <c r="B5" s="12" t="n">
        <v>46098</v>
      </c>
      <c r="C5" s="11" t="s">
        <v>25</v>
      </c>
    </row>
    <row r="6" customFormat="false" ht="15" hidden="false" customHeight="false" outlineLevel="0" collapsed="false">
      <c r="A6" s="0" t="s">
        <v>26</v>
      </c>
      <c r="B6" s="12" t="n">
        <v>46236</v>
      </c>
      <c r="C6" s="11" t="s">
        <v>27</v>
      </c>
    </row>
    <row r="7" customFormat="false" ht="15" hidden="false" customHeight="false" outlineLevel="0" collapsed="false">
      <c r="A7" s="0" t="s">
        <v>28</v>
      </c>
      <c r="B7" s="13" t="n">
        <v>0.042</v>
      </c>
      <c r="C7" s="11" t="s">
        <v>29</v>
      </c>
    </row>
    <row r="8" customFormat="false" ht="15" hidden="false" customHeight="false" outlineLevel="0" collapsed="false">
      <c r="A8" s="0" t="s">
        <v>30</v>
      </c>
      <c r="B8" s="13" t="n">
        <v>0.0446</v>
      </c>
      <c r="C8" s="11" t="s">
        <v>31</v>
      </c>
    </row>
    <row r="9" customFormat="false" ht="15" hidden="false" customHeight="false" outlineLevel="0" collapsed="false">
      <c r="A9" s="0" t="s">
        <v>32</v>
      </c>
      <c r="B9" s="14" t="n">
        <v>0.79</v>
      </c>
      <c r="C9" s="11" t="s">
        <v>33</v>
      </c>
    </row>
    <row r="10" customFormat="false" ht="15" hidden="false" customHeight="false" outlineLevel="0" collapsed="false">
      <c r="A10" s="0" t="s">
        <v>34</v>
      </c>
      <c r="B10" s="14" t="n">
        <v>1</v>
      </c>
      <c r="C10" s="11" t="s">
        <v>35</v>
      </c>
    </row>
    <row r="11" customFormat="false" ht="15" hidden="false" customHeight="false" outlineLevel="0" collapsed="false">
      <c r="A11" s="0" t="s">
        <v>36</v>
      </c>
      <c r="B11" s="15" t="n">
        <v>0</v>
      </c>
      <c r="C11" s="11" t="s">
        <v>37</v>
      </c>
    </row>
    <row r="12" customFormat="false" ht="15" hidden="false" customHeight="false" outlineLevel="0" collapsed="false">
      <c r="A12" s="0" t="s">
        <v>38</v>
      </c>
      <c r="B12" s="15" t="n">
        <v>110482671</v>
      </c>
      <c r="C12" s="11" t="s">
        <v>39</v>
      </c>
    </row>
    <row r="13" customFormat="false" ht="15" hidden="false" customHeight="false" outlineLevel="0" collapsed="false">
      <c r="A13" s="0" t="s">
        <v>40</v>
      </c>
      <c r="B13" s="15" t="n">
        <v>5115961</v>
      </c>
      <c r="C13" s="11" t="s">
        <v>41</v>
      </c>
    </row>
    <row r="16" customFormat="false" ht="15" hidden="false" customHeight="false" outlineLevel="0" collapsed="false">
      <c r="A16" s="3" t="s">
        <v>42</v>
      </c>
      <c r="B16" s="3" t="s">
        <v>43</v>
      </c>
      <c r="C16" s="3" t="s">
        <v>2</v>
      </c>
      <c r="D16" s="3" t="s">
        <v>3</v>
      </c>
      <c r="E16" s="3" t="s">
        <v>4</v>
      </c>
    </row>
    <row r="17" customFormat="false" ht="15" hidden="false" customHeight="false" outlineLevel="0" collapsed="false">
      <c r="A17" s="0" t="s">
        <v>14</v>
      </c>
      <c r="B17" s="0" t="s">
        <v>44</v>
      </c>
      <c r="C17" s="16" t="n">
        <v>-0.01</v>
      </c>
      <c r="D17" s="16" t="n">
        <v>0.03</v>
      </c>
      <c r="E17" s="16" t="n">
        <v>0.06</v>
      </c>
    </row>
    <row r="18" customFormat="false" ht="15" hidden="false" customHeight="false" outlineLevel="0" collapsed="false">
      <c r="A18" s="0" t="s">
        <v>14</v>
      </c>
      <c r="B18" s="0" t="s">
        <v>45</v>
      </c>
      <c r="C18" s="16" t="n">
        <v>0.01</v>
      </c>
      <c r="D18" s="16" t="n">
        <v>0.05</v>
      </c>
      <c r="E18" s="16" t="n">
        <v>0.08</v>
      </c>
    </row>
    <row r="19" customFormat="false" ht="15" hidden="false" customHeight="false" outlineLevel="0" collapsed="false">
      <c r="A19" s="0" t="s">
        <v>14</v>
      </c>
      <c r="B19" s="0" t="s">
        <v>46</v>
      </c>
      <c r="C19" s="16" t="n">
        <v>0.02</v>
      </c>
      <c r="D19" s="16" t="n">
        <v>0.06</v>
      </c>
      <c r="E19" s="16" t="n">
        <v>0.09</v>
      </c>
    </row>
    <row r="20" customFormat="false" ht="15" hidden="false" customHeight="false" outlineLevel="0" collapsed="false">
      <c r="A20" s="0" t="s">
        <v>14</v>
      </c>
      <c r="B20" s="0" t="s">
        <v>47</v>
      </c>
      <c r="C20" s="16" t="n">
        <v>0.03</v>
      </c>
      <c r="D20" s="16" t="n">
        <v>0.06</v>
      </c>
      <c r="E20" s="16" t="n">
        <v>0.08</v>
      </c>
    </row>
    <row r="21" customFormat="false" ht="15" hidden="false" customHeight="false" outlineLevel="0" collapsed="false">
      <c r="A21" s="0" t="s">
        <v>14</v>
      </c>
      <c r="B21" s="0" t="s">
        <v>48</v>
      </c>
      <c r="C21" s="16" t="n">
        <v>0.03</v>
      </c>
      <c r="D21" s="16" t="n">
        <v>0.05</v>
      </c>
      <c r="E21" s="16" t="n">
        <v>0.07</v>
      </c>
    </row>
    <row r="22" customFormat="false" ht="15" hidden="false" customHeight="false" outlineLevel="0" collapsed="false">
      <c r="A22" s="0" t="s">
        <v>49</v>
      </c>
      <c r="B22" s="0" t="s">
        <v>44</v>
      </c>
      <c r="C22" s="16" t="n">
        <v>0.16</v>
      </c>
      <c r="D22" s="16" t="n">
        <v>0.185</v>
      </c>
      <c r="E22" s="16" t="n">
        <v>0.2</v>
      </c>
    </row>
    <row r="23" customFormat="false" ht="15" hidden="false" customHeight="false" outlineLevel="0" collapsed="false">
      <c r="A23" s="0" t="s">
        <v>49</v>
      </c>
      <c r="B23" s="0" t="s">
        <v>45</v>
      </c>
      <c r="C23" s="16" t="n">
        <v>0.155</v>
      </c>
      <c r="D23" s="16" t="n">
        <v>0.19</v>
      </c>
      <c r="E23" s="16" t="n">
        <v>0.21</v>
      </c>
    </row>
    <row r="24" customFormat="false" ht="15" hidden="false" customHeight="false" outlineLevel="0" collapsed="false">
      <c r="A24" s="0" t="s">
        <v>49</v>
      </c>
      <c r="B24" s="0" t="s">
        <v>46</v>
      </c>
      <c r="C24" s="16" t="n">
        <v>0.155</v>
      </c>
      <c r="D24" s="16" t="n">
        <v>0.195</v>
      </c>
      <c r="E24" s="16" t="n">
        <v>0.215</v>
      </c>
    </row>
    <row r="25" customFormat="false" ht="15" hidden="false" customHeight="false" outlineLevel="0" collapsed="false">
      <c r="A25" s="0" t="s">
        <v>49</v>
      </c>
      <c r="B25" s="0" t="s">
        <v>47</v>
      </c>
      <c r="C25" s="16" t="n">
        <v>0.155</v>
      </c>
      <c r="D25" s="16" t="n">
        <v>0.2</v>
      </c>
      <c r="E25" s="16" t="n">
        <v>0.22</v>
      </c>
    </row>
    <row r="26" customFormat="false" ht="15" hidden="false" customHeight="false" outlineLevel="0" collapsed="false">
      <c r="A26" s="0" t="s">
        <v>49</v>
      </c>
      <c r="B26" s="0" t="s">
        <v>48</v>
      </c>
      <c r="C26" s="16" t="n">
        <v>0.155</v>
      </c>
      <c r="D26" s="16" t="n">
        <v>0.2</v>
      </c>
      <c r="E26" s="16" t="n">
        <v>0.22</v>
      </c>
    </row>
    <row r="27" customFormat="false" ht="15" hidden="false" customHeight="false" outlineLevel="0" collapsed="false">
      <c r="A27" s="0" t="s">
        <v>50</v>
      </c>
      <c r="B27" s="0" t="s">
        <v>44</v>
      </c>
      <c r="C27" s="13" t="n">
        <v>0.06</v>
      </c>
      <c r="D27" s="13" t="n">
        <v>0.06</v>
      </c>
      <c r="E27" s="13" t="n">
        <v>0.06</v>
      </c>
    </row>
    <row r="28" customFormat="false" ht="15" hidden="false" customHeight="false" outlineLevel="0" collapsed="false">
      <c r="A28" s="0" t="s">
        <v>50</v>
      </c>
      <c r="B28" s="0" t="s">
        <v>45</v>
      </c>
      <c r="C28" s="13" t="n">
        <v>0.06</v>
      </c>
      <c r="D28" s="13" t="n">
        <v>0.06</v>
      </c>
      <c r="E28" s="13" t="n">
        <v>0.06</v>
      </c>
    </row>
    <row r="29" customFormat="false" ht="15" hidden="false" customHeight="false" outlineLevel="0" collapsed="false">
      <c r="A29" s="0" t="s">
        <v>50</v>
      </c>
      <c r="B29" s="0" t="s">
        <v>46</v>
      </c>
      <c r="C29" s="13" t="n">
        <v>0.06</v>
      </c>
      <c r="D29" s="13" t="n">
        <v>0.0575</v>
      </c>
      <c r="E29" s="13" t="n">
        <v>0.0575</v>
      </c>
    </row>
    <row r="30" customFormat="false" ht="15" hidden="false" customHeight="false" outlineLevel="0" collapsed="false">
      <c r="A30" s="0" t="s">
        <v>50</v>
      </c>
      <c r="B30" s="0" t="s">
        <v>47</v>
      </c>
      <c r="C30" s="13" t="n">
        <v>0.06</v>
      </c>
      <c r="D30" s="13" t="n">
        <v>0.055</v>
      </c>
      <c r="E30" s="13" t="n">
        <v>0.055</v>
      </c>
    </row>
    <row r="31" customFormat="false" ht="15" hidden="false" customHeight="false" outlineLevel="0" collapsed="false">
      <c r="A31" s="0" t="s">
        <v>50</v>
      </c>
      <c r="B31" s="0" t="s">
        <v>48</v>
      </c>
      <c r="C31" s="13" t="n">
        <v>0.06</v>
      </c>
      <c r="D31" s="13" t="n">
        <v>0.055</v>
      </c>
      <c r="E31" s="13" t="n">
        <v>0.055</v>
      </c>
    </row>
    <row r="32" customFormat="false" ht="15" hidden="false" customHeight="false" outlineLevel="0" collapsed="false">
      <c r="A32" s="0" t="s">
        <v>51</v>
      </c>
      <c r="B32" s="0" t="s">
        <v>52</v>
      </c>
      <c r="C32" s="13" t="n">
        <v>0.045</v>
      </c>
      <c r="D32" s="13" t="n">
        <v>0.045</v>
      </c>
      <c r="E32" s="13" t="n">
        <v>0.045</v>
      </c>
    </row>
    <row r="33" customFormat="false" ht="15" hidden="false" customHeight="false" outlineLevel="0" collapsed="false">
      <c r="A33" s="0" t="s">
        <v>16</v>
      </c>
      <c r="B33" s="0" t="s">
        <v>52</v>
      </c>
      <c r="C33" s="16" t="n">
        <v>0.1</v>
      </c>
      <c r="D33" s="16" t="n">
        <v>0.09</v>
      </c>
      <c r="E33" s="16" t="n">
        <v>0.085</v>
      </c>
    </row>
    <row r="34" customFormat="false" ht="15" hidden="false" customHeight="false" outlineLevel="0" collapsed="false">
      <c r="A34" s="0" t="s">
        <v>53</v>
      </c>
      <c r="B34" s="0" t="s">
        <v>52</v>
      </c>
      <c r="C34" s="16" t="n">
        <v>0.295</v>
      </c>
      <c r="D34" s="16" t="n">
        <v>0.295</v>
      </c>
      <c r="E34" s="16" t="n">
        <v>0.295</v>
      </c>
    </row>
    <row r="35" customFormat="false" ht="15" hidden="false" customHeight="false" outlineLevel="0" collapsed="false">
      <c r="A35" s="0" t="s">
        <v>11</v>
      </c>
      <c r="B35" s="0" t="s">
        <v>52</v>
      </c>
      <c r="C35" s="13" t="n">
        <v>0.02</v>
      </c>
      <c r="D35" s="13" t="n">
        <v>0.025</v>
      </c>
      <c r="E35" s="13" t="n">
        <v>0.03</v>
      </c>
    </row>
    <row r="36" customFormat="false" ht="15" hidden="false" customHeight="false" outlineLevel="0" collapsed="false">
      <c r="A36" s="0" t="s">
        <v>54</v>
      </c>
      <c r="B36" s="0" t="s">
        <v>52</v>
      </c>
      <c r="C36" s="16" t="n">
        <v>0.12</v>
      </c>
      <c r="D36" s="16" t="n">
        <v>0.2</v>
      </c>
      <c r="E36" s="16" t="n">
        <v>0.25</v>
      </c>
    </row>
    <row r="38" customFormat="false" ht="15" hidden="false" customHeight="false" outlineLevel="0" collapsed="false">
      <c r="A38" s="9" t="s">
        <v>55</v>
      </c>
    </row>
    <row r="39" customFormat="false" ht="15" hidden="false" customHeight="false" outlineLevel="0" collapsed="false">
      <c r="A39" s="0" t="s">
        <v>2</v>
      </c>
      <c r="B39" s="0" t="s">
        <v>56</v>
      </c>
    </row>
    <row r="40" customFormat="false" ht="15" hidden="false" customHeight="false" outlineLevel="0" collapsed="false">
      <c r="A40" s="0" t="s">
        <v>3</v>
      </c>
      <c r="B40" s="0" t="s">
        <v>57</v>
      </c>
    </row>
    <row r="41" customFormat="false" ht="15" hidden="false" customHeight="false" outlineLevel="0" collapsed="false">
      <c r="A41" s="0" t="s">
        <v>4</v>
      </c>
      <c r="B41" s="0" t="s">
        <v>58</v>
      </c>
    </row>
    <row r="44" customFormat="false" ht="15" hidden="false" customHeight="false" outlineLevel="0" collapsed="false">
      <c r="A44" s="9" t="s">
        <v>59</v>
      </c>
    </row>
    <row r="45" customFormat="false" ht="15" hidden="false" customHeight="false" outlineLevel="0" collapsed="false">
      <c r="A45" s="0" t="s">
        <v>60</v>
      </c>
      <c r="B45" s="13" t="n">
        <v>0.065</v>
      </c>
      <c r="C45" s="13" t="n">
        <v>0.07</v>
      </c>
      <c r="D45" s="13" t="n">
        <v>0.075</v>
      </c>
      <c r="E45" s="13" t="n">
        <v>0.08</v>
      </c>
      <c r="F45" s="13" t="n">
        <v>0.085</v>
      </c>
      <c r="G45" s="13" t="n">
        <v>0.09</v>
      </c>
      <c r="H45" s="13" t="n">
        <v>0.095</v>
      </c>
      <c r="I45" s="13" t="n">
        <v>0.1</v>
      </c>
    </row>
    <row r="46" customFormat="false" ht="15" hidden="false" customHeight="false" outlineLevel="0" collapsed="false">
      <c r="A46" s="0" t="s">
        <v>11</v>
      </c>
      <c r="B46" s="13" t="n">
        <v>0.015</v>
      </c>
      <c r="C46" s="13" t="n">
        <v>0.02</v>
      </c>
      <c r="D46" s="13" t="n">
        <v>0.025</v>
      </c>
      <c r="E46" s="13" t="n">
        <v>0.03</v>
      </c>
      <c r="F46" s="13" t="n">
        <v>0.035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/>
      <c r="B4" s="3" t="s">
        <v>63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</row>
    <row r="5" customFormat="false" ht="15" hidden="false" customHeight="false" outlineLevel="0" collapsed="false">
      <c r="A5" s="0" t="s">
        <v>64</v>
      </c>
      <c r="B5" s="5" t="n">
        <f aca="false">History!F5</f>
        <v>11102600000</v>
      </c>
      <c r="C5" s="5" t="n">
        <f aca="false">B5*(1+Inputs!$D$17)</f>
        <v>11435678000</v>
      </c>
      <c r="D5" s="5" t="n">
        <f aca="false">C5*(1+Inputs!$D$18)</f>
        <v>12007461900</v>
      </c>
      <c r="E5" s="5" t="n">
        <f aca="false">D5*(1+Inputs!$D$19)</f>
        <v>12727909614</v>
      </c>
      <c r="F5" s="5" t="n">
        <f aca="false">E5*(1+Inputs!$D$20)</f>
        <v>13491584190.84</v>
      </c>
      <c r="G5" s="5" t="n">
        <f aca="false">F5*(1+Inputs!$D$21)</f>
        <v>14166163400.382</v>
      </c>
    </row>
    <row r="6" customFormat="false" ht="15" hidden="false" customHeight="false" outlineLevel="0" collapsed="false">
      <c r="A6" s="0" t="s">
        <v>14</v>
      </c>
      <c r="C6" s="6" t="n">
        <f aca="false">C5/B5-1</f>
        <v>0.03</v>
      </c>
      <c r="D6" s="6" t="n">
        <f aca="false">D5/C5-1</f>
        <v>0.05</v>
      </c>
      <c r="E6" s="6" t="n">
        <f aca="false">E5/D5-1</f>
        <v>0.0600000000000001</v>
      </c>
      <c r="F6" s="6" t="n">
        <f aca="false">F5/E5-1</f>
        <v>0.0600000000000001</v>
      </c>
      <c r="G6" s="6" t="n">
        <f aca="false">G5/F5-1</f>
        <v>0.05</v>
      </c>
    </row>
    <row r="7" customFormat="false" ht="15" hidden="false" customHeight="false" outlineLevel="0" collapsed="false">
      <c r="A7" s="0" t="s">
        <v>65</v>
      </c>
      <c r="B7" s="5" t="n">
        <f aca="false">History!F8</f>
        <v>2210615000</v>
      </c>
      <c r="C7" s="5" t="n">
        <f aca="false">C5*Inputs!$D$22</f>
        <v>2115600430</v>
      </c>
      <c r="D7" s="5" t="n">
        <f aca="false">D5*Inputs!$D$23</f>
        <v>2281417761</v>
      </c>
      <c r="E7" s="5" t="n">
        <f aca="false">E5*Inputs!$D$24</f>
        <v>2481942374.73</v>
      </c>
      <c r="F7" s="5" t="n">
        <f aca="false">F5*Inputs!$D$25</f>
        <v>2698316838.168</v>
      </c>
      <c r="G7" s="5" t="n">
        <f aca="false">G5*Inputs!$D$26</f>
        <v>2833232680.0764</v>
      </c>
    </row>
    <row r="8" customFormat="false" ht="15" hidden="false" customHeight="false" outlineLevel="0" collapsed="false">
      <c r="A8" s="0" t="s">
        <v>15</v>
      </c>
      <c r="B8" s="6" t="n">
        <f aca="false">B7/B5</f>
        <v>0.199107866625835</v>
      </c>
      <c r="C8" s="6" t="n">
        <f aca="false">C7/C5</f>
        <v>0.185</v>
      </c>
      <c r="D8" s="6" t="n">
        <f aca="false">D7/D5</f>
        <v>0.19</v>
      </c>
      <c r="E8" s="6" t="n">
        <f aca="false">E7/E5</f>
        <v>0.195</v>
      </c>
      <c r="F8" s="6" t="n">
        <f aca="false">F7/F5</f>
        <v>0.2</v>
      </c>
      <c r="G8" s="6" t="n">
        <f aca="false">G7/G5</f>
        <v>0.2</v>
      </c>
    </row>
    <row r="9" customFormat="false" ht="15" hidden="false" customHeight="false" outlineLevel="0" collapsed="false">
      <c r="A9" s="0" t="s">
        <v>66</v>
      </c>
      <c r="C9" s="5" t="n">
        <f aca="false">-C7*Inputs!$D$34</f>
        <v>-624102126.85</v>
      </c>
      <c r="D9" s="5" t="n">
        <f aca="false">-D7*Inputs!$D$34</f>
        <v>-673018239.495</v>
      </c>
      <c r="E9" s="5" t="n">
        <f aca="false">-E7*Inputs!$D$34</f>
        <v>-732173000.54535</v>
      </c>
      <c r="F9" s="5" t="n">
        <f aca="false">-F7*Inputs!$D$34</f>
        <v>-796003467.25956</v>
      </c>
      <c r="G9" s="5" t="n">
        <f aca="false">-G7*Inputs!$D$34</f>
        <v>-835803640.622538</v>
      </c>
    </row>
    <row r="10" customFormat="false" ht="15" hidden="false" customHeight="false" outlineLevel="0" collapsed="false">
      <c r="A10" s="0" t="s">
        <v>67</v>
      </c>
      <c r="C10" s="5" t="n">
        <f aca="false">C7+C9</f>
        <v>1491498303.15</v>
      </c>
      <c r="D10" s="5" t="n">
        <f aca="false">D7+D9</f>
        <v>1608399521.505</v>
      </c>
      <c r="E10" s="5" t="n">
        <f aca="false">E7+E9</f>
        <v>1749769374.18465</v>
      </c>
      <c r="F10" s="5" t="n">
        <f aca="false">F7+F9</f>
        <v>1902313370.90844</v>
      </c>
      <c r="G10" s="5" t="n">
        <f aca="false">G7+G9</f>
        <v>1997429039.45386</v>
      </c>
    </row>
    <row r="11" customFormat="false" ht="15" hidden="false" customHeight="false" outlineLevel="0" collapsed="false">
      <c r="A11" s="0" t="s">
        <v>68</v>
      </c>
      <c r="C11" s="5" t="n">
        <f aca="false">C5*Inputs!$D$32</f>
        <v>514605510</v>
      </c>
      <c r="D11" s="5" t="n">
        <f aca="false">D5*Inputs!$D$32</f>
        <v>540335785.5</v>
      </c>
      <c r="E11" s="5" t="n">
        <f aca="false">E5*Inputs!$D$32</f>
        <v>572755932.63</v>
      </c>
      <c r="F11" s="5" t="n">
        <f aca="false">F5*Inputs!$D$32</f>
        <v>607121288.5878</v>
      </c>
      <c r="G11" s="5" t="n">
        <f aca="false">G5*Inputs!$D$32</f>
        <v>637477353.01719</v>
      </c>
    </row>
    <row r="12" customFormat="false" ht="15" hidden="false" customHeight="false" outlineLevel="0" collapsed="false">
      <c r="A12" s="0" t="s">
        <v>69</v>
      </c>
      <c r="C12" s="5" t="n">
        <f aca="false">-C5*Inputs!$D$27</f>
        <v>-686140680</v>
      </c>
      <c r="D12" s="5" t="n">
        <f aca="false">-D5*Inputs!$D$28</f>
        <v>-720447714</v>
      </c>
      <c r="E12" s="5" t="n">
        <f aca="false">-E5*Inputs!$D$29</f>
        <v>-731854802.805</v>
      </c>
      <c r="F12" s="5" t="n">
        <f aca="false">-F5*Inputs!$D$30</f>
        <v>-742037130.4962</v>
      </c>
      <c r="G12" s="5" t="n">
        <f aca="false">-G5*Inputs!$D$31</f>
        <v>-779138987.02101</v>
      </c>
    </row>
    <row r="13" customFormat="false" ht="15" hidden="false" customHeight="false" outlineLevel="0" collapsed="false">
      <c r="A13" s="0" t="s">
        <v>70</v>
      </c>
      <c r="B13" s="5" t="n">
        <f aca="false">History!F14</f>
        <v>1064679000</v>
      </c>
      <c r="C13" s="5" t="n">
        <f aca="false">C5*Inputs!$D$33</f>
        <v>1029211020</v>
      </c>
      <c r="D13" s="5" t="n">
        <f aca="false">D5*Inputs!$D$33</f>
        <v>1080671571</v>
      </c>
      <c r="E13" s="5" t="n">
        <f aca="false">E5*Inputs!$D$33</f>
        <v>1145511865.26</v>
      </c>
      <c r="F13" s="5" t="n">
        <f aca="false">F5*Inputs!$D$33</f>
        <v>1214242577.1756</v>
      </c>
      <c r="G13" s="5" t="n">
        <f aca="false">G5*Inputs!$D$33</f>
        <v>1274954706.03438</v>
      </c>
    </row>
    <row r="14" customFormat="false" ht="15" hidden="false" customHeight="false" outlineLevel="0" collapsed="false">
      <c r="A14" s="0" t="s">
        <v>71</v>
      </c>
      <c r="C14" s="5" t="n">
        <f aca="false">-(C13-B13)</f>
        <v>35467980</v>
      </c>
      <c r="D14" s="5" t="n">
        <f aca="false">-(D13-C13)</f>
        <v>-51460551</v>
      </c>
      <c r="E14" s="5" t="n">
        <f aca="false">-(E13-D13)</f>
        <v>-64840294.26</v>
      </c>
      <c r="F14" s="5" t="n">
        <f aca="false">-(F13-E13)</f>
        <v>-68730711.9156001</v>
      </c>
      <c r="G14" s="5" t="n">
        <f aca="false">-(G13-F13)</f>
        <v>-60712128.8587799</v>
      </c>
    </row>
    <row r="15" customFormat="false" ht="15" hidden="false" customHeight="false" outlineLevel="0" collapsed="false">
      <c r="A15" s="0" t="s">
        <v>72</v>
      </c>
      <c r="C15" s="17" t="n">
        <f aca="false">C10+C11+C12+C14</f>
        <v>1355431113.15</v>
      </c>
      <c r="D15" s="17" t="n">
        <f aca="false">D10+D11+D12+D14</f>
        <v>1376827042.005</v>
      </c>
      <c r="E15" s="17" t="n">
        <f aca="false">E10+E11+E12+E14</f>
        <v>1525830209.74965</v>
      </c>
      <c r="F15" s="17" t="n">
        <f aca="false">F10+F11+F12+F14</f>
        <v>1698666817.08444</v>
      </c>
      <c r="G15" s="17" t="n">
        <f aca="false">G10+G11+G12+G14</f>
        <v>1795055276.59126</v>
      </c>
    </row>
    <row r="16" customFormat="false" ht="15" hidden="false" customHeight="false" outlineLevel="0" collapsed="false">
      <c r="A16" s="0" t="s">
        <v>73</v>
      </c>
      <c r="C16" s="18" t="n">
        <f aca="false">(Inputs!$B$6-Inputs!$B$5)/365.25+0</f>
        <v>0.37782340862423</v>
      </c>
      <c r="D16" s="18" t="n">
        <f aca="false">(Inputs!$B$6-Inputs!$B$5)/365.25+1</f>
        <v>1.37782340862423</v>
      </c>
      <c r="E16" s="18" t="n">
        <f aca="false">(Inputs!$B$6-Inputs!$B$5)/365.25+2</f>
        <v>2.37782340862423</v>
      </c>
      <c r="F16" s="18" t="n">
        <f aca="false">(Inputs!$B$6-Inputs!$B$5)/365.25+3</f>
        <v>3.37782340862423</v>
      </c>
      <c r="G16" s="18" t="n">
        <f aca="false">(Inputs!$B$6-Inputs!$B$5)/365.25+4</f>
        <v>4.37782340862423</v>
      </c>
    </row>
    <row r="17" customFormat="false" ht="15" hidden="false" customHeight="false" outlineLevel="0" collapsed="false">
      <c r="A17" s="0" t="s">
        <v>74</v>
      </c>
      <c r="C17" s="19" t="n">
        <f aca="false">1/(1+$B$24)^C16</f>
        <v>0.972282582616406</v>
      </c>
      <c r="D17" s="19" t="n">
        <f aca="false">1/(1+$B$24)^D16</f>
        <v>0.902573240926676</v>
      </c>
      <c r="E17" s="19" t="n">
        <f aca="false">1/(1+$B$24)^E16</f>
        <v>0.837861821040438</v>
      </c>
      <c r="F17" s="19" t="n">
        <f aca="false">1/(1+$B$24)^F16</f>
        <v>0.777789989027861</v>
      </c>
      <c r="G17" s="19" t="n">
        <f aca="false">1/(1+$B$24)^G16</f>
        <v>0.722025102278484</v>
      </c>
    </row>
    <row r="18" customFormat="false" ht="15" hidden="false" customHeight="false" outlineLevel="0" collapsed="false">
      <c r="A18" s="0" t="s">
        <v>75</v>
      </c>
      <c r="C18" s="5" t="n">
        <f aca="false">C15*C17</f>
        <v>1317862063.25211</v>
      </c>
      <c r="D18" s="5" t="n">
        <f aca="false">D15*D17</f>
        <v>1242687245.49794</v>
      </c>
      <c r="E18" s="5" t="n">
        <f aca="false">E15*E17</f>
        <v>1278434878.13936</v>
      </c>
      <c r="F18" s="5" t="n">
        <f aca="false">F15*F17</f>
        <v>1321206045.0221</v>
      </c>
      <c r="G18" s="5" t="n">
        <f aca="false">G15*G17</f>
        <v>1296074969.67634</v>
      </c>
    </row>
    <row r="24" customFormat="false" ht="15" hidden="false" customHeight="false" outlineLevel="0" collapsed="false">
      <c r="A24" s="0" t="s">
        <v>76</v>
      </c>
      <c r="B24" s="8" t="n">
        <f aca="false">Inputs!$B$7+Inputs!$B$9*Inputs!$B$8</f>
        <v>0.077234</v>
      </c>
    </row>
    <row r="25" customFormat="false" ht="15" hidden="false" customHeight="false" outlineLevel="0" collapsed="false">
      <c r="A25" s="0" t="s">
        <v>11</v>
      </c>
      <c r="B25" s="8" t="n">
        <f aca="false">Inputs!$D$35</f>
        <v>0.025</v>
      </c>
    </row>
    <row r="26" customFormat="false" ht="15" hidden="false" customHeight="false" outlineLevel="0" collapsed="false">
      <c r="A26" s="0" t="s">
        <v>54</v>
      </c>
      <c r="B26" s="6" t="n">
        <f aca="false">Inputs!$D$36</f>
        <v>0.2</v>
      </c>
    </row>
    <row r="27" customFormat="false" ht="15" hidden="false" customHeight="false" outlineLevel="0" collapsed="false">
      <c r="A27" s="0" t="s">
        <v>77</v>
      </c>
      <c r="B27" s="5" t="n">
        <f aca="false">G7*(1+B25)*(1-Inputs!$D$34)</f>
        <v>2047364765.44021</v>
      </c>
    </row>
    <row r="28" customFormat="false" ht="15" hidden="false" customHeight="false" outlineLevel="0" collapsed="false">
      <c r="A28" s="0" t="s">
        <v>78</v>
      </c>
      <c r="B28" s="5" t="n">
        <f aca="false">B27*(1-B25/B26)/(B24-B25)</f>
        <v>34296515100.5127</v>
      </c>
    </row>
    <row r="29" customFormat="false" ht="15" hidden="false" customHeight="false" outlineLevel="0" collapsed="false">
      <c r="A29" s="0" t="s">
        <v>79</v>
      </c>
      <c r="B29" s="5" t="n">
        <f aca="false">B28/(1+B24)^(G16+0.5)</f>
        <v>23858726778.2994</v>
      </c>
    </row>
    <row r="30" customFormat="false" ht="15" hidden="false" customHeight="false" outlineLevel="0" collapsed="false">
      <c r="A30" s="0" t="s">
        <v>80</v>
      </c>
      <c r="B30" s="5" t="n">
        <f aca="false">SUM(C18:G18)</f>
        <v>6456265201.58785</v>
      </c>
    </row>
    <row r="31" customFormat="false" ht="15" hidden="false" customHeight="false" outlineLevel="0" collapsed="false">
      <c r="A31" s="0" t="s">
        <v>81</v>
      </c>
      <c r="B31" s="17" t="n">
        <f aca="false">B29+B30</f>
        <v>30314991979.8872</v>
      </c>
    </row>
    <row r="32" customFormat="false" ht="15" hidden="false" customHeight="false" outlineLevel="0" collapsed="false">
      <c r="A32" s="0" t="s">
        <v>82</v>
      </c>
      <c r="B32" s="5" t="n">
        <f aca="false">Data_EDGAR!$G$20</f>
        <v>1807202000</v>
      </c>
    </row>
    <row r="33" customFormat="false" ht="15" hidden="false" customHeight="false" outlineLevel="0" collapsed="false">
      <c r="A33" s="0" t="s">
        <v>36</v>
      </c>
      <c r="B33" s="5" t="n">
        <f aca="false">-Inputs!$B$11</f>
        <v>-0</v>
      </c>
    </row>
    <row r="34" customFormat="false" ht="15" hidden="false" customHeight="false" outlineLevel="0" collapsed="false">
      <c r="A34" s="0" t="s">
        <v>83</v>
      </c>
      <c r="B34" s="17" t="n">
        <f aca="false">B31+B32+B33</f>
        <v>32122193979.8872</v>
      </c>
    </row>
    <row r="35" customFormat="false" ht="15" hidden="false" customHeight="false" outlineLevel="0" collapsed="false">
      <c r="A35" s="0" t="s">
        <v>84</v>
      </c>
      <c r="B35" s="20" t="n">
        <f aca="false">Inputs!$B$12+Inputs!$B$13</f>
        <v>115598632</v>
      </c>
    </row>
    <row r="36" customFormat="false" ht="15" hidden="false" customHeight="false" outlineLevel="0" collapsed="false">
      <c r="A36" s="0" t="s">
        <v>5</v>
      </c>
      <c r="B36" s="4" t="n">
        <f aca="false">B34/B35</f>
        <v>277.876938715738</v>
      </c>
    </row>
    <row r="37" customFormat="false" ht="15" hidden="false" customHeight="false" outlineLevel="0" collapsed="false">
      <c r="A37" s="0" t="s">
        <v>85</v>
      </c>
      <c r="B37" s="6" t="n">
        <f aca="false">B29/B31</f>
        <v>0.787027316191562</v>
      </c>
    </row>
    <row r="38" customFormat="false" ht="15" hidden="false" customHeight="false" outlineLevel="0" collapsed="false">
      <c r="A38" s="0" t="s">
        <v>86</v>
      </c>
      <c r="B38" s="7" t="n">
        <f aca="false">B28/(G7+G11)</f>
        <v>9.88169993272034</v>
      </c>
    </row>
    <row r="39" customFormat="false" ht="15" hidden="false" customHeight="false" outlineLevel="0" collapsed="false">
      <c r="A39" s="0" t="s">
        <v>87</v>
      </c>
      <c r="B39" s="7" t="n">
        <f aca="false">B31/Data_EDGAR!$G$10</f>
        <v>13.7133747757467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/>
      <c r="B4" s="3" t="s">
        <v>63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</row>
    <row r="5" customFormat="false" ht="15" hidden="false" customHeight="false" outlineLevel="0" collapsed="false">
      <c r="A5" s="0" t="s">
        <v>64</v>
      </c>
      <c r="B5" s="5" t="n">
        <f aca="false">History!F5</f>
        <v>11102600000</v>
      </c>
      <c r="C5" s="5" t="n">
        <f aca="false">B5*(1+Inputs!$C$17)</f>
        <v>10991574000</v>
      </c>
      <c r="D5" s="5" t="n">
        <f aca="false">C5*(1+Inputs!$C$18)</f>
        <v>11101489740</v>
      </c>
      <c r="E5" s="5" t="n">
        <f aca="false">D5*(1+Inputs!$C$19)</f>
        <v>11323519534.8</v>
      </c>
      <c r="F5" s="5" t="n">
        <f aca="false">E5*(1+Inputs!$C$20)</f>
        <v>11663225120.844</v>
      </c>
      <c r="G5" s="5" t="n">
        <f aca="false">F5*(1+Inputs!$C$21)</f>
        <v>12013121874.4693</v>
      </c>
    </row>
    <row r="6" customFormat="false" ht="15" hidden="false" customHeight="false" outlineLevel="0" collapsed="false">
      <c r="A6" s="0" t="s">
        <v>14</v>
      </c>
      <c r="C6" s="6" t="n">
        <f aca="false">C5/B5-1</f>
        <v>-0.01</v>
      </c>
      <c r="D6" s="6" t="n">
        <f aca="false">D5/C5-1</f>
        <v>0.01</v>
      </c>
      <c r="E6" s="6" t="n">
        <f aca="false">E5/D5-1</f>
        <v>0.02</v>
      </c>
      <c r="F6" s="6" t="n">
        <f aca="false">F5/E5-1</f>
        <v>0.03</v>
      </c>
      <c r="G6" s="6" t="n">
        <f aca="false">G5/F5-1</f>
        <v>0.03</v>
      </c>
    </row>
    <row r="7" customFormat="false" ht="15" hidden="false" customHeight="false" outlineLevel="0" collapsed="false">
      <c r="A7" s="0" t="s">
        <v>65</v>
      </c>
      <c r="B7" s="5" t="n">
        <f aca="false">History!F8</f>
        <v>2210615000</v>
      </c>
      <c r="C7" s="5" t="n">
        <f aca="false">C5*Inputs!$C$22</f>
        <v>1758651840</v>
      </c>
      <c r="D7" s="5" t="n">
        <f aca="false">D5*Inputs!$C$23</f>
        <v>1720730909.7</v>
      </c>
      <c r="E7" s="5" t="n">
        <f aca="false">E5*Inputs!$C$24</f>
        <v>1755145527.894</v>
      </c>
      <c r="F7" s="5" t="n">
        <f aca="false">F5*Inputs!$C$25</f>
        <v>1807799893.73082</v>
      </c>
      <c r="G7" s="5" t="n">
        <f aca="false">G5*Inputs!$C$26</f>
        <v>1862033890.54274</v>
      </c>
    </row>
    <row r="8" customFormat="false" ht="15" hidden="false" customHeight="false" outlineLevel="0" collapsed="false">
      <c r="A8" s="0" t="s">
        <v>15</v>
      </c>
      <c r="B8" s="6" t="n">
        <f aca="false">B7/B5</f>
        <v>0.199107866625835</v>
      </c>
      <c r="C8" s="6" t="n">
        <f aca="false">C7/C5</f>
        <v>0.16</v>
      </c>
      <c r="D8" s="6" t="n">
        <f aca="false">D7/D5</f>
        <v>0.155</v>
      </c>
      <c r="E8" s="6" t="n">
        <f aca="false">E7/E5</f>
        <v>0.155</v>
      </c>
      <c r="F8" s="6" t="n">
        <f aca="false">F7/F5</f>
        <v>0.155</v>
      </c>
      <c r="G8" s="6" t="n">
        <f aca="false">G7/G5</f>
        <v>0.155</v>
      </c>
    </row>
    <row r="9" customFormat="false" ht="15" hidden="false" customHeight="false" outlineLevel="0" collapsed="false">
      <c r="A9" s="0" t="s">
        <v>66</v>
      </c>
      <c r="C9" s="5" t="n">
        <f aca="false">-C7*Inputs!$C$34</f>
        <v>-518802292.8</v>
      </c>
      <c r="D9" s="5" t="n">
        <f aca="false">-D7*Inputs!$C$34</f>
        <v>-507615618.3615</v>
      </c>
      <c r="E9" s="5" t="n">
        <f aca="false">-E7*Inputs!$C$34</f>
        <v>-517767930.72873</v>
      </c>
      <c r="F9" s="5" t="n">
        <f aca="false">-F7*Inputs!$C$34</f>
        <v>-533300968.650592</v>
      </c>
      <c r="G9" s="5" t="n">
        <f aca="false">-G7*Inputs!$C$34</f>
        <v>-549299997.71011</v>
      </c>
    </row>
    <row r="10" customFormat="false" ht="15" hidden="false" customHeight="false" outlineLevel="0" collapsed="false">
      <c r="A10" s="0" t="s">
        <v>67</v>
      </c>
      <c r="C10" s="5" t="n">
        <f aca="false">C7+C9</f>
        <v>1239849547.2</v>
      </c>
      <c r="D10" s="5" t="n">
        <f aca="false">D7+D9</f>
        <v>1213115291.3385</v>
      </c>
      <c r="E10" s="5" t="n">
        <f aca="false">E7+E9</f>
        <v>1237377597.16527</v>
      </c>
      <c r="F10" s="5" t="n">
        <f aca="false">F7+F9</f>
        <v>1274498925.08023</v>
      </c>
      <c r="G10" s="5" t="n">
        <f aca="false">G7+G9</f>
        <v>1312733892.83264</v>
      </c>
    </row>
    <row r="11" customFormat="false" ht="15" hidden="false" customHeight="false" outlineLevel="0" collapsed="false">
      <c r="A11" s="0" t="s">
        <v>68</v>
      </c>
      <c r="C11" s="5" t="n">
        <f aca="false">C5*Inputs!$C$32</f>
        <v>494620830</v>
      </c>
      <c r="D11" s="5" t="n">
        <f aca="false">D5*Inputs!$C$32</f>
        <v>499567038.3</v>
      </c>
      <c r="E11" s="5" t="n">
        <f aca="false">E5*Inputs!$C$32</f>
        <v>509558379.066</v>
      </c>
      <c r="F11" s="5" t="n">
        <f aca="false">F5*Inputs!$C$32</f>
        <v>524845130.43798</v>
      </c>
      <c r="G11" s="5" t="n">
        <f aca="false">G5*Inputs!$C$32</f>
        <v>540590484.35112</v>
      </c>
    </row>
    <row r="12" customFormat="false" ht="15" hidden="false" customHeight="false" outlineLevel="0" collapsed="false">
      <c r="A12" s="0" t="s">
        <v>69</v>
      </c>
      <c r="C12" s="5" t="n">
        <f aca="false">-C5*Inputs!$C$27</f>
        <v>-659494440</v>
      </c>
      <c r="D12" s="5" t="n">
        <f aca="false">-D5*Inputs!$C$28</f>
        <v>-666089384.4</v>
      </c>
      <c r="E12" s="5" t="n">
        <f aca="false">-E5*Inputs!$C$29</f>
        <v>-679411172.088</v>
      </c>
      <c r="F12" s="5" t="n">
        <f aca="false">-F5*Inputs!$C$30</f>
        <v>-699793507.25064</v>
      </c>
      <c r="G12" s="5" t="n">
        <f aca="false">-G5*Inputs!$C$31</f>
        <v>-720787312.468159</v>
      </c>
    </row>
    <row r="13" customFormat="false" ht="15" hidden="false" customHeight="false" outlineLevel="0" collapsed="false">
      <c r="A13" s="0" t="s">
        <v>70</v>
      </c>
      <c r="B13" s="5" t="n">
        <f aca="false">History!F14</f>
        <v>1064679000</v>
      </c>
      <c r="C13" s="5" t="n">
        <f aca="false">C5*Inputs!$C$33</f>
        <v>1099157400</v>
      </c>
      <c r="D13" s="5" t="n">
        <f aca="false">D5*Inputs!$C$33</f>
        <v>1110148974</v>
      </c>
      <c r="E13" s="5" t="n">
        <f aca="false">E5*Inputs!$C$33</f>
        <v>1132351953.48</v>
      </c>
      <c r="F13" s="5" t="n">
        <f aca="false">F5*Inputs!$C$33</f>
        <v>1166322512.0844</v>
      </c>
      <c r="G13" s="5" t="n">
        <f aca="false">G5*Inputs!$C$33</f>
        <v>1201312187.44693</v>
      </c>
    </row>
    <row r="14" customFormat="false" ht="15" hidden="false" customHeight="false" outlineLevel="0" collapsed="false">
      <c r="A14" s="0" t="s">
        <v>71</v>
      </c>
      <c r="C14" s="5" t="n">
        <f aca="false">-(C13-B13)</f>
        <v>-34478400</v>
      </c>
      <c r="D14" s="5" t="n">
        <f aca="false">-(D13-C13)</f>
        <v>-10991574</v>
      </c>
      <c r="E14" s="5" t="n">
        <f aca="false">-(E13-D13)</f>
        <v>-22202979.4800003</v>
      </c>
      <c r="F14" s="5" t="n">
        <f aca="false">-(F13-E13)</f>
        <v>-33970558.6043999</v>
      </c>
      <c r="G14" s="5" t="n">
        <f aca="false">-(G13-F13)</f>
        <v>-34989675.3625321</v>
      </c>
    </row>
    <row r="15" customFormat="false" ht="15" hidden="false" customHeight="false" outlineLevel="0" collapsed="false">
      <c r="A15" s="0" t="s">
        <v>72</v>
      </c>
      <c r="C15" s="17" t="n">
        <f aca="false">C10+C11+C12+C14</f>
        <v>1040497537.2</v>
      </c>
      <c r="D15" s="17" t="n">
        <f aca="false">D10+D11+D12+D14</f>
        <v>1035601371.2385</v>
      </c>
      <c r="E15" s="17" t="n">
        <f aca="false">E10+E11+E12+E14</f>
        <v>1045321824.66327</v>
      </c>
      <c r="F15" s="17" t="n">
        <f aca="false">F10+F11+F12+F14</f>
        <v>1065579989.66317</v>
      </c>
      <c r="G15" s="17" t="n">
        <f aca="false">G10+G11+G12+G14</f>
        <v>1097547389.35306</v>
      </c>
    </row>
    <row r="16" customFormat="false" ht="15" hidden="false" customHeight="false" outlineLevel="0" collapsed="false">
      <c r="A16" s="0" t="s">
        <v>73</v>
      </c>
      <c r="C16" s="18" t="n">
        <f aca="false">(Inputs!$B$6-Inputs!$B$5)/365.25+0</f>
        <v>0.37782340862423</v>
      </c>
      <c r="D16" s="18" t="n">
        <f aca="false">(Inputs!$B$6-Inputs!$B$5)/365.25+1</f>
        <v>1.37782340862423</v>
      </c>
      <c r="E16" s="18" t="n">
        <f aca="false">(Inputs!$B$6-Inputs!$B$5)/365.25+2</f>
        <v>2.37782340862423</v>
      </c>
      <c r="F16" s="18" t="n">
        <f aca="false">(Inputs!$B$6-Inputs!$B$5)/365.25+3</f>
        <v>3.37782340862423</v>
      </c>
      <c r="G16" s="18" t="n">
        <f aca="false">(Inputs!$B$6-Inputs!$B$5)/365.25+4</f>
        <v>4.37782340862423</v>
      </c>
    </row>
    <row r="17" customFormat="false" ht="15" hidden="false" customHeight="false" outlineLevel="0" collapsed="false">
      <c r="A17" s="0" t="s">
        <v>74</v>
      </c>
      <c r="C17" s="19" t="n">
        <f aca="false">1/(1+$B$24)^C16</f>
        <v>0.972282582616406</v>
      </c>
      <c r="D17" s="19" t="n">
        <f aca="false">1/(1+$B$24)^D16</f>
        <v>0.902573240926676</v>
      </c>
      <c r="E17" s="19" t="n">
        <f aca="false">1/(1+$B$24)^E16</f>
        <v>0.837861821040438</v>
      </c>
      <c r="F17" s="19" t="n">
        <f aca="false">1/(1+$B$24)^F16</f>
        <v>0.777789989027861</v>
      </c>
      <c r="G17" s="19" t="n">
        <f aca="false">1/(1+$B$24)^G16</f>
        <v>0.722025102278484</v>
      </c>
    </row>
    <row r="18" customFormat="false" ht="15" hidden="false" customHeight="false" outlineLevel="0" collapsed="false">
      <c r="A18" s="0" t="s">
        <v>75</v>
      </c>
      <c r="C18" s="5" t="n">
        <f aca="false">C15*C17</f>
        <v>1011657632.67483</v>
      </c>
      <c r="D18" s="5" t="n">
        <f aca="false">D15*D17</f>
        <v>934706085.946842</v>
      </c>
      <c r="E18" s="5" t="n">
        <f aca="false">E15*E17</f>
        <v>875835247.585681</v>
      </c>
      <c r="F18" s="5" t="n">
        <f aca="false">F15*F17</f>
        <v>828797448.468424</v>
      </c>
      <c r="G18" s="5" t="n">
        <f aca="false">G15*G17</f>
        <v>792456766.053129</v>
      </c>
    </row>
    <row r="24" customFormat="false" ht="15" hidden="false" customHeight="false" outlineLevel="0" collapsed="false">
      <c r="A24" s="0" t="s">
        <v>76</v>
      </c>
      <c r="B24" s="8" t="n">
        <f aca="false">Inputs!$B$7+Inputs!$B$9*Inputs!$B$8</f>
        <v>0.077234</v>
      </c>
    </row>
    <row r="25" customFormat="false" ht="15" hidden="false" customHeight="false" outlineLevel="0" collapsed="false">
      <c r="A25" s="0" t="s">
        <v>11</v>
      </c>
      <c r="B25" s="8" t="n">
        <f aca="false">Inputs!$C$35</f>
        <v>0.02</v>
      </c>
    </row>
    <row r="26" customFormat="false" ht="15" hidden="false" customHeight="false" outlineLevel="0" collapsed="false">
      <c r="A26" s="0" t="s">
        <v>54</v>
      </c>
      <c r="B26" s="6" t="n">
        <f aca="false">Inputs!$C$36</f>
        <v>0.12</v>
      </c>
    </row>
    <row r="27" customFormat="false" ht="15" hidden="false" customHeight="false" outlineLevel="0" collapsed="false">
      <c r="A27" s="0" t="s">
        <v>77</v>
      </c>
      <c r="B27" s="5" t="n">
        <f aca="false">G7*(1+B25)*(1-Inputs!$C$34)</f>
        <v>1338988570.68929</v>
      </c>
    </row>
    <row r="28" customFormat="false" ht="15" hidden="false" customHeight="false" outlineLevel="0" collapsed="false">
      <c r="A28" s="0" t="s">
        <v>78</v>
      </c>
      <c r="B28" s="5" t="n">
        <f aca="false">B27*(1-B25/B26)/(B24-B25)</f>
        <v>19495820821.6749</v>
      </c>
    </row>
    <row r="29" customFormat="false" ht="15" hidden="false" customHeight="false" outlineLevel="0" collapsed="false">
      <c r="A29" s="0" t="s">
        <v>79</v>
      </c>
      <c r="B29" s="5" t="n">
        <f aca="false">B28/(1+B24)^(G16+0.5)</f>
        <v>13562470150.096</v>
      </c>
    </row>
    <row r="30" customFormat="false" ht="15" hidden="false" customHeight="false" outlineLevel="0" collapsed="false">
      <c r="A30" s="0" t="s">
        <v>80</v>
      </c>
      <c r="B30" s="5" t="n">
        <f aca="false">SUM(C18:G18)</f>
        <v>4443453180.7289</v>
      </c>
    </row>
    <row r="31" customFormat="false" ht="15" hidden="false" customHeight="false" outlineLevel="0" collapsed="false">
      <c r="A31" s="0" t="s">
        <v>81</v>
      </c>
      <c r="B31" s="17" t="n">
        <f aca="false">B29+B30</f>
        <v>18005923330.8249</v>
      </c>
    </row>
    <row r="32" customFormat="false" ht="15" hidden="false" customHeight="false" outlineLevel="0" collapsed="false">
      <c r="A32" s="0" t="s">
        <v>82</v>
      </c>
      <c r="B32" s="5" t="n">
        <f aca="false">Data_EDGAR!$G$20</f>
        <v>1807202000</v>
      </c>
    </row>
    <row r="33" customFormat="false" ht="15" hidden="false" customHeight="false" outlineLevel="0" collapsed="false">
      <c r="A33" s="0" t="s">
        <v>36</v>
      </c>
      <c r="B33" s="5" t="n">
        <f aca="false">-Inputs!$B$11</f>
        <v>-0</v>
      </c>
    </row>
    <row r="34" customFormat="false" ht="15" hidden="false" customHeight="false" outlineLevel="0" collapsed="false">
      <c r="A34" s="0" t="s">
        <v>83</v>
      </c>
      <c r="B34" s="17" t="n">
        <f aca="false">B31+B32+B33</f>
        <v>19813125330.8249</v>
      </c>
    </row>
    <row r="35" customFormat="false" ht="15" hidden="false" customHeight="false" outlineLevel="0" collapsed="false">
      <c r="A35" s="0" t="s">
        <v>84</v>
      </c>
      <c r="B35" s="20" t="n">
        <f aca="false">Inputs!$B$12+Inputs!$B$13</f>
        <v>115598632</v>
      </c>
    </row>
    <row r="36" customFormat="false" ht="15" hidden="false" customHeight="false" outlineLevel="0" collapsed="false">
      <c r="A36" s="0" t="s">
        <v>5</v>
      </c>
      <c r="B36" s="4" t="n">
        <f aca="false">B34/B35</f>
        <v>171.395846023722</v>
      </c>
    </row>
    <row r="37" customFormat="false" ht="15" hidden="false" customHeight="false" outlineLevel="0" collapsed="false">
      <c r="A37" s="0" t="s">
        <v>85</v>
      </c>
      <c r="B37" s="6" t="n">
        <f aca="false">B29/B31</f>
        <v>0.753222697937294</v>
      </c>
    </row>
    <row r="38" customFormat="false" ht="15" hidden="false" customHeight="false" outlineLevel="0" collapsed="false">
      <c r="A38" s="0" t="s">
        <v>86</v>
      </c>
      <c r="B38" s="7" t="n">
        <f aca="false">B28/(G7+G11)</f>
        <v>8.11438567984065</v>
      </c>
    </row>
    <row r="39" customFormat="false" ht="15" hidden="false" customHeight="false" outlineLevel="0" collapsed="false">
      <c r="A39" s="0" t="s">
        <v>87</v>
      </c>
      <c r="B39" s="7" t="n">
        <f aca="false">B31/Data_EDGAR!$G$10</f>
        <v>8.14520996683045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/>
      <c r="B4" s="3" t="s">
        <v>63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</row>
    <row r="5" customFormat="false" ht="15" hidden="false" customHeight="false" outlineLevel="0" collapsed="false">
      <c r="A5" s="0" t="s">
        <v>64</v>
      </c>
      <c r="B5" s="5" t="n">
        <f aca="false">History!F5</f>
        <v>11102600000</v>
      </c>
      <c r="C5" s="5" t="n">
        <f aca="false">B5*(1+Inputs!$E$17)</f>
        <v>11768756000</v>
      </c>
      <c r="D5" s="5" t="n">
        <f aca="false">C5*(1+Inputs!$E$18)</f>
        <v>12710256480</v>
      </c>
      <c r="E5" s="5" t="n">
        <f aca="false">D5*(1+Inputs!$E$19)</f>
        <v>13854179563.2</v>
      </c>
      <c r="F5" s="5" t="n">
        <f aca="false">E5*(1+Inputs!$E$20)</f>
        <v>14962513928.256</v>
      </c>
      <c r="G5" s="5" t="n">
        <f aca="false">F5*(1+Inputs!$E$21)</f>
        <v>16009889903.2339</v>
      </c>
    </row>
    <row r="6" customFormat="false" ht="15" hidden="false" customHeight="false" outlineLevel="0" collapsed="false">
      <c r="A6" s="0" t="s">
        <v>14</v>
      </c>
      <c r="C6" s="6" t="n">
        <f aca="false">C5/B5-1</f>
        <v>0.0600000000000001</v>
      </c>
      <c r="D6" s="6" t="n">
        <f aca="false">D5/C5-1</f>
        <v>0.0800000000000001</v>
      </c>
      <c r="E6" s="6" t="n">
        <f aca="false">E5/D5-1</f>
        <v>0.0900000000000001</v>
      </c>
      <c r="F6" s="6" t="n">
        <f aca="false">F5/E5-1</f>
        <v>0.0800000000000001</v>
      </c>
      <c r="G6" s="6" t="n">
        <f aca="false">G5/F5-1</f>
        <v>0.0700000000000001</v>
      </c>
    </row>
    <row r="7" customFormat="false" ht="15" hidden="false" customHeight="false" outlineLevel="0" collapsed="false">
      <c r="A7" s="0" t="s">
        <v>65</v>
      </c>
      <c r="B7" s="5" t="n">
        <f aca="false">History!F8</f>
        <v>2210615000</v>
      </c>
      <c r="C7" s="5" t="n">
        <f aca="false">C5*Inputs!$E$22</f>
        <v>2353751200</v>
      </c>
      <c r="D7" s="5" t="n">
        <f aca="false">D5*Inputs!$E$23</f>
        <v>2669153860.8</v>
      </c>
      <c r="E7" s="5" t="n">
        <f aca="false">E5*Inputs!$E$24</f>
        <v>2978648606.088</v>
      </c>
      <c r="F7" s="5" t="n">
        <f aca="false">F5*Inputs!$E$25</f>
        <v>3291753064.21632</v>
      </c>
      <c r="G7" s="5" t="n">
        <f aca="false">G5*Inputs!$E$26</f>
        <v>3522175778.71146</v>
      </c>
    </row>
    <row r="8" customFormat="false" ht="15" hidden="false" customHeight="false" outlineLevel="0" collapsed="false">
      <c r="A8" s="0" t="s">
        <v>15</v>
      </c>
      <c r="B8" s="6" t="n">
        <f aca="false">B7/B5</f>
        <v>0.199107866625835</v>
      </c>
      <c r="C8" s="6" t="n">
        <f aca="false">C7/C5</f>
        <v>0.2</v>
      </c>
      <c r="D8" s="6" t="n">
        <f aca="false">D7/D5</f>
        <v>0.21</v>
      </c>
      <c r="E8" s="6" t="n">
        <f aca="false">E7/E5</f>
        <v>0.215</v>
      </c>
      <c r="F8" s="6" t="n">
        <f aca="false">F7/F5</f>
        <v>0.22</v>
      </c>
      <c r="G8" s="6" t="n">
        <f aca="false">G7/G5</f>
        <v>0.22</v>
      </c>
    </row>
    <row r="9" customFormat="false" ht="15" hidden="false" customHeight="false" outlineLevel="0" collapsed="false">
      <c r="A9" s="0" t="s">
        <v>66</v>
      </c>
      <c r="C9" s="5" t="n">
        <f aca="false">-C7*Inputs!$E$34</f>
        <v>-694356604</v>
      </c>
      <c r="D9" s="5" t="n">
        <f aca="false">-D7*Inputs!$E$34</f>
        <v>-787400388.936</v>
      </c>
      <c r="E9" s="5" t="n">
        <f aca="false">-E7*Inputs!$E$34</f>
        <v>-878701338.79596</v>
      </c>
      <c r="F9" s="5" t="n">
        <f aca="false">-F7*Inputs!$E$34</f>
        <v>-971067153.943815</v>
      </c>
      <c r="G9" s="5" t="n">
        <f aca="false">-G7*Inputs!$E$34</f>
        <v>-1039041854.71988</v>
      </c>
    </row>
    <row r="10" customFormat="false" ht="15" hidden="false" customHeight="false" outlineLevel="0" collapsed="false">
      <c r="A10" s="0" t="s">
        <v>67</v>
      </c>
      <c r="C10" s="5" t="n">
        <f aca="false">C7+C9</f>
        <v>1659394596</v>
      </c>
      <c r="D10" s="5" t="n">
        <f aca="false">D7+D9</f>
        <v>1881753471.864</v>
      </c>
      <c r="E10" s="5" t="n">
        <f aca="false">E7+E9</f>
        <v>2099947267.29204</v>
      </c>
      <c r="F10" s="5" t="n">
        <f aca="false">F7+F9</f>
        <v>2320685910.27251</v>
      </c>
      <c r="G10" s="5" t="n">
        <f aca="false">G7+G9</f>
        <v>2483133923.99158</v>
      </c>
    </row>
    <row r="11" customFormat="false" ht="15" hidden="false" customHeight="false" outlineLevel="0" collapsed="false">
      <c r="A11" s="0" t="s">
        <v>68</v>
      </c>
      <c r="C11" s="5" t="n">
        <f aca="false">C5*Inputs!$E$32</f>
        <v>529594020</v>
      </c>
      <c r="D11" s="5" t="n">
        <f aca="false">D5*Inputs!$E$32</f>
        <v>571961541.6</v>
      </c>
      <c r="E11" s="5" t="n">
        <f aca="false">E5*Inputs!$E$32</f>
        <v>623438080.344</v>
      </c>
      <c r="F11" s="5" t="n">
        <f aca="false">F5*Inputs!$E$32</f>
        <v>673313126.77152</v>
      </c>
      <c r="G11" s="5" t="n">
        <f aca="false">G5*Inputs!$E$32</f>
        <v>720445045.645527</v>
      </c>
    </row>
    <row r="12" customFormat="false" ht="15" hidden="false" customHeight="false" outlineLevel="0" collapsed="false">
      <c r="A12" s="0" t="s">
        <v>69</v>
      </c>
      <c r="C12" s="5" t="n">
        <f aca="false">-C5*Inputs!$E$27</f>
        <v>-706125360</v>
      </c>
      <c r="D12" s="5" t="n">
        <f aca="false">-D5*Inputs!$E$28</f>
        <v>-762615388.8</v>
      </c>
      <c r="E12" s="5" t="n">
        <f aca="false">-E5*Inputs!$E$29</f>
        <v>-796615324.884</v>
      </c>
      <c r="F12" s="5" t="n">
        <f aca="false">-F5*Inputs!$E$30</f>
        <v>-822938266.05408</v>
      </c>
      <c r="G12" s="5" t="n">
        <f aca="false">-G5*Inputs!$E$31</f>
        <v>-880543944.677866</v>
      </c>
    </row>
    <row r="13" customFormat="false" ht="15" hidden="false" customHeight="false" outlineLevel="0" collapsed="false">
      <c r="A13" s="0" t="s">
        <v>70</v>
      </c>
      <c r="B13" s="5" t="n">
        <f aca="false">History!F14</f>
        <v>1064679000</v>
      </c>
      <c r="C13" s="5" t="n">
        <f aca="false">C5*Inputs!$E$33</f>
        <v>1000344260</v>
      </c>
      <c r="D13" s="5" t="n">
        <f aca="false">D5*Inputs!$E$33</f>
        <v>1080371800.8</v>
      </c>
      <c r="E13" s="5" t="n">
        <f aca="false">E5*Inputs!$E$33</f>
        <v>1177605262.872</v>
      </c>
      <c r="F13" s="5" t="n">
        <f aca="false">F5*Inputs!$E$33</f>
        <v>1271813683.90176</v>
      </c>
      <c r="G13" s="5" t="n">
        <f aca="false">G5*Inputs!$E$33</f>
        <v>1360840641.77488</v>
      </c>
    </row>
    <row r="14" customFormat="false" ht="15" hidden="false" customHeight="false" outlineLevel="0" collapsed="false">
      <c r="A14" s="0" t="s">
        <v>71</v>
      </c>
      <c r="C14" s="5" t="n">
        <f aca="false">-(C13-B13)</f>
        <v>64334739.9999999</v>
      </c>
      <c r="D14" s="5" t="n">
        <f aca="false">-(D13-C13)</f>
        <v>-80027540.8000001</v>
      </c>
      <c r="E14" s="5" t="n">
        <f aca="false">-(E13-D13)</f>
        <v>-97233462.072</v>
      </c>
      <c r="F14" s="5" t="n">
        <f aca="false">-(F13-E13)</f>
        <v>-94208421.0297601</v>
      </c>
      <c r="G14" s="5" t="n">
        <f aca="false">-(G13-F13)</f>
        <v>-89026957.8731232</v>
      </c>
    </row>
    <row r="15" customFormat="false" ht="15" hidden="false" customHeight="false" outlineLevel="0" collapsed="false">
      <c r="A15" s="0" t="s">
        <v>72</v>
      </c>
      <c r="C15" s="17" t="n">
        <f aca="false">C10+C11+C12+C14</f>
        <v>1547197996</v>
      </c>
      <c r="D15" s="17" t="n">
        <f aca="false">D10+D11+D12+D14</f>
        <v>1611072083.864</v>
      </c>
      <c r="E15" s="17" t="n">
        <f aca="false">E10+E11+E12+E14</f>
        <v>1829536560.68004</v>
      </c>
      <c r="F15" s="17" t="n">
        <f aca="false">F10+F11+F12+F14</f>
        <v>2076852349.96019</v>
      </c>
      <c r="G15" s="17" t="n">
        <f aca="false">G10+G11+G12+G14</f>
        <v>2234008067.08612</v>
      </c>
    </row>
    <row r="16" customFormat="false" ht="15" hidden="false" customHeight="false" outlineLevel="0" collapsed="false">
      <c r="A16" s="0" t="s">
        <v>73</v>
      </c>
      <c r="C16" s="18" t="n">
        <f aca="false">(Inputs!$B$6-Inputs!$B$5)/365.25+0</f>
        <v>0.37782340862423</v>
      </c>
      <c r="D16" s="18" t="n">
        <f aca="false">(Inputs!$B$6-Inputs!$B$5)/365.25+1</f>
        <v>1.37782340862423</v>
      </c>
      <c r="E16" s="18" t="n">
        <f aca="false">(Inputs!$B$6-Inputs!$B$5)/365.25+2</f>
        <v>2.37782340862423</v>
      </c>
      <c r="F16" s="18" t="n">
        <f aca="false">(Inputs!$B$6-Inputs!$B$5)/365.25+3</f>
        <v>3.37782340862423</v>
      </c>
      <c r="G16" s="18" t="n">
        <f aca="false">(Inputs!$B$6-Inputs!$B$5)/365.25+4</f>
        <v>4.37782340862423</v>
      </c>
    </row>
    <row r="17" customFormat="false" ht="15" hidden="false" customHeight="false" outlineLevel="0" collapsed="false">
      <c r="A17" s="0" t="s">
        <v>74</v>
      </c>
      <c r="C17" s="19" t="n">
        <f aca="false">1/(1+$B$24)^C16</f>
        <v>0.972282582616406</v>
      </c>
      <c r="D17" s="19" t="n">
        <f aca="false">1/(1+$B$24)^D16</f>
        <v>0.902573240926676</v>
      </c>
      <c r="E17" s="19" t="n">
        <f aca="false">1/(1+$B$24)^E16</f>
        <v>0.837861821040438</v>
      </c>
      <c r="F17" s="19" t="n">
        <f aca="false">1/(1+$B$24)^F16</f>
        <v>0.777789989027861</v>
      </c>
      <c r="G17" s="19" t="n">
        <f aca="false">1/(1+$B$24)^G16</f>
        <v>0.722025102278484</v>
      </c>
    </row>
    <row r="18" customFormat="false" ht="15" hidden="false" customHeight="false" outlineLevel="0" collapsed="false">
      <c r="A18" s="0" t="s">
        <v>75</v>
      </c>
      <c r="C18" s="5" t="n">
        <f aca="false">C15*C17</f>
        <v>1504313663.36981</v>
      </c>
      <c r="D18" s="5" t="n">
        <f aca="false">D15*D17</f>
        <v>1454110552.09962</v>
      </c>
      <c r="E18" s="5" t="n">
        <f aca="false">E15*E17</f>
        <v>1532898834.39144</v>
      </c>
      <c r="F18" s="5" t="n">
        <f aca="false">F15*F17</f>
        <v>1615354966.48802</v>
      </c>
      <c r="G18" s="5" t="n">
        <f aca="false">G15*G17</f>
        <v>1613009903.12881</v>
      </c>
    </row>
    <row r="24" customFormat="false" ht="15" hidden="false" customHeight="false" outlineLevel="0" collapsed="false">
      <c r="A24" s="0" t="s">
        <v>76</v>
      </c>
      <c r="B24" s="8" t="n">
        <f aca="false">Inputs!$B$7+Inputs!$B$9*Inputs!$B$8</f>
        <v>0.077234</v>
      </c>
    </row>
    <row r="25" customFormat="false" ht="15" hidden="false" customHeight="false" outlineLevel="0" collapsed="false">
      <c r="A25" s="0" t="s">
        <v>11</v>
      </c>
      <c r="B25" s="8" t="n">
        <f aca="false">Inputs!$E$35</f>
        <v>0.03</v>
      </c>
    </row>
    <row r="26" customFormat="false" ht="15" hidden="false" customHeight="false" outlineLevel="0" collapsed="false">
      <c r="A26" s="0" t="s">
        <v>54</v>
      </c>
      <c r="B26" s="6" t="n">
        <f aca="false">Inputs!$E$36</f>
        <v>0.25</v>
      </c>
    </row>
    <row r="27" customFormat="false" ht="15" hidden="false" customHeight="false" outlineLevel="0" collapsed="false">
      <c r="A27" s="0" t="s">
        <v>77</v>
      </c>
      <c r="B27" s="5" t="n">
        <f aca="false">G7*(1+B25)*(1-Inputs!$E$34)</f>
        <v>2557627941.71133</v>
      </c>
    </row>
    <row r="28" customFormat="false" ht="15" hidden="false" customHeight="false" outlineLevel="0" collapsed="false">
      <c r="A28" s="0" t="s">
        <v>78</v>
      </c>
      <c r="B28" s="5" t="n">
        <f aca="false">B27*(1-B25/B26)/(B24-B25)</f>
        <v>47650264400.77</v>
      </c>
    </row>
    <row r="29" customFormat="false" ht="15" hidden="false" customHeight="false" outlineLevel="0" collapsed="false">
      <c r="A29" s="0" t="s">
        <v>79</v>
      </c>
      <c r="B29" s="5" t="n">
        <f aca="false">B28/(1+B24)^(G16+0.5)</f>
        <v>33148401110.721</v>
      </c>
    </row>
    <row r="30" customFormat="false" ht="15" hidden="false" customHeight="false" outlineLevel="0" collapsed="false">
      <c r="A30" s="0" t="s">
        <v>80</v>
      </c>
      <c r="B30" s="5" t="n">
        <f aca="false">SUM(C18:G18)</f>
        <v>7719687919.4777</v>
      </c>
    </row>
    <row r="31" customFormat="false" ht="15" hidden="false" customHeight="false" outlineLevel="0" collapsed="false">
      <c r="A31" s="0" t="s">
        <v>81</v>
      </c>
      <c r="B31" s="17" t="n">
        <f aca="false">B29+B30</f>
        <v>40868089030.1987</v>
      </c>
    </row>
    <row r="32" customFormat="false" ht="15" hidden="false" customHeight="false" outlineLevel="0" collapsed="false">
      <c r="A32" s="0" t="s">
        <v>82</v>
      </c>
      <c r="B32" s="5" t="n">
        <f aca="false">Data_EDGAR!$G$20</f>
        <v>1807202000</v>
      </c>
    </row>
    <row r="33" customFormat="false" ht="15" hidden="false" customHeight="false" outlineLevel="0" collapsed="false">
      <c r="A33" s="0" t="s">
        <v>36</v>
      </c>
      <c r="B33" s="5" t="n">
        <f aca="false">-Inputs!$B$11</f>
        <v>-0</v>
      </c>
    </row>
    <row r="34" customFormat="false" ht="15" hidden="false" customHeight="false" outlineLevel="0" collapsed="false">
      <c r="A34" s="0" t="s">
        <v>83</v>
      </c>
      <c r="B34" s="17" t="n">
        <f aca="false">B31+B32+B33</f>
        <v>42675291030.1987</v>
      </c>
    </row>
    <row r="35" customFormat="false" ht="15" hidden="false" customHeight="false" outlineLevel="0" collapsed="false">
      <c r="A35" s="0" t="s">
        <v>84</v>
      </c>
      <c r="B35" s="20" t="n">
        <f aca="false">Inputs!$B$12+Inputs!$B$13</f>
        <v>115598632</v>
      </c>
    </row>
    <row r="36" customFormat="false" ht="15" hidden="false" customHeight="false" outlineLevel="0" collapsed="false">
      <c r="A36" s="0" t="s">
        <v>5</v>
      </c>
      <c r="B36" s="4" t="n">
        <f aca="false">B34/B35</f>
        <v>369.167785914618</v>
      </c>
    </row>
    <row r="37" customFormat="false" ht="15" hidden="false" customHeight="false" outlineLevel="0" collapsed="false">
      <c r="A37" s="0" t="s">
        <v>85</v>
      </c>
      <c r="B37" s="6" t="n">
        <f aca="false">B29/B31</f>
        <v>0.811107196282816</v>
      </c>
    </row>
    <row r="38" customFormat="false" ht="15" hidden="false" customHeight="false" outlineLevel="0" collapsed="false">
      <c r="A38" s="0" t="s">
        <v>86</v>
      </c>
      <c r="B38" s="7" t="n">
        <f aca="false">B28/(G7+G11)</f>
        <v>11.2313276093891</v>
      </c>
    </row>
    <row r="39" customFormat="false" ht="15" hidden="false" customHeight="false" outlineLevel="0" collapsed="false">
      <c r="A39" s="0" t="s">
        <v>87</v>
      </c>
      <c r="B39" s="7" t="n">
        <f aca="false">B31/Data_EDGAR!$G$10</f>
        <v>18.4872033484793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9" t="s">
        <v>92</v>
      </c>
      <c r="B4" s="21" t="n">
        <f aca="false">Inputs!B$46</f>
        <v>0.015</v>
      </c>
      <c r="C4" s="21" t="n">
        <f aca="false">Inputs!C$46</f>
        <v>0.02</v>
      </c>
      <c r="D4" s="21" t="n">
        <f aca="false">Inputs!D$46</f>
        <v>0.025</v>
      </c>
      <c r="E4" s="21" t="n">
        <f aca="false">Inputs!E$46</f>
        <v>0.03</v>
      </c>
      <c r="F4" s="21" t="n">
        <f aca="false">Inputs!F$46</f>
        <v>0.035</v>
      </c>
    </row>
    <row r="5" customFormat="false" ht="15" hidden="false" customHeight="false" outlineLevel="0" collapsed="false">
      <c r="A5" s="22" t="n">
        <f aca="false">Inputs!B$45</f>
        <v>0.065</v>
      </c>
      <c r="B5" s="23" t="n">
        <f aca="false">(SUMPRODUCT(DCF_Base!$C$15:$G$15,(1+$A5)^(-DCF_Base!$C$16:$G$16))+DCF_Base!$G$7*(1+B$4)*(1-Inputs!$D$34)*(1-B$4/Inputs!$D$36)/($A5-B$4)/(1+$A5)^(DCF_Base!$G$16+0.5)+DCF_Base!$B$32+DCF_Base!$B$33)/DCF_Base!$B$35</f>
        <v>311.676513316802</v>
      </c>
      <c r="C5" s="23" t="n">
        <f aca="false">(SUMPRODUCT(DCF_Base!$C$15:$G$15,(1+$A5)^(-DCF_Base!$C$16:$G$16))+DCF_Base!$G$7*(1+C$4)*(1-Inputs!$D$34)*(1-C$4/Inputs!$D$36)/($A5-C$4)/(1+$A5)^(DCF_Base!$G$16+0.5)+DCF_Base!$B$32+DCF_Base!$B$33)/DCF_Base!$B$35</f>
        <v>332.296900390347</v>
      </c>
      <c r="D5" s="23" t="n">
        <f aca="false">(SUMPRODUCT(DCF_Base!$C$15:$G$15,(1+$A5)^(-DCF_Base!$C$16:$G$16))+DCF_Base!$G$7*(1+D$4)*(1-Inputs!$D$34)*(1-D$4/Inputs!$D$36)/($A5-D$4)/(1+$A5)^(DCF_Base!$G$16+0.5)+DCF_Base!$B$32+DCF_Base!$B$33)/DCF_Base!$B$35</f>
        <v>357.992952849098</v>
      </c>
      <c r="E5" s="23" t="n">
        <f aca="false">(SUMPRODUCT(DCF_Base!$C$15:$G$15,(1+$A5)^(-DCF_Base!$C$16:$G$16))+DCF_Base!$G$7*(1+E$4)*(1-Inputs!$D$34)*(1-E$4/Inputs!$D$36)/($A5-E$4)/(1+$A5)^(DCF_Base!$G$16+0.5)+DCF_Base!$B$32+DCF_Base!$B$33)/DCF_Base!$B$35</f>
        <v>390.939955858145</v>
      </c>
      <c r="F5" s="23" t="n">
        <f aca="false">(SUMPRODUCT(DCF_Base!$C$15:$G$15,(1+$A5)^(-DCF_Base!$C$16:$G$16))+DCF_Base!$G$7*(1+F$4)*(1-Inputs!$D$34)*(1-F$4/Inputs!$D$36)/($A5-F$4)/(1+$A5)^(DCF_Base!$G$16+0.5)+DCF_Base!$B$32+DCF_Base!$B$33)/DCF_Base!$B$35</f>
        <v>434.763384692633</v>
      </c>
    </row>
    <row r="6" customFormat="false" ht="15" hidden="false" customHeight="false" outlineLevel="0" collapsed="false">
      <c r="A6" s="22" t="n">
        <f aca="false">Inputs!C$45</f>
        <v>0.07</v>
      </c>
      <c r="B6" s="23" t="n">
        <f aca="false">(SUMPRODUCT(DCF_Base!$C$15:$G$15,(1+$A6)^(-DCF_Base!$C$16:$G$16))+DCF_Base!$G$7*(1+B$4)*(1-Inputs!$D$34)*(1-B$4/Inputs!$D$36)/($A6-B$4)/(1+$A6)^(DCF_Base!$G$16+0.5)+DCF_Base!$B$32+DCF_Base!$B$33)/DCF_Base!$B$35</f>
        <v>284.439165086637</v>
      </c>
      <c r="C6" s="23" t="n">
        <f aca="false">(SUMPRODUCT(DCF_Base!$C$15:$G$15,(1+$A6)^(-DCF_Base!$C$16:$G$16))+DCF_Base!$G$7*(1+C$4)*(1-Inputs!$D$34)*(1-C$4/Inputs!$D$36)/($A6-C$4)/(1+$A6)^(DCF_Base!$G$16+0.5)+DCF_Base!$B$32+DCF_Base!$B$33)/DCF_Base!$B$35</f>
        <v>300.45783459395</v>
      </c>
      <c r="D6" s="23" t="n">
        <f aca="false">(SUMPRODUCT(DCF_Base!$C$15:$G$15,(1+$A6)^(-DCF_Base!$C$16:$G$16))+DCF_Base!$G$7*(1+D$4)*(1-Inputs!$D$34)*(1-D$4/Inputs!$D$36)/($A6-D$4)/(1+$A6)^(DCF_Base!$G$16+0.5)+DCF_Base!$B$32+DCF_Base!$B$33)/DCF_Base!$B$35</f>
        <v>319.967197601389</v>
      </c>
      <c r="E6" s="23" t="n">
        <f aca="false">(SUMPRODUCT(DCF_Base!$C$15:$G$15,(1+$A6)^(-DCF_Base!$C$16:$G$16))+DCF_Base!$G$7*(1+E$4)*(1-Inputs!$D$34)*(1-E$4/Inputs!$D$36)/($A6-E$4)/(1+$A6)^(DCF_Base!$G$16+0.5)+DCF_Base!$B$32+DCF_Base!$B$33)/DCF_Base!$B$35</f>
        <v>344.276264171499</v>
      </c>
      <c r="F6" s="23" t="n">
        <f aca="false">(SUMPRODUCT(DCF_Base!$C$15:$G$15,(1+$A6)^(-DCF_Base!$C$16:$G$16))+DCF_Base!$G$7*(1+F$4)*(1-Inputs!$D$34)*(1-F$4/Inputs!$D$36)/($A6-F$4)/(1+$A6)^(DCF_Base!$G$16+0.5)+DCF_Base!$B$32+DCF_Base!$B$33)/DCF_Base!$B$35</f>
        <v>375.442050116855</v>
      </c>
    </row>
    <row r="7" customFormat="false" ht="15" hidden="false" customHeight="false" outlineLevel="0" collapsed="false">
      <c r="A7" s="22" t="n">
        <f aca="false">Inputs!D$45</f>
        <v>0.075</v>
      </c>
      <c r="B7" s="23" t="n">
        <f aca="false">(SUMPRODUCT(DCF_Base!$C$15:$G$15,(1+$A7)^(-DCF_Base!$C$16:$G$16))+DCF_Base!$G$7*(1+B$4)*(1-Inputs!$D$34)*(1-B$4/Inputs!$D$36)/($A7-B$4)/(1+$A7)^(DCF_Base!$G$16+0.5)+DCF_Base!$B$32+DCF_Base!$B$33)/DCF_Base!$B$35</f>
        <v>261.768662191375</v>
      </c>
      <c r="C7" s="23" t="n">
        <f aca="false">(SUMPRODUCT(DCF_Base!$C$15:$G$15,(1+$A7)^(-DCF_Base!$C$16:$G$16))+DCF_Base!$G$7*(1+C$4)*(1-Inputs!$D$34)*(1-C$4/Inputs!$D$36)/($A7-C$4)/(1+$A7)^(DCF_Base!$G$16+0.5)+DCF_Base!$B$32+DCF_Base!$B$33)/DCF_Base!$B$35</f>
        <v>274.433361315083</v>
      </c>
      <c r="D7" s="23" t="n">
        <f aca="false">(SUMPRODUCT(DCF_Base!$C$15:$G$15,(1+$A7)^(-DCF_Base!$C$16:$G$16))+DCF_Base!$G$7*(1+D$4)*(1-Inputs!$D$34)*(1-D$4/Inputs!$D$36)/($A7-D$4)/(1+$A7)^(DCF_Base!$G$16+0.5)+DCF_Base!$B$32+DCF_Base!$B$33)/DCF_Base!$B$35</f>
        <v>289.570286979192</v>
      </c>
      <c r="E7" s="23" t="n">
        <f aca="false">(SUMPRODUCT(DCF_Base!$C$15:$G$15,(1+$A7)^(-DCF_Base!$C$16:$G$16))+DCF_Base!$G$7*(1+E$4)*(1-Inputs!$D$34)*(1-E$4/Inputs!$D$36)/($A7-E$4)/(1+$A7)^(DCF_Base!$G$16+0.5)+DCF_Base!$B$32+DCF_Base!$B$33)/DCF_Base!$B$35</f>
        <v>308.003514697169</v>
      </c>
      <c r="F7" s="23" t="n">
        <f aca="false">(SUMPRODUCT(DCF_Base!$C$15:$G$15,(1+$A7)^(-DCF_Base!$C$16:$G$16))+DCF_Base!$G$7*(1+F$4)*(1-Inputs!$D$34)*(1-F$4/Inputs!$D$36)/($A7-F$4)/(1+$A7)^(DCF_Base!$G$16+0.5)+DCF_Base!$B$32+DCF_Base!$B$33)/DCF_Base!$B$35</f>
        <v>330.969157739214</v>
      </c>
    </row>
    <row r="8" customFormat="false" ht="15" hidden="false" customHeight="false" outlineLevel="0" collapsed="false">
      <c r="A8" s="22" t="n">
        <f aca="false">Inputs!E$45</f>
        <v>0.08</v>
      </c>
      <c r="B8" s="23" t="n">
        <f aca="false">(SUMPRODUCT(DCF_Base!$C$15:$G$15,(1+$A8)^(-DCF_Base!$C$16:$G$16))+DCF_Base!$G$7*(1+B$4)*(1-Inputs!$D$34)*(1-B$4/Inputs!$D$36)/($A8-B$4)/(1+$A8)^(DCF_Base!$G$16+0.5)+DCF_Base!$B$32+DCF_Base!$B$33)/DCF_Base!$B$35</f>
        <v>242.610156638783</v>
      </c>
      <c r="C8" s="23" t="n">
        <f aca="false">(SUMPRODUCT(DCF_Base!$C$15:$G$15,(1+$A8)^(-DCF_Base!$C$16:$G$16))+DCF_Base!$G$7*(1+C$4)*(1-Inputs!$D$34)*(1-C$4/Inputs!$D$36)/($A8-C$4)/(1+$A8)^(DCF_Base!$G$16+0.5)+DCF_Base!$B$32+DCF_Base!$B$33)/DCF_Base!$B$35</f>
        <v>252.768903891571</v>
      </c>
      <c r="D8" s="23" t="n">
        <f aca="false">(SUMPRODUCT(DCF_Base!$C$15:$G$15,(1+$A8)^(-DCF_Base!$C$16:$G$16))+DCF_Base!$G$7*(1+D$4)*(1-Inputs!$D$34)*(1-D$4/Inputs!$D$36)/($A8-D$4)/(1+$A8)^(DCF_Base!$G$16+0.5)+DCF_Base!$B$32+DCF_Base!$B$33)/DCF_Base!$B$35</f>
        <v>264.720737482748</v>
      </c>
      <c r="E8" s="23" t="n">
        <f aca="false">(SUMPRODUCT(DCF_Base!$C$15:$G$15,(1+$A8)^(-DCF_Base!$C$16:$G$16))+DCF_Base!$G$7*(1+E$4)*(1-Inputs!$D$34)*(1-E$4/Inputs!$D$36)/($A8-E$4)/(1+$A8)^(DCF_Base!$G$16+0.5)+DCF_Base!$B$32+DCF_Base!$B$33)/DCF_Base!$B$35</f>
        <v>279.003583313829</v>
      </c>
      <c r="F8" s="23" t="n">
        <f aca="false">(SUMPRODUCT(DCF_Base!$C$15:$G$15,(1+$A8)^(-DCF_Base!$C$16:$G$16))+DCF_Base!$G$7*(1+F$4)*(1-Inputs!$D$34)*(1-F$4/Inputs!$D$36)/($A8-F$4)/(1+$A8)^(DCF_Base!$G$16+0.5)+DCF_Base!$B$32+DCF_Base!$B$33)/DCF_Base!$B$35</f>
        <v>296.394445464782</v>
      </c>
    </row>
    <row r="9" customFormat="false" ht="15" hidden="false" customHeight="false" outlineLevel="0" collapsed="false">
      <c r="A9" s="22" t="n">
        <f aca="false">Inputs!F$45</f>
        <v>0.085</v>
      </c>
      <c r="B9" s="23" t="n">
        <f aca="false">(SUMPRODUCT(DCF_Base!$C$15:$G$15,(1+$A9)^(-DCF_Base!$C$16:$G$16))+DCF_Base!$G$7*(1+B$4)*(1-Inputs!$D$34)*(1-B$4/Inputs!$D$36)/($A9-B$4)/(1+$A9)^(DCF_Base!$G$16+0.5)+DCF_Base!$B$32+DCF_Base!$B$33)/DCF_Base!$B$35</f>
        <v>226.210222212912</v>
      </c>
      <c r="C9" s="23" t="n">
        <f aca="false">(SUMPRODUCT(DCF_Base!$C$15:$G$15,(1+$A9)^(-DCF_Base!$C$16:$G$16))+DCF_Base!$G$7*(1+C$4)*(1-Inputs!$D$34)*(1-C$4/Inputs!$D$36)/($A9-C$4)/(1+$A9)^(DCF_Base!$G$16+0.5)+DCF_Base!$B$32+DCF_Base!$B$33)/DCF_Base!$B$35</f>
        <v>234.457483571138</v>
      </c>
      <c r="D9" s="23" t="n">
        <f aca="false">(SUMPRODUCT(DCF_Base!$C$15:$G$15,(1+$A9)^(-DCF_Base!$C$16:$G$16))+DCF_Base!$G$7*(1+D$4)*(1-Inputs!$D$34)*(1-D$4/Inputs!$D$36)/($A9-D$4)/(1+$A9)^(DCF_Base!$G$16+0.5)+DCF_Base!$B$32+DCF_Base!$B$33)/DCF_Base!$B$35</f>
        <v>244.030928363828</v>
      </c>
      <c r="E9" s="23" t="n">
        <f aca="false">(SUMPRODUCT(DCF_Base!$C$15:$G$15,(1+$A9)^(-DCF_Base!$C$16:$G$16))+DCF_Base!$G$7*(1+E$4)*(1-Inputs!$D$34)*(1-E$4/Inputs!$D$36)/($A9-E$4)/(1+$A9)^(DCF_Base!$G$16+0.5)+DCF_Base!$B$32+DCF_Base!$B$33)/DCF_Base!$B$35</f>
        <v>255.292242982201</v>
      </c>
      <c r="F9" s="23" t="n">
        <f aca="false">(SUMPRODUCT(DCF_Base!$C$15:$G$15,(1+$A9)^(-DCF_Base!$C$16:$G$16))+DCF_Base!$G$7*(1+F$4)*(1-Inputs!$D$34)*(1-F$4/Inputs!$D$36)/($A9-F$4)/(1+$A9)^(DCF_Base!$G$16+0.5)+DCF_Base!$B$32+DCF_Base!$B$33)/DCF_Base!$B$35</f>
        <v>268.74778837396</v>
      </c>
    </row>
    <row r="10" customFormat="false" ht="15" hidden="false" customHeight="false" outlineLevel="0" collapsed="false">
      <c r="A10" s="22" t="n">
        <f aca="false">Inputs!G$45</f>
        <v>0.09</v>
      </c>
      <c r="B10" s="23" t="n">
        <f aca="false">(SUMPRODUCT(DCF_Base!$C$15:$G$15,(1+$A10)^(-DCF_Base!$C$16:$G$16))+DCF_Base!$G$7*(1+B$4)*(1-Inputs!$D$34)*(1-B$4/Inputs!$D$36)/($A10-B$4)/(1+$A10)^(DCF_Base!$G$16+0.5)+DCF_Base!$B$32+DCF_Base!$B$33)/DCF_Base!$B$35</f>
        <v>212.016379019466</v>
      </c>
      <c r="C10" s="23" t="n">
        <f aca="false">(SUMPRODUCT(DCF_Base!$C$15:$G$15,(1+$A10)^(-DCF_Base!$C$16:$G$16))+DCF_Base!$G$7*(1+C$4)*(1-Inputs!$D$34)*(1-C$4/Inputs!$D$36)/($A10-C$4)/(1+$A10)^(DCF_Base!$G$16+0.5)+DCF_Base!$B$32+DCF_Base!$B$33)/DCF_Base!$B$35</f>
        <v>218.779861607936</v>
      </c>
      <c r="D10" s="23" t="n">
        <f aca="false">(SUMPRODUCT(DCF_Base!$C$15:$G$15,(1+$A10)^(-DCF_Base!$C$16:$G$16))+DCF_Base!$G$7*(1+D$4)*(1-Inputs!$D$34)*(1-D$4/Inputs!$D$36)/($A10-D$4)/(1+$A10)^(DCF_Base!$G$16+0.5)+DCF_Base!$B$32+DCF_Base!$B$33)/DCF_Base!$B$35</f>
        <v>226.540229856517</v>
      </c>
      <c r="E10" s="23" t="n">
        <f aca="false">(SUMPRODUCT(DCF_Base!$C$15:$G$15,(1+$A10)^(-DCF_Base!$C$16:$G$16))+DCF_Base!$G$7*(1+E$4)*(1-Inputs!$D$34)*(1-E$4/Inputs!$D$36)/($A10-E$4)/(1+$A10)^(DCF_Base!$G$16+0.5)+DCF_Base!$B$32+DCF_Base!$B$33)/DCF_Base!$B$35</f>
        <v>235.546705180234</v>
      </c>
      <c r="F10" s="23" t="n">
        <f aca="false">(SUMPRODUCT(DCF_Base!$C$15:$G$15,(1+$A10)^(-DCF_Base!$C$16:$G$16))+DCF_Base!$G$7*(1+F$4)*(1-Inputs!$D$34)*(1-F$4/Inputs!$D$36)/($A10-F$4)/(1+$A10)^(DCF_Base!$G$16+0.5)+DCF_Base!$B$32+DCF_Base!$B$33)/DCF_Base!$B$35</f>
        <v>246.139134963217</v>
      </c>
    </row>
    <row r="11" customFormat="false" ht="15" hidden="false" customHeight="false" outlineLevel="0" collapsed="false">
      <c r="A11" s="22" t="n">
        <f aca="false">Inputs!H$45</f>
        <v>0.095</v>
      </c>
      <c r="B11" s="23" t="n">
        <f aca="false">(SUMPRODUCT(DCF_Base!$C$15:$G$15,(1+$A11)^(-DCF_Base!$C$16:$G$16))+DCF_Base!$G$7*(1+B$4)*(1-Inputs!$D$34)*(1-B$4/Inputs!$D$36)/($A11-B$4)/(1+$A11)^(DCF_Base!$G$16+0.5)+DCF_Base!$B$32+DCF_Base!$B$33)/DCF_Base!$B$35</f>
        <v>199.614296396234</v>
      </c>
      <c r="C11" s="23" t="n">
        <f aca="false">(SUMPRODUCT(DCF_Base!$C$15:$G$15,(1+$A11)^(-DCF_Base!$C$16:$G$16))+DCF_Base!$G$7*(1+C$4)*(1-Inputs!$D$34)*(1-C$4/Inputs!$D$36)/($A11-C$4)/(1+$A11)^(DCF_Base!$G$16+0.5)+DCF_Base!$B$32+DCF_Base!$B$33)/DCF_Base!$B$35</f>
        <v>205.208624589306</v>
      </c>
      <c r="D11" s="23" t="n">
        <f aca="false">(SUMPRODUCT(DCF_Base!$C$15:$G$15,(1+$A11)^(-DCF_Base!$C$16:$G$16))+DCF_Base!$G$7*(1+D$4)*(1-Inputs!$D$34)*(1-D$4/Inputs!$D$36)/($A11-D$4)/(1+$A11)^(DCF_Base!$G$16+0.5)+DCF_Base!$B$32+DCF_Base!$B$33)/DCF_Base!$B$35</f>
        <v>211.562505091295</v>
      </c>
      <c r="E11" s="23" t="n">
        <f aca="false">(SUMPRODUCT(DCF_Base!$C$15:$G$15,(1+$A11)^(-DCF_Base!$C$16:$G$16))+DCF_Base!$G$7*(1+E$4)*(1-Inputs!$D$34)*(1-E$4/Inputs!$D$36)/($A11-E$4)/(1+$A11)^(DCF_Base!$G$16+0.5)+DCF_Base!$B$32+DCF_Base!$B$33)/DCF_Base!$B$35</f>
        <v>218.851219204259</v>
      </c>
      <c r="F11" s="23" t="n">
        <f aca="false">(SUMPRODUCT(DCF_Base!$C$15:$G$15,(1+$A11)^(-DCF_Base!$C$16:$G$16))+DCF_Base!$G$7*(1+F$4)*(1-Inputs!$D$34)*(1-F$4/Inputs!$D$36)/($A11-F$4)/(1+$A11)^(DCF_Base!$G$16+0.5)+DCF_Base!$B$32+DCF_Base!$B$33)/DCF_Base!$B$35</f>
        <v>227.308475330941</v>
      </c>
    </row>
    <row r="12" customFormat="false" ht="15" hidden="false" customHeight="false" outlineLevel="0" collapsed="false">
      <c r="A12" s="22" t="n">
        <f aca="false">Inputs!I$45</f>
        <v>0.1</v>
      </c>
      <c r="B12" s="23" t="n">
        <f aca="false">(SUMPRODUCT(DCF_Base!$C$15:$G$15,(1+$A12)^(-DCF_Base!$C$16:$G$16))+DCF_Base!$G$7*(1+B$4)*(1-Inputs!$D$34)*(1-B$4/Inputs!$D$36)/($A12-B$4)/(1+$A12)^(DCF_Base!$G$16+0.5)+DCF_Base!$B$32+DCF_Base!$B$33)/DCF_Base!$B$35</f>
        <v>188.687159564249</v>
      </c>
      <c r="C12" s="23" t="n">
        <f aca="false">(SUMPRODUCT(DCF_Base!$C$15:$G$15,(1+$A12)^(-DCF_Base!$C$16:$G$16))+DCF_Base!$G$7*(1+C$4)*(1-Inputs!$D$34)*(1-C$4/Inputs!$D$36)/($A12-C$4)/(1+$A12)^(DCF_Base!$G$16+0.5)+DCF_Base!$B$32+DCF_Base!$B$33)/DCF_Base!$B$35</f>
        <v>193.348237826126</v>
      </c>
      <c r="D12" s="23" t="n">
        <f aca="false">(SUMPRODUCT(DCF_Base!$C$15:$G$15,(1+$A12)^(-DCF_Base!$C$16:$G$16))+DCF_Base!$G$7*(1+D$4)*(1-Inputs!$D$34)*(1-D$4/Inputs!$D$36)/($A12-D$4)/(1+$A12)^(DCF_Base!$G$16+0.5)+DCF_Base!$B$32+DCF_Base!$B$33)/DCF_Base!$B$35</f>
        <v>198.594611303535</v>
      </c>
      <c r="E12" s="23" t="n">
        <f aca="false">(SUMPRODUCT(DCF_Base!$C$15:$G$15,(1+$A12)^(-DCF_Base!$C$16:$G$16))+DCF_Base!$G$7*(1+E$4)*(1-Inputs!$D$34)*(1-E$4/Inputs!$D$36)/($A12-E$4)/(1+$A12)^(DCF_Base!$G$16+0.5)+DCF_Base!$B$32+DCF_Base!$B$33)/DCF_Base!$B$35</f>
        <v>204.551700399806</v>
      </c>
      <c r="F12" s="23" t="n">
        <f aca="false">(SUMPRODUCT(DCF_Base!$C$15:$G$15,(1+$A12)^(-DCF_Base!$C$16:$G$16))+DCF_Base!$G$7*(1+F$4)*(1-Inputs!$D$34)*(1-F$4/Inputs!$D$36)/($A12-F$4)/(1+$A12)^(DCF_Base!$G$16+0.5)+DCF_Base!$B$32+DCF_Base!$B$33)/DCF_Base!$B$35</f>
        <v>211.383516411597</v>
      </c>
    </row>
    <row r="15" customFormat="false" ht="15" hidden="false" customHeight="false" outlineLevel="0" collapsed="false">
      <c r="A15" s="0" t="s">
        <v>93</v>
      </c>
      <c r="B15" s="23" t="n">
        <f aca="false">(SUMPRODUCT(DCF_Base!$C$15:$G$15,(1+B16)^(-DCF_Base!$C$16:$G$16))+DCF_Base!$B$27*(1-DCF_Base!$B$25/DCF_Base!$B$26)/(B16-DCF_Base!$B$25)/(1+B16)^(DCF_Base!$G$16+0.5)+DCF_Base!$B$32+DCF_Base!$B$33)/DCF_Base!$B$35</f>
        <v>238.123168061767</v>
      </c>
    </row>
    <row r="16" customFormat="false" ht="15" hidden="false" customHeight="false" outlineLevel="0" collapsed="false">
      <c r="A16" s="0" t="s">
        <v>94</v>
      </c>
      <c r="B16" s="8" t="n">
        <f aca="false">Inputs!$B$7+Inputs!$B$10*Inputs!$B$8</f>
        <v>0.0866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3"/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</row>
    <row r="5" customFormat="false" ht="15" hidden="false" customHeight="false" outlineLevel="0" collapsed="false">
      <c r="A5" s="0" t="s">
        <v>64</v>
      </c>
      <c r="B5" s="5" t="n">
        <f aca="false">Data_EDGAR!$C$5</f>
        <v>6256617000</v>
      </c>
      <c r="C5" s="5" t="n">
        <f aca="false">Data_EDGAR!$D$5</f>
        <v>8110518000</v>
      </c>
      <c r="D5" s="5" t="n">
        <f aca="false">Data_EDGAR!$E$5</f>
        <v>9619278000</v>
      </c>
      <c r="E5" s="5" t="n">
        <f aca="false">Data_EDGAR!$F$5</f>
        <v>10588126000</v>
      </c>
      <c r="F5" s="5" t="n">
        <f aca="false">Data_EDGAR!$G$5</f>
        <v>11102600000</v>
      </c>
    </row>
    <row r="6" customFormat="false" ht="15" hidden="false" customHeight="false" outlineLevel="0" collapsed="false">
      <c r="A6" s="0" t="s">
        <v>14</v>
      </c>
      <c r="C6" s="6" t="n">
        <f aca="false">C5/B5-1</f>
        <v>0.296310450200164</v>
      </c>
      <c r="D6" s="6" t="n">
        <f aca="false">D5/C5-1</f>
        <v>0.18602510961692</v>
      </c>
      <c r="E6" s="6" t="n">
        <f aca="false">E5/D5-1</f>
        <v>0.10071940950246</v>
      </c>
      <c r="F6" s="6" t="n">
        <f aca="false">F5/E5-1</f>
        <v>0.0485897126649228</v>
      </c>
    </row>
    <row r="7" customFormat="false" ht="15" hidden="false" customHeight="false" outlineLevel="0" collapsed="false">
      <c r="A7" s="0" t="s">
        <v>102</v>
      </c>
      <c r="B7" s="6" t="n">
        <f aca="false">Data_EDGAR!$C$7/B5</f>
        <v>0.576759772893242</v>
      </c>
      <c r="C7" s="6" t="n">
        <f aca="false">Data_EDGAR!$D$7/C5</f>
        <v>0.553890639290857</v>
      </c>
      <c r="D7" s="6" t="n">
        <f aca="false">Data_EDGAR!$E$7/D5</f>
        <v>0.583141998806979</v>
      </c>
      <c r="E7" s="6" t="n">
        <f aca="false">Data_EDGAR!$F$7/E5</f>
        <v>0.592249374440765</v>
      </c>
      <c r="F7" s="6" t="n">
        <f aca="false">Data_EDGAR!$G$7/F5</f>
        <v>0.566005440167168</v>
      </c>
    </row>
    <row r="8" customFormat="false" ht="15" hidden="false" customHeight="false" outlineLevel="0" collapsed="false">
      <c r="A8" s="0" t="s">
        <v>103</v>
      </c>
      <c r="B8" s="5" t="n">
        <f aca="false">Data_EDGAR!$C$10</f>
        <v>1333355000</v>
      </c>
      <c r="C8" s="5" t="n">
        <f aca="false">Data_EDGAR!$D$10</f>
        <v>1328408000</v>
      </c>
      <c r="D8" s="5" t="n">
        <f aca="false">Data_EDGAR!$E$10</f>
        <v>2132676000</v>
      </c>
      <c r="E8" s="5" t="n">
        <f aca="false">Data_EDGAR!$F$10</f>
        <v>2505697000</v>
      </c>
      <c r="F8" s="5" t="n">
        <f aca="false">Data_EDGAR!$G$10</f>
        <v>2210615000</v>
      </c>
    </row>
    <row r="9" customFormat="false" ht="15" hidden="false" customHeight="false" outlineLevel="0" collapsed="false">
      <c r="A9" s="0" t="s">
        <v>15</v>
      </c>
      <c r="B9" s="6" t="n">
        <f aca="false">B8/B5</f>
        <v>0.213111174936871</v>
      </c>
      <c r="C9" s="6" t="n">
        <f aca="false">C8/C5</f>
        <v>0.163788305506504</v>
      </c>
      <c r="D9" s="6" t="n">
        <f aca="false">D8/D5</f>
        <v>0.221708531555071</v>
      </c>
      <c r="E9" s="6" t="n">
        <f aca="false">E8/E5</f>
        <v>0.236651603881556</v>
      </c>
      <c r="F9" s="6" t="n">
        <f aca="false">F8/F5</f>
        <v>0.199107866625835</v>
      </c>
    </row>
    <row r="10" customFormat="false" ht="15" hidden="false" customHeight="false" outlineLevel="0" collapsed="false">
      <c r="A10" s="0" t="s">
        <v>104</v>
      </c>
      <c r="B10" s="5" t="n">
        <f aca="false">Data_EDGAR!$C$7-Data_EDGAR!$C$8-Data_EDGAR!$C$9-Data_EDGAR!$C$10</f>
        <v>50176000</v>
      </c>
      <c r="C10" s="5" t="n">
        <f aca="false">Data_EDGAR!$D$7-Data_EDGAR!$D$8-Data_EDGAR!$D$9-Data_EDGAR!$D$10</f>
        <v>-1428000</v>
      </c>
      <c r="D10" s="5" t="n">
        <f aca="false">Data_EDGAR!$E$7-Data_EDGAR!$E$8-Data_EDGAR!$E$9-Data_EDGAR!$E$10</f>
        <v>5010000</v>
      </c>
      <c r="E10" s="5" t="n">
        <f aca="false">Data_EDGAR!$F$7-Data_EDGAR!$F$8-Data_EDGAR!$F$9-Data_EDGAR!$F$10</f>
        <v>2735000</v>
      </c>
      <c r="F10" s="5" t="n">
        <f aca="false">Data_EDGAR!$G$7-Data_EDGAR!$G$8-Data_EDGAR!$G$9-Data_EDGAR!$G$10</f>
        <v>6961000</v>
      </c>
    </row>
    <row r="11" customFormat="false" ht="15" hidden="false" customHeight="false" outlineLevel="0" collapsed="false">
      <c r="A11" s="0" t="s">
        <v>105</v>
      </c>
      <c r="B11" s="6" t="n">
        <f aca="false">Data_EDGAR!$C$12/Data_EDGAR!$C$11</f>
        <v>0.26880225869257</v>
      </c>
      <c r="C11" s="6" t="n">
        <f aca="false">Data_EDGAR!$D$12/Data_EDGAR!$D$11</f>
        <v>0.358533241380759</v>
      </c>
      <c r="D11" s="6" t="n">
        <f aca="false">Data_EDGAR!$E$12/Data_EDGAR!$E$11</f>
        <v>0.287509738088508</v>
      </c>
      <c r="E11" s="6" t="n">
        <f aca="false">Data_EDGAR!$F$12/Data_EDGAR!$F$11</f>
        <v>0.295589378733633</v>
      </c>
      <c r="F11" s="6" t="n">
        <f aca="false">Data_EDGAR!$G$12/Data_EDGAR!$G$11</f>
        <v>0.294682324482674</v>
      </c>
    </row>
    <row r="12" customFormat="false" ht="15" hidden="false" customHeight="false" outlineLevel="0" collapsed="false">
      <c r="A12" s="0" t="s">
        <v>51</v>
      </c>
      <c r="B12" s="8" t="n">
        <f aca="false">Data_EDGAR!$C$14/B5</f>
        <v>0.0358350207468349</v>
      </c>
      <c r="C12" s="8" t="n">
        <f aca="false">Data_EDGAR!$D$14/C5</f>
        <v>0.0359768636232606</v>
      </c>
      <c r="D12" s="8" t="n">
        <f aca="false">Data_EDGAR!$E$14/D5</f>
        <v>0.0394399662843719</v>
      </c>
      <c r="E12" s="8" t="n">
        <f aca="false">Data_EDGAR!$F$14/E5</f>
        <v>0.0421721464213781</v>
      </c>
      <c r="F12" s="8" t="n">
        <f aca="false">Data_EDGAR!$G$14/F5</f>
        <v>0.0446947561832364</v>
      </c>
    </row>
    <row r="13" customFormat="false" ht="15" hidden="false" customHeight="false" outlineLevel="0" collapsed="false">
      <c r="A13" s="0" t="s">
        <v>50</v>
      </c>
      <c r="B13" s="8" t="n">
        <f aca="false">Data_EDGAR!$C$17/B5</f>
        <v>0.0630535639307952</v>
      </c>
      <c r="C13" s="8" t="n">
        <f aca="false">Data_EDGAR!$D$17/C5</f>
        <v>0.0787442922881128</v>
      </c>
      <c r="D13" s="8" t="n">
        <f aca="false">Data_EDGAR!$E$17/D5</f>
        <v>0.0677665205226421</v>
      </c>
      <c r="E13" s="8" t="n">
        <f aca="false">Data_EDGAR!$F$17/E5</f>
        <v>0.0650948052563787</v>
      </c>
      <c r="F13" s="8" t="n">
        <f aca="false">Data_EDGAR!$G$17/F5</f>
        <v>0.0613191504692595</v>
      </c>
    </row>
    <row r="14" customFormat="false" ht="15" hidden="false" customHeight="false" outlineLevel="0" collapsed="false">
      <c r="A14" s="0" t="s">
        <v>70</v>
      </c>
      <c r="B14" s="5" t="n">
        <f aca="false">Data_EDGAR!$C$21+Data_EDGAR!$C$22+Data_EDGAR!$C$23-Data_EDGAR!$C$24-Data_EDGAR!$C$25-Data_EDGAR!$C$26</f>
        <v>481674000</v>
      </c>
      <c r="C14" s="5" t="n">
        <f aca="false">Data_EDGAR!$D$21+Data_EDGAR!$D$22+Data_EDGAR!$D$23-Data_EDGAR!$D$24-Data_EDGAR!$D$25-Data_EDGAR!$D$26</f>
        <v>1072769000</v>
      </c>
      <c r="D14" s="5" t="n">
        <f aca="false">Data_EDGAR!$E$21+Data_EDGAR!$E$22+Data_EDGAR!$E$23-Data_EDGAR!$E$24-Data_EDGAR!$E$25-Data_EDGAR!$E$26</f>
        <v>923779000</v>
      </c>
      <c r="E14" s="5" t="n">
        <f aca="false">Data_EDGAR!$F$21+Data_EDGAR!$F$22+Data_EDGAR!$F$23-Data_EDGAR!$F$24-Data_EDGAR!$F$25-Data_EDGAR!$F$26</f>
        <v>799718000</v>
      </c>
      <c r="F14" s="5" t="n">
        <f aca="false">Data_EDGAR!$G$21+Data_EDGAR!$G$22+Data_EDGAR!$G$23-Data_EDGAR!$G$24-Data_EDGAR!$G$25-Data_EDGAR!$G$26</f>
        <v>1064679000</v>
      </c>
    </row>
    <row r="15" customFormat="false" ht="15" hidden="false" customHeight="false" outlineLevel="0" collapsed="false">
      <c r="A15" s="0" t="s">
        <v>16</v>
      </c>
      <c r="B15" s="6" t="n">
        <f aca="false">B14/B5</f>
        <v>0.076986333029495</v>
      </c>
      <c r="C15" s="6" t="n">
        <f aca="false">C14/C5</f>
        <v>0.132268863714993</v>
      </c>
      <c r="D15" s="6" t="n">
        <f aca="false">D14/D5</f>
        <v>0.0960341306280991</v>
      </c>
      <c r="E15" s="6" t="n">
        <f aca="false">E14/E5</f>
        <v>0.0755297018565892</v>
      </c>
      <c r="F15" s="6" t="n">
        <f aca="false">F14/F5</f>
        <v>0.0958945652369715</v>
      </c>
    </row>
    <row r="16" customFormat="false" ht="15" hidden="false" customHeight="false" outlineLevel="0" collapsed="false">
      <c r="A16" s="0" t="s">
        <v>106</v>
      </c>
      <c r="B16" s="8" t="n">
        <f aca="false">Data_EDGAR!$C$15/B5</f>
        <v>0.011050220910118</v>
      </c>
      <c r="C16" s="8" t="n">
        <f aca="false">Data_EDGAR!$D$15/C5</f>
        <v>0.00962638884470758</v>
      </c>
      <c r="D16" s="8" t="n">
        <f aca="false">Data_EDGAR!$E$15/D5</f>
        <v>0.00972630170372454</v>
      </c>
      <c r="E16" s="8" t="n">
        <f aca="false">Data_EDGAR!$F$15/E5</f>
        <v>0.0085011266394072</v>
      </c>
      <c r="F16" s="8" t="n">
        <f aca="false">Data_EDGAR!$G$15/F5</f>
        <v>0.00560256156215661</v>
      </c>
    </row>
    <row r="17" customFormat="false" ht="15" hidden="false" customHeight="false" outlineLevel="0" collapsed="false">
      <c r="A17" s="0" t="s">
        <v>107</v>
      </c>
      <c r="B17" s="5" t="n">
        <f aca="false">Data_EDGAR!$C$16-Data_EDGAR!$C$17</f>
        <v>994606000</v>
      </c>
      <c r="C17" s="5" t="n">
        <f aca="false">Data_EDGAR!$D$16-Data_EDGAR!$D$17</f>
        <v>327806000</v>
      </c>
      <c r="D17" s="5" t="n">
        <f aca="false">Data_EDGAR!$E$16-Data_EDGAR!$E$17</f>
        <v>1644299000</v>
      </c>
      <c r="E17" s="5" t="n">
        <f aca="false">Data_EDGAR!$F$16-Data_EDGAR!$F$17</f>
        <v>1583481000</v>
      </c>
      <c r="F17" s="5" t="n">
        <f aca="false">Data_EDGAR!$G$16-Data_EDGAR!$G$17</f>
        <v>921675000</v>
      </c>
    </row>
    <row r="18" customFormat="false" ht="15" hidden="false" customHeight="false" outlineLevel="0" collapsed="false">
      <c r="A18" s="0" t="s">
        <v>108</v>
      </c>
      <c r="B18" s="5" t="n">
        <f aca="false">Data_EDGAR!$C$18</f>
        <v>812602000</v>
      </c>
      <c r="C18" s="5" t="n">
        <f aca="false">Data_EDGAR!$D$18</f>
        <v>444001000</v>
      </c>
      <c r="D18" s="5" t="n">
        <f aca="false">Data_EDGAR!$E$18</f>
        <v>558652000</v>
      </c>
      <c r="E18" s="5" t="n">
        <f aca="false">Data_EDGAR!$F$18</f>
        <v>1636879000</v>
      </c>
      <c r="F18" s="5" t="n">
        <f aca="false">Data_EDGAR!$G$18</f>
        <v>1178349000</v>
      </c>
    </row>
    <row r="21" customFormat="false" ht="15" hidden="false" customHeight="false" outlineLevel="0" collapsed="false">
      <c r="A21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7" min="3" style="0" width="15"/>
    <col collapsed="false" customWidth="true" hidden="false" outlineLevel="0" max="12" min="8" style="0" width="22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3" t="s">
        <v>112</v>
      </c>
      <c r="B4" s="3" t="s">
        <v>113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  <c r="H4" s="3" t="s">
        <v>114</v>
      </c>
      <c r="I4" s="3" t="s">
        <v>115</v>
      </c>
      <c r="J4" s="3" t="s">
        <v>116</v>
      </c>
      <c r="K4" s="3" t="s">
        <v>117</v>
      </c>
      <c r="L4" s="3" t="s">
        <v>118</v>
      </c>
    </row>
    <row r="5" customFormat="false" ht="15" hidden="false" customHeight="false" outlineLevel="0" collapsed="false">
      <c r="A5" s="0" t="s">
        <v>119</v>
      </c>
      <c r="B5" s="0" t="s">
        <v>120</v>
      </c>
      <c r="C5" s="15" t="n">
        <v>6256617000</v>
      </c>
      <c r="D5" s="15" t="n">
        <v>8110518000</v>
      </c>
      <c r="E5" s="15" t="n">
        <v>9619278000</v>
      </c>
      <c r="F5" s="15" t="n">
        <v>10588126000</v>
      </c>
      <c r="G5" s="15" t="n">
        <v>11102600000</v>
      </c>
      <c r="H5" s="11" t="s">
        <v>121</v>
      </c>
      <c r="I5" s="11" t="s">
        <v>122</v>
      </c>
      <c r="J5" s="11" t="s">
        <v>123</v>
      </c>
      <c r="K5" s="11" t="s">
        <v>123</v>
      </c>
      <c r="L5" s="11" t="s">
        <v>123</v>
      </c>
    </row>
    <row r="6" customFormat="false" ht="15" hidden="false" customHeight="false" outlineLevel="0" collapsed="false">
      <c r="A6" s="0" t="s">
        <v>124</v>
      </c>
      <c r="B6" s="0" t="s">
        <v>125</v>
      </c>
      <c r="C6" s="15" t="n">
        <v>2648052000</v>
      </c>
      <c r="D6" s="15" t="n">
        <v>3618178000</v>
      </c>
      <c r="E6" s="15" t="n">
        <v>4009873000</v>
      </c>
      <c r="F6" s="15" t="n">
        <v>4317315000</v>
      </c>
      <c r="G6" s="15" t="n">
        <v>4818468000</v>
      </c>
      <c r="H6" s="11" t="s">
        <v>121</v>
      </c>
      <c r="I6" s="11" t="s">
        <v>122</v>
      </c>
      <c r="J6" s="11" t="s">
        <v>123</v>
      </c>
      <c r="K6" s="11" t="s">
        <v>123</v>
      </c>
      <c r="L6" s="11" t="s">
        <v>123</v>
      </c>
    </row>
    <row r="7" customFormat="false" ht="15" hidden="false" customHeight="false" outlineLevel="0" collapsed="false">
      <c r="A7" s="0" t="s">
        <v>126</v>
      </c>
      <c r="B7" s="0" t="s">
        <v>127</v>
      </c>
      <c r="C7" s="15" t="n">
        <v>3608565000</v>
      </c>
      <c r="D7" s="15" t="n">
        <v>4492340000</v>
      </c>
      <c r="E7" s="15" t="n">
        <v>5609405000</v>
      </c>
      <c r="F7" s="15" t="n">
        <v>6270811000</v>
      </c>
      <c r="G7" s="15" t="n">
        <v>6284132000</v>
      </c>
      <c r="H7" s="11" t="s">
        <v>121</v>
      </c>
      <c r="I7" s="11" t="s">
        <v>122</v>
      </c>
      <c r="J7" s="11" t="s">
        <v>123</v>
      </c>
      <c r="K7" s="11" t="s">
        <v>123</v>
      </c>
      <c r="L7" s="11" t="s">
        <v>123</v>
      </c>
    </row>
    <row r="8" customFormat="false" ht="15" hidden="false" customHeight="false" outlineLevel="0" collapsed="false">
      <c r="A8" s="0" t="s">
        <v>128</v>
      </c>
      <c r="B8" s="0" t="s">
        <v>129</v>
      </c>
      <c r="C8" s="15" t="n">
        <v>2225034000</v>
      </c>
      <c r="D8" s="15" t="n">
        <v>2757447000</v>
      </c>
      <c r="E8" s="15" t="n">
        <v>3397218000</v>
      </c>
      <c r="F8" s="15" t="n">
        <v>3762379000</v>
      </c>
      <c r="G8" s="15" t="n">
        <v>4066556000</v>
      </c>
      <c r="H8" s="11" t="s">
        <v>121</v>
      </c>
      <c r="I8" s="11" t="s">
        <v>122</v>
      </c>
      <c r="J8" s="11" t="s">
        <v>123</v>
      </c>
      <c r="K8" s="11" t="s">
        <v>123</v>
      </c>
      <c r="L8" s="11" t="s">
        <v>123</v>
      </c>
    </row>
    <row r="9" customFormat="false" ht="15" hidden="false" customHeight="false" outlineLevel="0" collapsed="false">
      <c r="A9" s="0" t="s">
        <v>130</v>
      </c>
      <c r="B9" s="0" t="s">
        <v>131</v>
      </c>
      <c r="C9" s="15" t="n">
        <v>0</v>
      </c>
      <c r="D9" s="15" t="n">
        <v>407913000</v>
      </c>
      <c r="E9" s="15" t="n">
        <v>74501000</v>
      </c>
      <c r="F9" s="15" t="n">
        <v>0</v>
      </c>
      <c r="G9" s="15" t="n">
        <v>0</v>
      </c>
      <c r="H9" s="11" t="s">
        <v>121</v>
      </c>
      <c r="I9" s="11" t="s">
        <v>122</v>
      </c>
      <c r="J9" s="11" t="s">
        <v>123</v>
      </c>
      <c r="K9" s="11" t="s">
        <v>123</v>
      </c>
      <c r="L9" s="11" t="s">
        <v>123</v>
      </c>
    </row>
    <row r="10" customFormat="false" ht="15" hidden="false" customHeight="false" outlineLevel="0" collapsed="false">
      <c r="A10" s="0" t="s">
        <v>132</v>
      </c>
      <c r="B10" s="0" t="s">
        <v>133</v>
      </c>
      <c r="C10" s="15" t="n">
        <v>1333355000</v>
      </c>
      <c r="D10" s="15" t="n">
        <v>1328408000</v>
      </c>
      <c r="E10" s="15" t="n">
        <v>2132676000</v>
      </c>
      <c r="F10" s="15" t="n">
        <v>2505697000</v>
      </c>
      <c r="G10" s="15" t="n">
        <v>2210615000</v>
      </c>
      <c r="H10" s="11" t="s">
        <v>121</v>
      </c>
      <c r="I10" s="11" t="s">
        <v>122</v>
      </c>
      <c r="J10" s="11" t="s">
        <v>123</v>
      </c>
      <c r="K10" s="11" t="s">
        <v>123</v>
      </c>
      <c r="L10" s="11" t="s">
        <v>123</v>
      </c>
    </row>
    <row r="11" customFormat="false" ht="15" hidden="false" customHeight="false" outlineLevel="0" collapsed="false">
      <c r="A11" s="0" t="s">
        <v>134</v>
      </c>
      <c r="B11" s="0" t="s">
        <v>135</v>
      </c>
      <c r="C11" s="15" t="n">
        <v>1333869000</v>
      </c>
      <c r="D11" s="15" t="n">
        <v>1332571000</v>
      </c>
      <c r="E11" s="15" t="n">
        <v>2175735000</v>
      </c>
      <c r="F11" s="15" t="n">
        <v>2576077000</v>
      </c>
      <c r="G11" s="15" t="n">
        <v>2238967000</v>
      </c>
      <c r="H11" s="11" t="s">
        <v>121</v>
      </c>
      <c r="I11" s="11" t="s">
        <v>122</v>
      </c>
      <c r="J11" s="11" t="s">
        <v>123</v>
      </c>
      <c r="K11" s="11" t="s">
        <v>123</v>
      </c>
      <c r="L11" s="11" t="s">
        <v>123</v>
      </c>
    </row>
    <row r="12" customFormat="false" ht="15" hidden="false" customHeight="false" outlineLevel="0" collapsed="false">
      <c r="A12" s="0" t="s">
        <v>136</v>
      </c>
      <c r="B12" s="0" t="s">
        <v>137</v>
      </c>
      <c r="C12" s="15" t="n">
        <v>358547000</v>
      </c>
      <c r="D12" s="15" t="n">
        <v>477771000</v>
      </c>
      <c r="E12" s="15" t="n">
        <v>625545000</v>
      </c>
      <c r="F12" s="15" t="n">
        <v>761461000</v>
      </c>
      <c r="G12" s="15" t="n">
        <v>659784000</v>
      </c>
      <c r="H12" s="11" t="s">
        <v>121</v>
      </c>
      <c r="I12" s="11" t="s">
        <v>122</v>
      </c>
      <c r="J12" s="11" t="s">
        <v>123</v>
      </c>
      <c r="K12" s="11" t="s">
        <v>123</v>
      </c>
      <c r="L12" s="11" t="s">
        <v>123</v>
      </c>
    </row>
    <row r="13" customFormat="false" ht="15" hidden="false" customHeight="false" outlineLevel="0" collapsed="false">
      <c r="A13" s="0" t="s">
        <v>138</v>
      </c>
      <c r="B13" s="0" t="s">
        <v>139</v>
      </c>
      <c r="C13" s="15" t="n">
        <v>975322000</v>
      </c>
      <c r="D13" s="15" t="n">
        <v>854800000</v>
      </c>
      <c r="E13" s="15" t="n">
        <v>1550190000</v>
      </c>
      <c r="F13" s="15" t="n">
        <v>1814616000</v>
      </c>
      <c r="G13" s="15" t="n">
        <v>1579183000</v>
      </c>
      <c r="H13" s="11" t="s">
        <v>121</v>
      </c>
      <c r="I13" s="11" t="s">
        <v>122</v>
      </c>
      <c r="J13" s="11" t="s">
        <v>123</v>
      </c>
      <c r="K13" s="11" t="s">
        <v>123</v>
      </c>
      <c r="L13" s="11" t="s">
        <v>123</v>
      </c>
    </row>
    <row r="14" customFormat="false" ht="15" hidden="false" customHeight="false" outlineLevel="0" collapsed="false">
      <c r="A14" s="0" t="s">
        <v>140</v>
      </c>
      <c r="B14" s="0" t="s">
        <v>141</v>
      </c>
      <c r="C14" s="15" t="n">
        <v>224206000</v>
      </c>
      <c r="D14" s="15" t="n">
        <v>291791000</v>
      </c>
      <c r="E14" s="15" t="n">
        <v>379384000</v>
      </c>
      <c r="F14" s="15" t="n">
        <v>446524000</v>
      </c>
      <c r="G14" s="15" t="n">
        <v>496228000</v>
      </c>
      <c r="H14" s="11" t="s">
        <v>121</v>
      </c>
      <c r="I14" s="11" t="s">
        <v>122</v>
      </c>
      <c r="J14" s="11" t="s">
        <v>123</v>
      </c>
      <c r="K14" s="11" t="s">
        <v>123</v>
      </c>
      <c r="L14" s="11" t="s">
        <v>123</v>
      </c>
    </row>
    <row r="15" customFormat="false" ht="15" hidden="false" customHeight="false" outlineLevel="0" collapsed="false">
      <c r="A15" s="0" t="s">
        <v>142</v>
      </c>
      <c r="B15" s="0" t="s">
        <v>143</v>
      </c>
      <c r="C15" s="15" t="n">
        <v>69137000</v>
      </c>
      <c r="D15" s="15" t="n">
        <v>78075000</v>
      </c>
      <c r="E15" s="15" t="n">
        <v>93560000</v>
      </c>
      <c r="F15" s="15" t="n">
        <v>90011000</v>
      </c>
      <c r="G15" s="15" t="n">
        <v>62203000</v>
      </c>
      <c r="H15" s="11" t="s">
        <v>121</v>
      </c>
      <c r="I15" s="11" t="s">
        <v>122</v>
      </c>
      <c r="J15" s="11" t="s">
        <v>123</v>
      </c>
      <c r="K15" s="11" t="s">
        <v>123</v>
      </c>
      <c r="L15" s="11" t="s">
        <v>123</v>
      </c>
    </row>
    <row r="16" customFormat="false" ht="15" hidden="false" customHeight="false" outlineLevel="0" collapsed="false">
      <c r="A16" s="0" t="s">
        <v>144</v>
      </c>
      <c r="B16" s="0" t="s">
        <v>145</v>
      </c>
      <c r="C16" s="15" t="n">
        <v>1389108000</v>
      </c>
      <c r="D16" s="15" t="n">
        <v>966463000</v>
      </c>
      <c r="E16" s="15" t="n">
        <v>2296164000</v>
      </c>
      <c r="F16" s="15" t="n">
        <v>2272713000</v>
      </c>
      <c r="G16" s="15" t="n">
        <v>1602477000</v>
      </c>
      <c r="H16" s="11" t="s">
        <v>121</v>
      </c>
      <c r="I16" s="11" t="s">
        <v>122</v>
      </c>
      <c r="J16" s="11" t="s">
        <v>123</v>
      </c>
      <c r="K16" s="11" t="s">
        <v>123</v>
      </c>
      <c r="L16" s="11" t="s">
        <v>123</v>
      </c>
    </row>
    <row r="17" customFormat="false" ht="15" hidden="false" customHeight="false" outlineLevel="0" collapsed="false">
      <c r="A17" s="0" t="s">
        <v>146</v>
      </c>
      <c r="B17" s="0" t="s">
        <v>147</v>
      </c>
      <c r="C17" s="15" t="n">
        <v>394502000</v>
      </c>
      <c r="D17" s="15" t="n">
        <v>638657000</v>
      </c>
      <c r="E17" s="15" t="n">
        <v>651865000</v>
      </c>
      <c r="F17" s="15" t="n">
        <v>689232000</v>
      </c>
      <c r="G17" s="15" t="n">
        <v>680802000</v>
      </c>
      <c r="H17" s="11" t="s">
        <v>121</v>
      </c>
      <c r="I17" s="11" t="s">
        <v>122</v>
      </c>
      <c r="J17" s="11" t="s">
        <v>123</v>
      </c>
      <c r="K17" s="11" t="s">
        <v>123</v>
      </c>
      <c r="L17" s="11" t="s">
        <v>123</v>
      </c>
    </row>
    <row r="18" customFormat="false" ht="15" hidden="false" customHeight="false" outlineLevel="0" collapsed="false">
      <c r="A18" s="0" t="s">
        <v>148</v>
      </c>
      <c r="B18" s="0" t="s">
        <v>149</v>
      </c>
      <c r="C18" s="15" t="n">
        <v>812602000</v>
      </c>
      <c r="D18" s="15" t="n">
        <v>444001000</v>
      </c>
      <c r="E18" s="15" t="n">
        <v>558652000</v>
      </c>
      <c r="F18" s="15" t="n">
        <v>1636879000</v>
      </c>
      <c r="G18" s="15" t="n">
        <v>1178349000</v>
      </c>
      <c r="H18" s="11" t="s">
        <v>121</v>
      </c>
      <c r="I18" s="11" t="s">
        <v>122</v>
      </c>
      <c r="J18" s="11" t="s">
        <v>123</v>
      </c>
      <c r="K18" s="11" t="s">
        <v>123</v>
      </c>
      <c r="L18" s="11" t="s">
        <v>123</v>
      </c>
    </row>
    <row r="19" customFormat="false" ht="15" hidden="false" customHeight="false" outlineLevel="0" collapsed="false">
      <c r="A19" s="0" t="s">
        <v>150</v>
      </c>
      <c r="B19" s="0" t="s">
        <v>151</v>
      </c>
      <c r="C19" s="15" t="n">
        <v>130295000</v>
      </c>
      <c r="D19" s="15" t="n">
        <v>128017000</v>
      </c>
      <c r="E19" s="15" t="n">
        <v>127060000</v>
      </c>
      <c r="F19" s="15" t="n">
        <v>123935000</v>
      </c>
      <c r="G19" s="15" t="n">
        <v>119068000</v>
      </c>
      <c r="H19" s="11" t="s">
        <v>121</v>
      </c>
      <c r="I19" s="11" t="s">
        <v>122</v>
      </c>
      <c r="J19" s="11" t="s">
        <v>123</v>
      </c>
      <c r="K19" s="11" t="s">
        <v>123</v>
      </c>
      <c r="L19" s="11" t="s">
        <v>123</v>
      </c>
    </row>
    <row r="20" customFormat="false" ht="15" hidden="false" customHeight="false" outlineLevel="0" collapsed="false">
      <c r="A20" s="0" t="s">
        <v>152</v>
      </c>
      <c r="B20" s="0" t="s">
        <v>153</v>
      </c>
      <c r="C20" s="15" t="n">
        <v>1259871000</v>
      </c>
      <c r="D20" s="15" t="n">
        <v>1154867000</v>
      </c>
      <c r="E20" s="15" t="n">
        <v>2243971000</v>
      </c>
      <c r="F20" s="15" t="n">
        <v>1984336000</v>
      </c>
      <c r="G20" s="15" t="n">
        <v>1807202000</v>
      </c>
      <c r="H20" s="11" t="s">
        <v>122</v>
      </c>
      <c r="I20" s="11" t="s">
        <v>123</v>
      </c>
      <c r="J20" s="11" t="s">
        <v>123</v>
      </c>
      <c r="K20" s="11" t="s">
        <v>123</v>
      </c>
      <c r="L20" s="11" t="s">
        <v>123</v>
      </c>
    </row>
    <row r="21" customFormat="false" ht="15" hidden="false" customHeight="false" outlineLevel="0" collapsed="false">
      <c r="A21" s="0" t="s">
        <v>154</v>
      </c>
      <c r="B21" s="0" t="s">
        <v>155</v>
      </c>
      <c r="C21" s="15" t="n">
        <v>77001000</v>
      </c>
      <c r="D21" s="15" t="n">
        <v>132906000</v>
      </c>
      <c r="E21" s="15" t="n">
        <v>124769000</v>
      </c>
      <c r="F21" s="15" t="n">
        <v>120173000</v>
      </c>
      <c r="G21" s="15" t="n">
        <v>190657000</v>
      </c>
      <c r="H21" s="11" t="s">
        <v>156</v>
      </c>
      <c r="I21" s="11" t="s">
        <v>121</v>
      </c>
      <c r="J21" s="11" t="s">
        <v>122</v>
      </c>
      <c r="K21" s="11" t="s">
        <v>123</v>
      </c>
      <c r="L21" s="11" t="s">
        <v>123</v>
      </c>
    </row>
    <row r="22" customFormat="false" ht="15" hidden="false" customHeight="false" outlineLevel="0" collapsed="false">
      <c r="A22" s="0" t="s">
        <v>157</v>
      </c>
      <c r="B22" s="0" t="s">
        <v>158</v>
      </c>
      <c r="C22" s="15" t="n">
        <v>966481000</v>
      </c>
      <c r="D22" s="15" t="n">
        <v>1447367000</v>
      </c>
      <c r="E22" s="15" t="n">
        <v>1323602000</v>
      </c>
      <c r="F22" s="15" t="n">
        <v>1442081000</v>
      </c>
      <c r="G22" s="15" t="n">
        <v>1700753000</v>
      </c>
      <c r="H22" s="11" t="s">
        <v>156</v>
      </c>
      <c r="I22" s="11" t="s">
        <v>121</v>
      </c>
      <c r="J22" s="11" t="s">
        <v>122</v>
      </c>
      <c r="K22" s="11" t="s">
        <v>123</v>
      </c>
      <c r="L22" s="11" t="s">
        <v>123</v>
      </c>
    </row>
    <row r="23" customFormat="false" ht="15" hidden="false" customHeight="false" outlineLevel="0" collapsed="false">
      <c r="A23" s="0" t="s">
        <v>159</v>
      </c>
      <c r="B23" s="0" t="s">
        <v>160</v>
      </c>
      <c r="C23" s="15" t="n">
        <v>192572000</v>
      </c>
      <c r="D23" s="15" t="n">
        <v>238672000</v>
      </c>
      <c r="E23" s="15" t="n">
        <v>184502000</v>
      </c>
      <c r="F23" s="15" t="n">
        <v>251459000</v>
      </c>
      <c r="G23" s="15" t="n">
        <v>211620000</v>
      </c>
      <c r="H23" s="11" t="s">
        <v>156</v>
      </c>
      <c r="I23" s="11" t="s">
        <v>121</v>
      </c>
      <c r="J23" s="11" t="s">
        <v>122</v>
      </c>
      <c r="K23" s="11" t="s">
        <v>123</v>
      </c>
      <c r="L23" s="11" t="s">
        <v>123</v>
      </c>
    </row>
    <row r="24" customFormat="false" ht="15" hidden="false" customHeight="false" outlineLevel="0" collapsed="false">
      <c r="A24" s="0" t="s">
        <v>161</v>
      </c>
      <c r="B24" s="0" t="s">
        <v>162</v>
      </c>
      <c r="C24" s="15" t="n">
        <v>289728000</v>
      </c>
      <c r="D24" s="15" t="n">
        <v>172732000</v>
      </c>
      <c r="E24" s="15" t="n">
        <v>348441000</v>
      </c>
      <c r="F24" s="15" t="n">
        <v>271406000</v>
      </c>
      <c r="G24" s="15" t="n">
        <v>331421000</v>
      </c>
      <c r="H24" s="11" t="s">
        <v>156</v>
      </c>
      <c r="I24" s="11" t="s">
        <v>121</v>
      </c>
      <c r="J24" s="11" t="s">
        <v>122</v>
      </c>
      <c r="K24" s="11" t="s">
        <v>123</v>
      </c>
      <c r="L24" s="11" t="s">
        <v>123</v>
      </c>
    </row>
    <row r="25" customFormat="false" ht="15" hidden="false" customHeight="false" outlineLevel="0" collapsed="false">
      <c r="A25" s="0" t="s">
        <v>163</v>
      </c>
      <c r="B25" s="0" t="s">
        <v>164</v>
      </c>
      <c r="C25" s="15" t="n">
        <v>330800000</v>
      </c>
      <c r="D25" s="15" t="n">
        <v>399223000</v>
      </c>
      <c r="E25" s="15" t="n">
        <v>348555000</v>
      </c>
      <c r="F25" s="15" t="n">
        <v>559463000</v>
      </c>
      <c r="G25" s="15" t="n">
        <v>662982000</v>
      </c>
      <c r="H25" s="11" t="s">
        <v>156</v>
      </c>
      <c r="I25" s="11" t="s">
        <v>121</v>
      </c>
      <c r="J25" s="11" t="s">
        <v>122</v>
      </c>
      <c r="K25" s="11" t="s">
        <v>123</v>
      </c>
      <c r="L25" s="11" t="s">
        <v>123</v>
      </c>
    </row>
    <row r="26" customFormat="false" ht="15" hidden="false" customHeight="false" outlineLevel="0" collapsed="false">
      <c r="A26" s="0" t="s">
        <v>165</v>
      </c>
      <c r="B26" s="0" t="s">
        <v>166</v>
      </c>
      <c r="C26" s="15" t="n">
        <v>133852000</v>
      </c>
      <c r="D26" s="15" t="n">
        <v>174221000</v>
      </c>
      <c r="E26" s="15" t="n">
        <v>12098000</v>
      </c>
      <c r="F26" s="15" t="n">
        <v>183126000</v>
      </c>
      <c r="G26" s="15" t="n">
        <v>43948000</v>
      </c>
      <c r="H26" s="11" t="s">
        <v>156</v>
      </c>
      <c r="I26" s="11" t="s">
        <v>121</v>
      </c>
      <c r="J26" s="11" t="s">
        <v>122</v>
      </c>
      <c r="K26" s="11" t="s">
        <v>123</v>
      </c>
      <c r="L26" s="11" t="s">
        <v>123</v>
      </c>
    </row>
    <row r="27" customFormat="false" ht="15" hidden="false" customHeight="false" outlineLevel="0" collapsed="false">
      <c r="A27" s="0" t="s">
        <v>167</v>
      </c>
      <c r="B27" s="0" t="s">
        <v>168</v>
      </c>
      <c r="C27" s="15" t="n">
        <v>188996000</v>
      </c>
      <c r="D27" s="15" t="n">
        <v>207972000</v>
      </c>
      <c r="E27" s="15" t="n">
        <v>249270000</v>
      </c>
      <c r="F27" s="15" t="n">
        <v>275154000</v>
      </c>
      <c r="G27" s="15" t="n">
        <v>298724000</v>
      </c>
      <c r="H27" s="11" t="s">
        <v>156</v>
      </c>
      <c r="I27" s="11" t="s">
        <v>121</v>
      </c>
      <c r="J27" s="11" t="s">
        <v>122</v>
      </c>
      <c r="K27" s="11" t="s">
        <v>123</v>
      </c>
      <c r="L27" s="11" t="s">
        <v>123</v>
      </c>
    </row>
    <row r="28" customFormat="false" ht="15" hidden="false" customHeight="false" outlineLevel="0" collapsed="false">
      <c r="A28" s="0" t="s">
        <v>169</v>
      </c>
      <c r="B28" s="0" t="s">
        <v>170</v>
      </c>
      <c r="C28" s="15" t="n">
        <v>692056000</v>
      </c>
      <c r="D28" s="15" t="n">
        <v>862362000</v>
      </c>
      <c r="E28" s="15" t="n">
        <v>1154012000</v>
      </c>
      <c r="F28" s="15" t="n">
        <v>1300637000</v>
      </c>
      <c r="G28" s="15" t="n">
        <v>1499717000</v>
      </c>
      <c r="H28" s="11" t="s">
        <v>156</v>
      </c>
      <c r="I28" s="11" t="s">
        <v>121</v>
      </c>
      <c r="J28" s="11" t="s">
        <v>122</v>
      </c>
      <c r="K28" s="11" t="s">
        <v>123</v>
      </c>
      <c r="L28" s="11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15" hidden="false" customHeight="false" outlineLevel="0" collapsed="false">
      <c r="A4" s="3" t="s">
        <v>173</v>
      </c>
      <c r="B4" s="3" t="s">
        <v>174</v>
      </c>
    </row>
    <row r="5" customFormat="false" ht="15" hidden="false" customHeight="false" outlineLevel="0" collapsed="false">
      <c r="A5" s="0" t="s">
        <v>175</v>
      </c>
      <c r="B5" s="0" t="str">
        <f aca="false">IF(ABS(Data_EDGAR!$C$7-(Data_EDGAR!$C$5-Data_EDGAR!$C$6))&lt;1,"PASS","FAIL")</f>
        <v>PASS</v>
      </c>
    </row>
    <row r="6" customFormat="false" ht="15" hidden="false" customHeight="false" outlineLevel="0" collapsed="false">
      <c r="A6" s="0" t="s">
        <v>176</v>
      </c>
      <c r="B6" s="0" t="str">
        <f aca="false">IF(ABS(Data_EDGAR!$C$13-(Data_EDGAR!$C$11-Data_EDGAR!$C$12))&lt;1,"PASS","FAIL")</f>
        <v>PASS</v>
      </c>
    </row>
    <row r="7" customFormat="false" ht="15" hidden="false" customHeight="false" outlineLevel="0" collapsed="false">
      <c r="A7" s="0" t="s">
        <v>177</v>
      </c>
      <c r="B7" s="0" t="str">
        <f aca="false">IF(ABS(Data_EDGAR!$D$7-(Data_EDGAR!$D$5-Data_EDGAR!$D$6))&lt;1,"PASS","FAIL")</f>
        <v>PASS</v>
      </c>
    </row>
    <row r="8" customFormat="false" ht="15" hidden="false" customHeight="false" outlineLevel="0" collapsed="false">
      <c r="A8" s="0" t="s">
        <v>178</v>
      </c>
      <c r="B8" s="0" t="str">
        <f aca="false">IF(ABS(Data_EDGAR!$D$13-(Data_EDGAR!$D$11-Data_EDGAR!$D$12))&lt;1,"PASS","FAIL")</f>
        <v>PASS</v>
      </c>
    </row>
    <row r="9" customFormat="false" ht="15" hidden="false" customHeight="false" outlineLevel="0" collapsed="false">
      <c r="A9" s="0" t="s">
        <v>179</v>
      </c>
      <c r="B9" s="0" t="str">
        <f aca="false">IF(ABS(Data_EDGAR!$E$7-(Data_EDGAR!$E$5-Data_EDGAR!$E$6))&lt;1,"PASS","FAIL")</f>
        <v>PASS</v>
      </c>
    </row>
    <row r="10" customFormat="false" ht="15" hidden="false" customHeight="false" outlineLevel="0" collapsed="false">
      <c r="A10" s="0" t="s">
        <v>180</v>
      </c>
      <c r="B10" s="0" t="str">
        <f aca="false">IF(ABS(Data_EDGAR!$E$13-(Data_EDGAR!$E$11-Data_EDGAR!$E$12))&lt;1,"PASS","FAIL")</f>
        <v>PASS</v>
      </c>
    </row>
    <row r="11" customFormat="false" ht="15" hidden="false" customHeight="false" outlineLevel="0" collapsed="false">
      <c r="A11" s="0" t="s">
        <v>181</v>
      </c>
      <c r="B11" s="0" t="str">
        <f aca="false">IF(ABS(Data_EDGAR!$F$7-(Data_EDGAR!$F$5-Data_EDGAR!$F$6))&lt;1,"PASS","FAIL")</f>
        <v>PASS</v>
      </c>
    </row>
    <row r="12" customFormat="false" ht="15" hidden="false" customHeight="false" outlineLevel="0" collapsed="false">
      <c r="A12" s="0" t="s">
        <v>182</v>
      </c>
      <c r="B12" s="0" t="str">
        <f aca="false">IF(ABS(Data_EDGAR!$F$13-(Data_EDGAR!$F$11-Data_EDGAR!$F$12))&lt;1,"PASS","FAIL")</f>
        <v>PASS</v>
      </c>
    </row>
    <row r="13" customFormat="false" ht="15" hidden="false" customHeight="false" outlineLevel="0" collapsed="false">
      <c r="A13" s="0" t="s">
        <v>183</v>
      </c>
      <c r="B13" s="0" t="str">
        <f aca="false">IF(ABS(Data_EDGAR!$G$7-(Data_EDGAR!$G$5-Data_EDGAR!$G$6))&lt;1,"PASS","FAIL")</f>
        <v>PASS</v>
      </c>
    </row>
    <row r="14" customFormat="false" ht="15" hidden="false" customHeight="false" outlineLevel="0" collapsed="false">
      <c r="A14" s="0" t="s">
        <v>184</v>
      </c>
      <c r="B14" s="0" t="str">
        <f aca="false">IF(ABS(Data_EDGAR!$G$13-(Data_EDGAR!$G$11-Data_EDGAR!$G$12))&lt;1,"PASS","FAIL")</f>
        <v>PASS</v>
      </c>
    </row>
    <row r="15" customFormat="false" ht="15" hidden="false" customHeight="false" outlineLevel="0" collapsed="false">
      <c r="A15" s="0" t="s">
        <v>185</v>
      </c>
      <c r="B15" s="0" t="str">
        <f aca="false">IF(ABS(DCF_Bear!B31-SUM(DCF_Bear!C18:G18)-DCF_Bear!B29)&lt;0.01,"PASS","FAIL")</f>
        <v>PASS</v>
      </c>
    </row>
    <row r="16" customFormat="false" ht="15" hidden="false" customHeight="false" outlineLevel="0" collapsed="false">
      <c r="A16" s="0" t="s">
        <v>186</v>
      </c>
      <c r="B16" s="0" t="str">
        <f aca="false">IF(DCF_Bear!B24&gt;DCF_Bear!B25,"PASS","FAIL")</f>
        <v>PASS</v>
      </c>
    </row>
    <row r="17" customFormat="false" ht="15" hidden="false" customHeight="false" outlineLevel="0" collapsed="false">
      <c r="A17" s="0" t="s">
        <v>187</v>
      </c>
      <c r="B17" s="0" t="str">
        <f aca="false">IF(ABS(DCF_Base!B31-SUM(DCF_Base!C18:G18)-DCF_Base!B29)&lt;0.01,"PASS","FAIL")</f>
        <v>PASS</v>
      </c>
    </row>
    <row r="18" customFormat="false" ht="15" hidden="false" customHeight="false" outlineLevel="0" collapsed="false">
      <c r="A18" s="0" t="s">
        <v>188</v>
      </c>
      <c r="B18" s="0" t="str">
        <f aca="false">IF(DCF_Base!B24&gt;DCF_Base!B25,"PASS","FAIL")</f>
        <v>PASS</v>
      </c>
    </row>
    <row r="19" customFormat="false" ht="15" hidden="false" customHeight="false" outlineLevel="0" collapsed="false">
      <c r="A19" s="0" t="s">
        <v>189</v>
      </c>
      <c r="B19" s="0" t="str">
        <f aca="false">IF(ABS(DCF_Bull!B31-SUM(DCF_Bull!C18:G18)-DCF_Bull!B29)&lt;0.01,"PASS","FAIL")</f>
        <v>PASS</v>
      </c>
    </row>
    <row r="20" customFormat="false" ht="15" hidden="false" customHeight="false" outlineLevel="0" collapsed="false">
      <c r="A20" s="0" t="s">
        <v>190</v>
      </c>
      <c r="B20" s="0" t="str">
        <f aca="false">IF(DCF_Bull!B24&gt;DCF_Bull!B25,"PASS","FAIL")</f>
        <v>PASS</v>
      </c>
    </row>
    <row r="21" customFormat="false" ht="15" hidden="false" customHeight="false" outlineLevel="0" collapsed="false">
      <c r="A21" s="0" t="s">
        <v>191</v>
      </c>
      <c r="B21" s="0" t="str">
        <f aca="false">IF(AND(DCF_Bear!B36&lt;DCF_Base!B36,DCF_Base!B36&lt;DCF_Bull!B36),"PASS","FAIL")</f>
        <v>PASS</v>
      </c>
    </row>
    <row r="22" customFormat="false" ht="15" hidden="false" customHeight="false" outlineLevel="0" collapsed="false">
      <c r="A22" s="0" t="s">
        <v>192</v>
      </c>
      <c r="B22" s="0" t="str">
        <f aca="false">IF(AND(Sensitivity!D5&gt;Sensitivity!D6,Sensitivity!D6&gt;Sensitivity!D7,Sensitivity!D7&gt;Sensitivity!D8,Sensitivity!D8&gt;Sensitivity!D9,Sensitivity!D9&gt;Sensitivity!D10,Sensitivity!D10&gt;Sensitivity!D11,Sensitivity!D11&gt;Sensitivity!D12),"PASS","FAIL")</f>
        <v>PASS</v>
      </c>
    </row>
    <row r="24" customFormat="false" ht="15" hidden="false" customHeight="false" outlineLevel="0" collapsed="false">
      <c r="A24" s="9" t="s">
        <v>17</v>
      </c>
      <c r="B24" s="24" t="n">
        <f aca="false">COUNTIF(B5:B22,"PASS")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2026-10-23T18:35:56Z</dcterms:created>
  <dc:creator>openpyxl</dc:creator>
  <dc:description/>
  <dc:language>en-US</dc:language>
  <cp:lastModifiedBy/>
  <dcterms:modified xsi:type="dcterms:W3CDTF">2026-10-23T18:35:56Z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